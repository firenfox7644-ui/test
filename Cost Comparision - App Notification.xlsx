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mc:AlternateContent xmlns:mc="http://schemas.openxmlformats.org/markup-compatibility/2006">
    <mc:Choice Requires="x15">
      <x15ac:absPath xmlns:x15ac="http://schemas.microsoft.com/office/spreadsheetml/2010/11/ac" url="C:\Users\rohit.x.agnihotri\OneDrive - InterGlobe Aviation Limited\Desktop\"/>
    </mc:Choice>
  </mc:AlternateContent>
  <xr:revisionPtr revIDLastSave="1" documentId="8_{C6A0EEA6-BE15-44B3-8669-380AFA57328B}" xr6:coauthVersionLast="36" xr6:coauthVersionMax="36" xr10:uidLastSave="{5AE9F02A-344C-466B-B7A7-FDCD78F863B2}"/>
  <bookViews>
    <workbookView xWindow="-108" yWindow="-108" windowWidth="19416" windowHeight="10296" xr2:uid="{ABA4CFE2-CD9E-4F07-93F0-7A2EEAC658AC}"/>
  </bookViews>
  <sheets>
    <sheet name="Sheet1" sheetId="2" r:id="rId1"/>
    <sheet name="Price Comparison " sheetId="1" r:id="rId2"/>
  </sheets>
  <calcPr calcId="191029" calcOnSave="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 i="2" l="1"/>
  <c r="G10" i="2"/>
  <c r="G9" i="2"/>
  <c r="G8" i="2"/>
  <c r="D10" i="2"/>
  <c r="E10" i="2" s="1"/>
  <c r="D9" i="2"/>
  <c r="E9" i="2" s="1"/>
  <c r="D8" i="2"/>
  <c r="F10" i="2"/>
  <c r="F9" i="2"/>
  <c r="F8" i="2"/>
  <c r="E11" i="2" l="1"/>
  <c r="D11" i="2"/>
  <c r="F11" i="2"/>
  <c r="G11" i="2"/>
  <c r="P12" i="1" l="1"/>
  <c r="Q12" i="1" s="1"/>
  <c r="R12" i="1" s="1"/>
  <c r="P11" i="1"/>
  <c r="S10" i="1"/>
  <c r="R9" i="1"/>
  <c r="R13" i="1" s="1"/>
  <c r="Q9" i="1"/>
  <c r="Q13" i="1" s="1"/>
  <c r="P9" i="1"/>
  <c r="H12" i="1"/>
  <c r="J11" i="1"/>
  <c r="K11" i="1" s="1"/>
  <c r="F11" i="1"/>
  <c r="E11" i="1"/>
  <c r="L10" i="1"/>
  <c r="K10" i="1"/>
  <c r="J10" i="1"/>
  <c r="M10" i="1" s="1"/>
  <c r="G10" i="1"/>
  <c r="F10" i="1"/>
  <c r="E10" i="1"/>
  <c r="J9" i="1"/>
  <c r="G9" i="1"/>
  <c r="F9" i="1"/>
  <c r="E9" i="1"/>
  <c r="S9" i="1" l="1"/>
  <c r="P13" i="1"/>
  <c r="S13" i="1" s="1"/>
  <c r="S11" i="1"/>
  <c r="S12" i="1"/>
  <c r="E13" i="1"/>
  <c r="F13" i="1"/>
  <c r="K9" i="1"/>
  <c r="L9" i="1" s="1"/>
  <c r="L13" i="1" s="1"/>
  <c r="H10" i="1"/>
  <c r="L11" i="1"/>
  <c r="M11" i="1" s="1"/>
  <c r="H9" i="1"/>
  <c r="J13" i="1"/>
  <c r="G11" i="1"/>
  <c r="G13" i="1" s="1"/>
  <c r="M9" i="1" l="1"/>
  <c r="K13" i="1"/>
  <c r="M13" i="1" s="1"/>
  <c r="M15" i="1" s="1"/>
  <c r="H11" i="1"/>
  <c r="H13" i="1" s="1"/>
  <c r="H15" i="1" s="1"/>
  <c r="S15" i="1"/>
  <c r="T15" i="1" s="1"/>
</calcChain>
</file>

<file path=xl/sharedStrings.xml><?xml version="1.0" encoding="utf-8"?>
<sst xmlns="http://schemas.openxmlformats.org/spreadsheetml/2006/main" count="157" uniqueCount="88">
  <si>
    <t>Figures in INR</t>
  </si>
  <si>
    <t>Plotline</t>
  </si>
  <si>
    <t>Purple Talk</t>
  </si>
  <si>
    <t>Pushwoosh</t>
  </si>
  <si>
    <t>Description of services</t>
  </si>
  <si>
    <t>Unit</t>
  </si>
  <si>
    <t>Quantity</t>
  </si>
  <si>
    <t>Year 1</t>
  </si>
  <si>
    <t>Year 2</t>
  </si>
  <si>
    <t>Year 3</t>
  </si>
  <si>
    <t>Total Price
 (3 Year)</t>
  </si>
  <si>
    <t>Qty</t>
  </si>
  <si>
    <t>Monthly</t>
  </si>
  <si>
    <t>EA</t>
  </si>
  <si>
    <t>Support up to 30 hours</t>
  </si>
  <si>
    <t>One time Cost - Onboarding Fees</t>
  </si>
  <si>
    <t>Additional Development  (per hour)</t>
  </si>
  <si>
    <t>Overage Cost (MAU above committed band) per 1000 MAU</t>
  </si>
  <si>
    <t>Support</t>
  </si>
  <si>
    <t>Total</t>
  </si>
  <si>
    <t>Grand Total Cost</t>
  </si>
  <si>
    <t>L1</t>
  </si>
  <si>
    <t>T1</t>
  </si>
  <si>
    <t>L2</t>
  </si>
  <si>
    <t>T2</t>
  </si>
  <si>
    <t>T3</t>
  </si>
  <si>
    <t>Price Escalation</t>
  </si>
  <si>
    <t>Auto Renewal</t>
  </si>
  <si>
    <t>Billing Frequency</t>
  </si>
  <si>
    <t>Pricing Model</t>
  </si>
  <si>
    <t>No</t>
  </si>
  <si>
    <t>Plotline Off‑App Platform – Fixed Fee Include Push Notification</t>
  </si>
  <si>
    <t>Enterprise Support (optional)</t>
  </si>
  <si>
    <t>Implementation</t>
  </si>
  <si>
    <t>L3</t>
  </si>
  <si>
    <t>Final Round (Revised Scope)</t>
  </si>
  <si>
    <t>Price Comparison - App Engagement Platform</t>
  </si>
  <si>
    <t xml:space="preserve">In‑App Platform – Fixed  Fee </t>
  </si>
  <si>
    <t xml:space="preserve">Platform Cost </t>
  </si>
  <si>
    <t xml:space="preserve">License subscription Cost - In‑App Platform – Fixed  Fee </t>
  </si>
  <si>
    <t>MAU Cost Per Month</t>
  </si>
  <si>
    <t>Plotline Comment</t>
  </si>
  <si>
    <t>Pushwoosh Comment</t>
  </si>
  <si>
    <t>Pricing for the first 3 years will remain the same, considering this is a 3-year contract. Upon renewal, any price increase will be capped at a maximum of 5%, subject to mutual discussion and agreement at the time of renewal.</t>
  </si>
  <si>
    <t> 10% increment per year</t>
  </si>
  <si>
    <t>Confirmed. Unit price is locked for the full 3-year term as per the table above.</t>
  </si>
  <si>
    <t>Minimum billing terms would be quarterly prepaid.</t>
  </si>
  <si>
    <t>Monthly </t>
  </si>
  <si>
    <t>There will be no price overage as long as the MAU scope and overall scope remains the same as mentioned in the scope/ RFP document.</t>
  </si>
  <si>
    <t>Fixed for 10 million MAU only.</t>
  </si>
  <si>
    <t>Fixed monthly fee per MAU tier + overage at $2.50 / 1,000 MAU.</t>
  </si>
  <si>
    <t>             Up to Indigo's conditions</t>
  </si>
  <si>
    <t>No auto-renewal. Contract expires at end of term.</t>
  </si>
  <si>
    <t>Contract term</t>
  </si>
  <si>
    <t>3 Year</t>
  </si>
  <si>
    <t>3 Years </t>
  </si>
  <si>
    <t>37 months (1 month onboarding + 36 months subscription).</t>
  </si>
  <si>
    <t>Payment Term</t>
  </si>
  <si>
    <t>TOP can be a maximum of 45 days, considering we are an MSME.</t>
  </si>
  <si>
    <t> 45 days(Flexible)</t>
  </si>
  <si>
    <t>Net-60 from receipt of invoice.</t>
  </si>
  <si>
    <t>Contract Currency</t>
  </si>
  <si>
    <t>INR</t>
  </si>
  <si>
    <t> INR</t>
  </si>
  <si>
    <t>TRC, TRD &amp; E10F documents)</t>
  </si>
  <si>
    <t>We are currently confirming availability of the relevant tax residency documentation for cross-border transactions with India. We will revert within 2 business days.</t>
  </si>
  <si>
    <t>Implementation Period and Man Efforts</t>
  </si>
  <si>
    <t xml:space="preserve">30 days </t>
  </si>
  <si>
    <t>SLA</t>
  </si>
  <si>
    <t>As per the RFP Scope and Upshot conditions</t>
  </si>
  <si>
    <t>We propose to invoice in USD, with the exchange rate fixed at the date of contract signing. This is our standard practice for international contracts and avoids currency fluctuation risk for both parties. We are open to discussing this further.</t>
  </si>
  <si>
    <t>As per RFP Scope</t>
  </si>
  <si>
    <t>SLA Credit</t>
  </si>
  <si>
    <t>As per the RPF Scope (will revisit and confirm)</t>
  </si>
  <si>
    <t>Termination for Convenience</t>
  </si>
  <si>
    <t>We can accommodate a Termination for Convenience clause with a standard 90-day written notice period.</t>
  </si>
  <si>
    <t>As per RPF Scope</t>
  </si>
  <si>
    <t>                       Yes (60 days advance notice)</t>
  </si>
  <si>
    <t>30 days advance notice</t>
  </si>
  <si>
    <t>Purplie Talk Comment</t>
  </si>
  <si>
    <t>Cost Comparision App Engagement Platform</t>
  </si>
  <si>
    <t>1st Year Cost</t>
  </si>
  <si>
    <t>2nd year Cost</t>
  </si>
  <si>
    <t>3rd Year Cosgt</t>
  </si>
  <si>
    <t>Pushwoosh (in USD)</t>
  </si>
  <si>
    <t>Plotline (in Cr)</t>
  </si>
  <si>
    <t>Purpletalk (in Cr)</t>
  </si>
  <si>
    <t>Pushwoosh (in Cr. INR @98)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</si>
</sst>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_(* #,##0.00_);_(* \(#,##0.00\);_(* &quot;-&quot;??_);_(@_)"/>
    <numFmt numFmtId="166" formatCode="[$₹-439]#,##0"/>
    <numFmt numFmtId="167" formatCode="_(* #,##0_);_(* \(#,##0\);_(* &quot;-&quot;??_);_(@_)"/>
    <numFmt numFmtId="168" formatCode="[$₹-439]#,##0.00"/>
    <numFmt numFmtId="169" formatCode="_(&quot;$&quot;* #,##0_);_(&quot;$&quot;* \(#,##0\);_(&quot;$&quot;* &quot;-&quot;??_);_(@_)"/>
    <numFmt numFmtId="170" formatCode="_(* #,##0.00000_);_(* \(#,##0.00000\);_(* &quot;-&quot;??_);_(@_)"/>
    <numFmt numFmtId="171" formatCode="_(* #,##0.0000000000_);_(* \(#,##0.0000000000\);_(* &quot;-&quot;??_);_(@_)"/>
    <numFmt numFmtId="172" formatCode="&quot;$&quot;#,##0.00"/>
  </numFmts>
  <fonts count="13">
    <font>
      <sz val="11"/>
      <color theme="1"/>
      <name val="Calibri"/>
      <family val="2"/>
      <scheme val="minor"/>
    </font>
    <font>
      <sz val="11"/>
      <color theme="1"/>
      <name val="Calibri"/>
      <family val="2"/>
      <scheme val="minor"/>
    </font>
    <font>
      <sz val="11"/>
      <color rgb="FF9C0006"/>
      <name val="Calibri"/>
      <family val="2"/>
      <scheme val="minor"/>
    </font>
    <font>
      <sz val="10"/>
      <color theme="1"/>
      <name val="Aptos"/>
      <family val="2"/>
    </font>
    <font>
      <b/>
      <sz val="10"/>
      <color theme="0"/>
      <name val="Aptos"/>
      <family val="2"/>
    </font>
    <font>
      <b/>
      <sz val="10"/>
      <color theme="1"/>
      <name val="Aptos"/>
      <family val="2"/>
    </font>
    <font>
      <sz val="9"/>
      <color theme="1"/>
      <name val="Aptos"/>
      <family val="2"/>
    </font>
    <font>
      <b/>
      <sz val="10"/>
      <name val="Aptos"/>
      <family val="2"/>
    </font>
    <font>
      <b/>
      <sz val="10"/>
      <color rgb="FF000000"/>
      <name val="Aptos"/>
      <family val="2"/>
    </font>
    <font>
      <sz val="10"/>
      <color rgb="FF000000"/>
      <name val="Aptos"/>
      <family val="2"/>
    </font>
    <font>
      <b/>
      <sz val="10"/>
      <color theme="0"/>
      <name val="Calibri Light"/>
      <family val="2"/>
      <scheme val="major"/>
    </font>
    <font>
      <sz val="9"/>
      <color theme="1"/>
      <name val="Calibri Light"/>
      <family val="2"/>
      <scheme val="major"/>
    </font>
    <font>
      <b/>
      <sz val="9"/>
      <color theme="1"/>
      <name val="Calibri Light"/>
      <family val="2"/>
      <scheme val="major"/>
    </font>
  </fonts>
  <fills count="17">
    <fill>
      <patternFill patternType="none"/>
    </fill>
    <fill>
      <patternFill patternType="gray125"/>
    </fill>
    <fill>
      <patternFill patternType="solid">
        <fgColor rgb="FFFFC7CE"/>
      </patternFill>
    </fill>
    <fill>
      <patternFill patternType="solid">
        <fgColor rgb="FF002060"/>
        <bgColor indexed="64"/>
      </patternFill>
    </fill>
    <fill>
      <patternFill patternType="solid">
        <fgColor rgb="FF00B050"/>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rgb="FF00B0F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5" tint="0.59999389629810485"/>
        <bgColor indexed="64"/>
      </patternFill>
    </fill>
  </fills>
  <borders count="49">
    <border>
      <left/>
      <right/>
      <top/>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rgb="FF000000"/>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5">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cellStyleXfs>
  <cellXfs count="141">
    <xf numFmtId="0" fontId="0" fillId="0" borderId="0" xfId="0"/>
    <xf numFmtId="0" fontId="3" fillId="0" borderId="0" xfId="0" applyFont="1"/>
    <xf numFmtId="0" fontId="3" fillId="0" borderId="0" xfId="0" applyFont="1" applyAlignment="1">
      <alignment horizontal="center"/>
    </xf>
    <xf numFmtId="0" fontId="4" fillId="3" borderId="0" xfId="0" applyFont="1" applyFill="1"/>
    <xf numFmtId="166" fontId="3" fillId="0" borderId="0" xfId="0" applyNumberFormat="1" applyFont="1"/>
    <xf numFmtId="167" fontId="3" fillId="0" borderId="0" xfId="1" applyNumberFormat="1" applyFont="1"/>
    <xf numFmtId="165" fontId="3" fillId="0" borderId="0" xfId="0" applyNumberFormat="1" applyFont="1"/>
    <xf numFmtId="0" fontId="5" fillId="8" borderId="13"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8" borderId="14" xfId="0" applyFont="1" applyFill="1" applyBorder="1" applyAlignment="1">
      <alignment horizontal="left" vertical="center"/>
    </xf>
    <xf numFmtId="0" fontId="5" fillId="8" borderId="14"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3" fillId="0" borderId="3" xfId="0" applyFont="1" applyBorder="1" applyAlignment="1">
      <alignment horizontal="center" vertical="center"/>
    </xf>
    <xf numFmtId="166" fontId="3" fillId="0" borderId="17" xfId="0" applyNumberFormat="1" applyFont="1" applyBorder="1" applyAlignment="1">
      <alignment horizontal="center" vertical="center"/>
    </xf>
    <xf numFmtId="166" fontId="3" fillId="0" borderId="11" xfId="1" applyNumberFormat="1" applyFont="1" applyBorder="1" applyAlignment="1">
      <alignment horizontal="center" vertical="center"/>
    </xf>
    <xf numFmtId="166" fontId="3" fillId="0" borderId="22" xfId="0" applyNumberFormat="1" applyFont="1" applyBorder="1" applyAlignment="1">
      <alignment horizontal="center" vertical="center"/>
    </xf>
    <xf numFmtId="166" fontId="3" fillId="0" borderId="3" xfId="0" applyNumberFormat="1" applyFont="1" applyBorder="1" applyAlignment="1">
      <alignment horizontal="center" vertical="center"/>
    </xf>
    <xf numFmtId="166" fontId="3" fillId="0" borderId="4" xfId="1" applyNumberFormat="1" applyFont="1" applyBorder="1" applyAlignment="1">
      <alignment horizontal="center" vertical="center"/>
    </xf>
    <xf numFmtId="0" fontId="3" fillId="0" borderId="0" xfId="0" applyFont="1" applyAlignment="1">
      <alignment vertical="center"/>
    </xf>
    <xf numFmtId="166" fontId="3" fillId="0" borderId="24" xfId="1" applyNumberFormat="1" applyFont="1" applyBorder="1" applyAlignment="1">
      <alignment horizontal="center" vertical="center"/>
    </xf>
    <xf numFmtId="0" fontId="3" fillId="0" borderId="2" xfId="0" applyFont="1" applyBorder="1"/>
    <xf numFmtId="166" fontId="3" fillId="0" borderId="0" xfId="0" applyNumberFormat="1" applyFont="1" applyAlignment="1">
      <alignment horizontal="center"/>
    </xf>
    <xf numFmtId="0" fontId="5" fillId="10" borderId="3" xfId="0" applyFont="1" applyFill="1" applyBorder="1" applyAlignment="1">
      <alignment horizontal="center" vertical="center"/>
    </xf>
    <xf numFmtId="0" fontId="3" fillId="0" borderId="25" xfId="0" applyFont="1" applyBorder="1" applyAlignment="1">
      <alignment horizontal="center" vertical="center"/>
    </xf>
    <xf numFmtId="166" fontId="3" fillId="0" borderId="25" xfId="0" applyNumberFormat="1" applyFont="1" applyBorder="1" applyAlignment="1">
      <alignment horizontal="center" vertical="center"/>
    </xf>
    <xf numFmtId="166" fontId="5" fillId="10" borderId="25" xfId="1" applyNumberFormat="1" applyFont="1" applyFill="1" applyBorder="1" applyAlignment="1">
      <alignment horizontal="center" vertical="center"/>
    </xf>
    <xf numFmtId="9" fontId="3" fillId="0" borderId="0" xfId="3" applyFont="1"/>
    <xf numFmtId="166" fontId="5" fillId="10" borderId="3" xfId="1" applyNumberFormat="1" applyFont="1" applyFill="1" applyBorder="1" applyAlignment="1">
      <alignment horizontal="center" vertical="center"/>
    </xf>
    <xf numFmtId="0" fontId="7" fillId="11" borderId="0" xfId="0" applyFont="1" applyFill="1" applyAlignment="1">
      <alignment horizontal="center"/>
    </xf>
    <xf numFmtId="0" fontId="7" fillId="12" borderId="0" xfId="0" applyFont="1" applyFill="1" applyAlignment="1">
      <alignment horizontal="center"/>
    </xf>
    <xf numFmtId="0" fontId="4" fillId="13" borderId="0" xfId="0" applyFont="1" applyFill="1" applyAlignment="1">
      <alignment horizontal="center"/>
    </xf>
    <xf numFmtId="0" fontId="3" fillId="0" borderId="0" xfId="0" applyFont="1" applyAlignment="1">
      <alignment horizontal="left"/>
    </xf>
    <xf numFmtId="168" fontId="3" fillId="0" borderId="0" xfId="0" applyNumberFormat="1" applyFont="1" applyAlignment="1">
      <alignment horizontal="center"/>
    </xf>
    <xf numFmtId="167" fontId="3" fillId="0" borderId="0" xfId="0" applyNumberFormat="1" applyFont="1"/>
    <xf numFmtId="9" fontId="3" fillId="0" borderId="0" xfId="3" applyFont="1" applyAlignment="1">
      <alignment horizontal="center"/>
    </xf>
    <xf numFmtId="10" fontId="3" fillId="0" borderId="0" xfId="3" applyNumberFormat="1" applyFont="1" applyAlignment="1">
      <alignment horizontal="center"/>
    </xf>
    <xf numFmtId="0" fontId="5" fillId="8" borderId="14" xfId="0" applyFont="1" applyFill="1" applyBorder="1" applyAlignment="1">
      <alignment horizontal="center" vertical="center"/>
    </xf>
    <xf numFmtId="166" fontId="6" fillId="0" borderId="3" xfId="1" applyNumberFormat="1" applyFont="1" applyBorder="1" applyAlignment="1">
      <alignment horizontal="center" vertical="center" wrapText="1"/>
    </xf>
    <xf numFmtId="0" fontId="3" fillId="0" borderId="16" xfId="0" applyFont="1" applyBorder="1" applyAlignment="1">
      <alignment horizontal="left" vertical="center" wrapText="1"/>
    </xf>
    <xf numFmtId="168" fontId="3" fillId="0" borderId="0" xfId="0" applyNumberFormat="1" applyFont="1"/>
    <xf numFmtId="166" fontId="6" fillId="0" borderId="1" xfId="1" applyNumberFormat="1" applyFont="1" applyBorder="1" applyAlignment="1">
      <alignment horizontal="left" vertical="center" wrapText="1"/>
    </xf>
    <xf numFmtId="166" fontId="6" fillId="0" borderId="4" xfId="1" applyNumberFormat="1" applyFont="1" applyBorder="1" applyAlignment="1">
      <alignment horizontal="center" vertical="center" wrapText="1"/>
    </xf>
    <xf numFmtId="166" fontId="3" fillId="0" borderId="1" xfId="1" applyNumberFormat="1" applyFont="1" applyBorder="1" applyAlignment="1">
      <alignment horizontal="left" vertical="center" wrapText="1"/>
    </xf>
    <xf numFmtId="166" fontId="3" fillId="0" borderId="21" xfId="1" applyNumberFormat="1" applyFont="1" applyBorder="1" applyAlignment="1">
      <alignment horizontal="center" vertical="center"/>
    </xf>
    <xf numFmtId="0" fontId="3" fillId="0" borderId="3" xfId="0" applyFont="1" applyBorder="1"/>
    <xf numFmtId="0" fontId="3" fillId="0" borderId="3" xfId="0" applyFont="1" applyBorder="1" applyAlignment="1">
      <alignment vertical="top" wrapText="1"/>
    </xf>
    <xf numFmtId="170" fontId="3" fillId="0" borderId="0" xfId="1" applyNumberFormat="1" applyFont="1"/>
    <xf numFmtId="0" fontId="9" fillId="0" borderId="3" xfId="0" applyFont="1" applyBorder="1" applyAlignment="1">
      <alignment vertical="center"/>
    </xf>
    <xf numFmtId="0" fontId="3" fillId="0" borderId="3" xfId="0" applyFont="1" applyBorder="1" applyAlignment="1">
      <alignment vertical="center" wrapText="1"/>
    </xf>
    <xf numFmtId="171" fontId="3" fillId="0" borderId="0" xfId="0" applyNumberFormat="1" applyFont="1"/>
    <xf numFmtId="0" fontId="3" fillId="0" borderId="0" xfId="0" applyFont="1" applyAlignment="1">
      <alignment horizontal="center" vertical="center"/>
    </xf>
    <xf numFmtId="0" fontId="3" fillId="0" borderId="16" xfId="0" applyFont="1" applyBorder="1" applyAlignment="1">
      <alignment horizontal="center" vertical="center" wrapText="1"/>
    </xf>
    <xf numFmtId="0" fontId="3" fillId="0" borderId="1" xfId="0" applyFont="1" applyBorder="1" applyAlignment="1">
      <alignment horizontal="center" vertical="center" wrapText="1"/>
    </xf>
    <xf numFmtId="167" fontId="3" fillId="0" borderId="0" xfId="1" applyNumberFormat="1" applyFont="1" applyAlignment="1">
      <alignment horizontal="center"/>
    </xf>
    <xf numFmtId="165" fontId="3" fillId="0" borderId="0" xfId="0" applyNumberFormat="1" applyFont="1" applyAlignment="1">
      <alignment horizontal="center"/>
    </xf>
    <xf numFmtId="0" fontId="5" fillId="8" borderId="12" xfId="0" applyFont="1" applyFill="1" applyBorder="1" applyAlignment="1">
      <alignment horizontal="center" vertical="center"/>
    </xf>
    <xf numFmtId="0" fontId="5" fillId="8" borderId="13" xfId="0" applyFont="1" applyFill="1" applyBorder="1" applyAlignment="1">
      <alignment horizontal="center" vertical="center"/>
    </xf>
    <xf numFmtId="166" fontId="3" fillId="0" borderId="0" xfId="0" applyNumberFormat="1" applyFont="1" applyAlignment="1">
      <alignment horizontal="left"/>
    </xf>
    <xf numFmtId="2" fontId="3" fillId="0" borderId="0" xfId="0" applyNumberFormat="1" applyFont="1" applyAlignment="1">
      <alignment horizontal="left"/>
    </xf>
    <xf numFmtId="0" fontId="5" fillId="6" borderId="32" xfId="0" applyFont="1" applyFill="1" applyBorder="1" applyAlignment="1">
      <alignment horizontal="center" vertical="center"/>
    </xf>
    <xf numFmtId="0" fontId="5" fillId="6" borderId="33" xfId="0" applyFont="1" applyFill="1" applyBorder="1" applyAlignment="1">
      <alignment horizontal="center" vertical="center"/>
    </xf>
    <xf numFmtId="0" fontId="5" fillId="7" borderId="2" xfId="0" applyFont="1" applyFill="1" applyBorder="1" applyAlignment="1">
      <alignment horizontal="center" vertical="center"/>
    </xf>
    <xf numFmtId="0" fontId="3" fillId="0" borderId="17" xfId="0" applyFont="1" applyBorder="1" applyAlignment="1">
      <alignment horizontal="center" vertical="center"/>
    </xf>
    <xf numFmtId="0" fontId="3" fillId="0" borderId="1" xfId="0" applyFont="1" applyBorder="1" applyAlignment="1">
      <alignment horizontal="left" vertical="center" wrapText="1"/>
    </xf>
    <xf numFmtId="0" fontId="5" fillId="9" borderId="21" xfId="0" applyFont="1" applyFill="1" applyBorder="1" applyAlignment="1">
      <alignment horizontal="left" vertical="center" wrapText="1"/>
    </xf>
    <xf numFmtId="0" fontId="3" fillId="9" borderId="22" xfId="0" applyFont="1" applyFill="1" applyBorder="1" applyAlignment="1">
      <alignment horizontal="center" vertical="center"/>
    </xf>
    <xf numFmtId="166" fontId="3" fillId="9" borderId="22" xfId="0" applyNumberFormat="1" applyFont="1" applyFill="1" applyBorder="1" applyAlignment="1">
      <alignment horizontal="center" vertical="center"/>
    </xf>
    <xf numFmtId="166" fontId="3" fillId="0" borderId="27" xfId="1" applyNumberFormat="1" applyFont="1" applyBorder="1" applyAlignment="1">
      <alignment horizontal="center" vertical="center"/>
    </xf>
    <xf numFmtId="166" fontId="5" fillId="9" borderId="24" xfId="1" applyNumberFormat="1" applyFont="1" applyFill="1" applyBorder="1" applyAlignment="1">
      <alignment horizontal="center" vertical="center"/>
    </xf>
    <xf numFmtId="0" fontId="3" fillId="0" borderId="1" xfId="0" applyFont="1" applyBorder="1" applyAlignment="1">
      <alignment horizontal="left" wrapText="1"/>
    </xf>
    <xf numFmtId="166" fontId="5" fillId="9" borderId="21" xfId="1" applyNumberFormat="1" applyFont="1" applyFill="1" applyBorder="1" applyAlignment="1">
      <alignment horizontal="left" vertical="center"/>
    </xf>
    <xf numFmtId="0" fontId="3" fillId="0" borderId="34" xfId="0" applyFont="1" applyBorder="1" applyAlignment="1">
      <alignment horizontal="left" vertical="center" wrapText="1"/>
    </xf>
    <xf numFmtId="166" fontId="6" fillId="0" borderId="35" xfId="1" applyNumberFormat="1" applyFont="1" applyBorder="1" applyAlignment="1">
      <alignment horizontal="center" vertical="center" wrapText="1"/>
    </xf>
    <xf numFmtId="0" fontId="5" fillId="6" borderId="26" xfId="0" applyFont="1" applyFill="1" applyBorder="1" applyAlignment="1">
      <alignment vertical="center"/>
    </xf>
    <xf numFmtId="0" fontId="5" fillId="8" borderId="14" xfId="0" applyFont="1" applyFill="1" applyBorder="1" applyAlignment="1">
      <alignment horizontal="left" vertical="center" wrapText="1"/>
    </xf>
    <xf numFmtId="0" fontId="5" fillId="6" borderId="26" xfId="0" applyFont="1" applyFill="1" applyBorder="1" applyAlignment="1">
      <alignment horizontal="left" vertical="center"/>
    </xf>
    <xf numFmtId="1" fontId="6" fillId="0" borderId="35" xfId="1" applyNumberFormat="1" applyFont="1" applyBorder="1" applyAlignment="1">
      <alignment horizontal="left" vertical="center" wrapText="1"/>
    </xf>
    <xf numFmtId="1" fontId="6" fillId="0" borderId="3" xfId="1" applyNumberFormat="1" applyFont="1" applyBorder="1" applyAlignment="1">
      <alignment horizontal="left" vertical="center" wrapText="1"/>
    </xf>
    <xf numFmtId="166" fontId="3" fillId="0" borderId="22" xfId="1" applyNumberFormat="1" applyFont="1" applyBorder="1" applyAlignment="1">
      <alignment horizontal="left" vertical="center"/>
    </xf>
    <xf numFmtId="0" fontId="7" fillId="11" borderId="0" xfId="0" applyFont="1" applyFill="1" applyAlignment="1">
      <alignment horizontal="left"/>
    </xf>
    <xf numFmtId="169" fontId="3" fillId="0" borderId="0" xfId="2" applyNumberFormat="1" applyFont="1" applyAlignment="1">
      <alignment horizontal="left"/>
    </xf>
    <xf numFmtId="9" fontId="3" fillId="0" borderId="0" xfId="3" applyFont="1" applyAlignment="1">
      <alignment horizontal="left"/>
    </xf>
    <xf numFmtId="169" fontId="6" fillId="0" borderId="3" xfId="1" applyNumberFormat="1" applyFont="1" applyBorder="1" applyAlignment="1">
      <alignment vertical="center" wrapText="1"/>
    </xf>
    <xf numFmtId="169" fontId="3" fillId="0" borderId="36" xfId="1" applyNumberFormat="1" applyFont="1" applyBorder="1" applyAlignment="1">
      <alignment vertical="center"/>
    </xf>
    <xf numFmtId="169" fontId="3" fillId="0" borderId="3" xfId="1" applyNumberFormat="1" applyFont="1" applyBorder="1" applyAlignment="1">
      <alignment vertical="center" wrapText="1"/>
    </xf>
    <xf numFmtId="169" fontId="3" fillId="0" borderId="20" xfId="1" applyNumberFormat="1" applyFont="1" applyBorder="1" applyAlignment="1">
      <alignment vertical="center"/>
    </xf>
    <xf numFmtId="169" fontId="3" fillId="0" borderId="22" xfId="1" applyNumberFormat="1" applyFont="1" applyBorder="1" applyAlignment="1">
      <alignment vertical="center" wrapText="1"/>
    </xf>
    <xf numFmtId="169" fontId="3" fillId="0" borderId="23" xfId="1" applyNumberFormat="1" applyFont="1" applyBorder="1" applyAlignment="1">
      <alignment vertical="center"/>
    </xf>
    <xf numFmtId="169" fontId="3" fillId="10" borderId="37" xfId="1" applyNumberFormat="1" applyFont="1" applyFill="1" applyBorder="1" applyAlignment="1">
      <alignment vertical="center"/>
    </xf>
    <xf numFmtId="0" fontId="11" fillId="0" borderId="0" xfId="0" applyFont="1"/>
    <xf numFmtId="0" fontId="11" fillId="0" borderId="0" xfId="0" applyFont="1" applyAlignment="1">
      <alignment horizontal="center"/>
    </xf>
    <xf numFmtId="168" fontId="11" fillId="0" borderId="20" xfId="0" applyNumberFormat="1" applyFont="1" applyBorder="1" applyAlignment="1">
      <alignment horizontal="center"/>
    </xf>
    <xf numFmtId="0" fontId="11" fillId="0" borderId="0" xfId="0" applyFont="1" applyAlignment="1">
      <alignment horizontal="right"/>
    </xf>
    <xf numFmtId="168" fontId="12" fillId="15" borderId="37" xfId="0" applyNumberFormat="1" applyFont="1" applyFill="1" applyBorder="1" applyAlignment="1">
      <alignment horizontal="center"/>
    </xf>
    <xf numFmtId="168" fontId="12" fillId="15" borderId="41" xfId="0" applyNumberFormat="1" applyFont="1" applyFill="1" applyBorder="1" applyAlignment="1">
      <alignment horizontal="center"/>
    </xf>
    <xf numFmtId="0" fontId="11" fillId="0" borderId="27" xfId="0" applyFont="1" applyBorder="1"/>
    <xf numFmtId="0" fontId="11" fillId="0" borderId="4" xfId="0" applyFont="1" applyBorder="1"/>
    <xf numFmtId="0" fontId="11" fillId="0" borderId="24" xfId="0" applyFont="1" applyBorder="1"/>
    <xf numFmtId="172" fontId="11" fillId="0" borderId="1" xfId="0" applyNumberFormat="1" applyFont="1" applyBorder="1" applyAlignment="1">
      <alignment horizontal="center"/>
    </xf>
    <xf numFmtId="0" fontId="12" fillId="12" borderId="40" xfId="0" applyFont="1" applyFill="1" applyBorder="1" applyAlignment="1">
      <alignment horizontal="center" wrapText="1"/>
    </xf>
    <xf numFmtId="0" fontId="12" fillId="12" borderId="16" xfId="0" applyFont="1" applyFill="1" applyBorder="1" applyAlignment="1">
      <alignment horizontal="center" wrapText="1"/>
    </xf>
    <xf numFmtId="0" fontId="12" fillId="12" borderId="36" xfId="0" applyFont="1" applyFill="1" applyBorder="1" applyAlignment="1">
      <alignment horizontal="center" wrapText="1"/>
    </xf>
    <xf numFmtId="168" fontId="11" fillId="0" borderId="42" xfId="0" applyNumberFormat="1" applyFont="1" applyBorder="1" applyAlignment="1">
      <alignment horizontal="center"/>
    </xf>
    <xf numFmtId="168" fontId="11" fillId="0" borderId="43" xfId="0" applyNumberFormat="1" applyFont="1" applyBorder="1" applyAlignment="1">
      <alignment horizontal="center"/>
    </xf>
    <xf numFmtId="168" fontId="11" fillId="0" borderId="44" xfId="0" applyNumberFormat="1" applyFont="1" applyBorder="1" applyAlignment="1">
      <alignment horizontal="center"/>
    </xf>
    <xf numFmtId="168" fontId="12" fillId="16" borderId="41" xfId="0" applyNumberFormat="1" applyFont="1" applyFill="1" applyBorder="1" applyAlignment="1">
      <alignment horizontal="center"/>
    </xf>
    <xf numFmtId="168" fontId="12" fillId="16" borderId="37" xfId="0" applyNumberFormat="1" applyFont="1" applyFill="1" applyBorder="1" applyAlignment="1">
      <alignment horizontal="center"/>
    </xf>
    <xf numFmtId="172" fontId="11" fillId="0" borderId="45" xfId="0" applyNumberFormat="1" applyFont="1" applyBorder="1" applyAlignment="1">
      <alignment horizontal="center"/>
    </xf>
    <xf numFmtId="168" fontId="11" fillId="0" borderId="46" xfId="0" applyNumberFormat="1" applyFont="1" applyBorder="1" applyAlignment="1">
      <alignment horizontal="center"/>
    </xf>
    <xf numFmtId="168" fontId="12" fillId="15" borderId="7" xfId="0" applyNumberFormat="1" applyFont="1" applyFill="1" applyBorder="1" applyAlignment="1">
      <alignment horizontal="center"/>
    </xf>
    <xf numFmtId="172" fontId="12" fillId="14" borderId="47" xfId="0" applyNumberFormat="1" applyFont="1" applyFill="1" applyBorder="1" applyAlignment="1">
      <alignment horizontal="center"/>
    </xf>
    <xf numFmtId="172" fontId="12" fillId="14" borderId="7" xfId="0" applyNumberFormat="1" applyFont="1" applyFill="1" applyBorder="1" applyAlignment="1">
      <alignment horizontal="center"/>
    </xf>
    <xf numFmtId="168" fontId="12" fillId="14" borderId="48" xfId="0" applyNumberFormat="1" applyFont="1" applyFill="1" applyBorder="1" applyAlignment="1">
      <alignment horizontal="center"/>
    </xf>
    <xf numFmtId="0" fontId="10" fillId="3" borderId="38" xfId="0" applyFont="1" applyFill="1" applyBorder="1" applyAlignment="1">
      <alignment horizontal="center"/>
    </xf>
    <xf numFmtId="0" fontId="10" fillId="3" borderId="0" xfId="0" applyFont="1" applyFill="1" applyAlignment="1">
      <alignment horizontal="center"/>
    </xf>
    <xf numFmtId="0" fontId="10" fillId="3" borderId="39" xfId="0" applyFont="1" applyFill="1" applyBorder="1" applyAlignment="1">
      <alignment horizontal="center"/>
    </xf>
    <xf numFmtId="172" fontId="12" fillId="14" borderId="5" xfId="0" applyNumberFormat="1" applyFont="1" applyFill="1" applyBorder="1" applyAlignment="1">
      <alignment horizontal="center"/>
    </xf>
    <xf numFmtId="172" fontId="12" fillId="14" borderId="7" xfId="0" applyNumberFormat="1" applyFont="1" applyFill="1" applyBorder="1" applyAlignment="1">
      <alignment horizontal="center"/>
    </xf>
    <xf numFmtId="168" fontId="12" fillId="16" borderId="5" xfId="0" applyNumberFormat="1" applyFont="1" applyFill="1" applyBorder="1" applyAlignment="1">
      <alignment horizontal="center"/>
    </xf>
    <xf numFmtId="168" fontId="12" fillId="16" borderId="7" xfId="0" applyNumberFormat="1" applyFont="1" applyFill="1" applyBorder="1" applyAlignment="1">
      <alignment horizontal="center"/>
    </xf>
    <xf numFmtId="0" fontId="5" fillId="0" borderId="27"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29" xfId="0" applyFont="1" applyBorder="1" applyAlignment="1">
      <alignment horizontal="center" vertical="center" wrapText="1"/>
    </xf>
    <xf numFmtId="0" fontId="8" fillId="0" borderId="3" xfId="0" applyFont="1" applyBorder="1" applyAlignment="1">
      <alignment horizontal="center" vertical="center"/>
    </xf>
    <xf numFmtId="0" fontId="4" fillId="4" borderId="2" xfId="0" applyFont="1" applyFill="1" applyBorder="1" applyAlignment="1">
      <alignment horizontal="center" vertical="center"/>
    </xf>
    <xf numFmtId="0" fontId="4" fillId="4" borderId="0" xfId="0" applyFont="1" applyFill="1" applyAlignment="1">
      <alignment horizontal="center" vertical="center"/>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5" xfId="4" applyFont="1" applyFill="1" applyBorder="1" applyAlignment="1">
      <alignment horizontal="center"/>
    </xf>
    <xf numFmtId="0" fontId="5" fillId="5" borderId="6" xfId="4" applyFont="1" applyFill="1" applyBorder="1" applyAlignment="1">
      <alignment horizontal="center"/>
    </xf>
    <xf numFmtId="0" fontId="5" fillId="5" borderId="7" xfId="4" applyFont="1" applyFill="1" applyBorder="1" applyAlignment="1">
      <alignment horizontal="center"/>
    </xf>
    <xf numFmtId="0" fontId="5" fillId="5" borderId="8" xfId="4" applyFont="1" applyFill="1" applyBorder="1" applyAlignment="1">
      <alignment horizontal="center"/>
    </xf>
    <xf numFmtId="0" fontId="5" fillId="5" borderId="9" xfId="4" applyFont="1" applyFill="1" applyBorder="1" applyAlignment="1">
      <alignment horizontal="center"/>
    </xf>
    <xf numFmtId="0" fontId="5" fillId="5" borderId="10" xfId="4" applyFont="1" applyFill="1" applyBorder="1" applyAlignment="1">
      <alignment horizontal="center"/>
    </xf>
    <xf numFmtId="0" fontId="5" fillId="0" borderId="3" xfId="0" applyFont="1" applyBorder="1" applyAlignment="1">
      <alignment horizontal="left" vertical="center" wrapText="1"/>
    </xf>
    <xf numFmtId="0" fontId="3" fillId="0" borderId="30"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3" xfId="0" applyFont="1" applyBorder="1" applyAlignment="1">
      <alignment horizontal="left" vertical="center" wrapText="1"/>
    </xf>
    <xf numFmtId="0" fontId="3" fillId="0" borderId="31" xfId="0" applyFont="1" applyBorder="1" applyAlignment="1">
      <alignment horizontal="center" vertical="center" wrapText="1"/>
    </xf>
    <xf numFmtId="0" fontId="3" fillId="0" borderId="0" xfId="0" applyFont="1" applyAlignment="1">
      <alignment horizontal="center" vertical="center" wrapText="1"/>
    </xf>
  </cellXfs>
  <cellStyles count="5">
    <cellStyle name="Bad" xfId="4" builtinId="27"/>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1F226-80FA-4FE8-A1ED-10157B2D1131}">
  <dimension ref="C5:G13"/>
  <sheetViews>
    <sheetView tabSelected="1" topLeftCell="A3" workbookViewId="0">
      <selection activeCell="O14" sqref="O14"/>
    </sheetView>
  </sheetViews>
  <sheetFormatPr defaultRowHeight="14.4"/>
  <cols>
    <col min="3" max="3" width="10.21875" bestFit="1" customWidth="1"/>
    <col min="4" max="4" width="12.21875" customWidth="1"/>
    <col min="5" max="5" width="13" customWidth="1"/>
    <col min="6" max="6" width="7.88671875" customWidth="1"/>
    <col min="7" max="7" width="9.6640625" customWidth="1"/>
  </cols>
  <sheetData>
    <row r="5" spans="3:7">
      <c r="C5" s="113" t="s">
        <v>80</v>
      </c>
      <c r="D5" s="114"/>
      <c r="E5" s="114"/>
      <c r="F5" s="114"/>
      <c r="G5" s="115"/>
    </row>
    <row r="6" spans="3:7" ht="15" thickBot="1">
      <c r="C6" s="89"/>
      <c r="D6" s="90"/>
      <c r="E6" s="90"/>
      <c r="F6" s="90"/>
      <c r="G6" s="90"/>
    </row>
    <row r="7" spans="3:7" ht="25.2" thickBot="1">
      <c r="C7" s="89"/>
      <c r="D7" s="100" t="s">
        <v>84</v>
      </c>
      <c r="E7" s="101" t="s">
        <v>87</v>
      </c>
      <c r="F7" s="99" t="s">
        <v>85</v>
      </c>
      <c r="G7" s="99" t="s">
        <v>86</v>
      </c>
    </row>
    <row r="8" spans="3:7">
      <c r="C8" s="95" t="s">
        <v>81</v>
      </c>
      <c r="D8" s="98">
        <f>'Price Comparison '!P13</f>
        <v>39000</v>
      </c>
      <c r="E8" s="91">
        <f>D8*98/10^7</f>
        <v>0.38219999999999998</v>
      </c>
      <c r="F8" s="102">
        <f>'Price Comparison '!E13/10^7</f>
        <v>0.99873679999999998</v>
      </c>
      <c r="G8" s="102">
        <f>'Price Comparison '!J13/10^7</f>
        <v>5.8920000000000003</v>
      </c>
    </row>
    <row r="9" spans="3:7">
      <c r="C9" s="96" t="s">
        <v>82</v>
      </c>
      <c r="D9" s="98">
        <f>'Price Comparison '!Q13</f>
        <v>42335.788799999995</v>
      </c>
      <c r="E9" s="91">
        <f>D9*98/10^7</f>
        <v>0.41489073023999995</v>
      </c>
      <c r="F9" s="103">
        <f>'Price Comparison '!F13/10^7</f>
        <v>1.0436104800000001</v>
      </c>
      <c r="G9" s="103">
        <f>'Price Comparison '!K13/10^7</f>
        <v>5.9352</v>
      </c>
    </row>
    <row r="10" spans="3:7" ht="15" thickBot="1">
      <c r="C10" s="97" t="s">
        <v>83</v>
      </c>
      <c r="D10" s="107">
        <f>'Price Comparison '!R13</f>
        <v>45948.000120960001</v>
      </c>
      <c r="E10" s="108">
        <f>D10*98/10^7</f>
        <v>0.45029040118540803</v>
      </c>
      <c r="F10" s="104">
        <f>'Price Comparison '!G13/10^7</f>
        <v>1.147971528</v>
      </c>
      <c r="G10" s="104">
        <f>'Price Comparison '!L13/10^7</f>
        <v>5.9827199999999996</v>
      </c>
    </row>
    <row r="11" spans="3:7" ht="15" thickBot="1">
      <c r="C11" s="92"/>
      <c r="D11" s="110">
        <f>SUM(D8:D10)</f>
        <v>127283.78892096</v>
      </c>
      <c r="E11" s="112">
        <f>SUM(E8:E10)</f>
        <v>1.247381131425408</v>
      </c>
      <c r="F11" s="94">
        <f>SUM(F8:F10)</f>
        <v>3.1903188079999998</v>
      </c>
      <c r="G11" s="105">
        <f>SUM(G8:G10)</f>
        <v>17.809920000000002</v>
      </c>
    </row>
    <row r="12" spans="3:7" ht="15" thickBot="1">
      <c r="D12" s="116" t="s">
        <v>21</v>
      </c>
      <c r="E12" s="117"/>
      <c r="F12" s="109" t="s">
        <v>23</v>
      </c>
      <c r="G12" s="106" t="s">
        <v>34</v>
      </c>
    </row>
    <row r="13" spans="3:7" ht="15" thickBot="1">
      <c r="D13" s="118" t="s">
        <v>25</v>
      </c>
      <c r="E13" s="119"/>
      <c r="F13" s="111" t="s">
        <v>22</v>
      </c>
      <c r="G13" s="93" t="s">
        <v>24</v>
      </c>
    </row>
  </sheetData>
  <mergeCells count="3">
    <mergeCell ref="C5:G5"/>
    <mergeCell ref="D12:E12"/>
    <mergeCell ref="D13:E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36694-A18B-4661-80B2-8978B099A2F2}">
  <dimension ref="B3:X34"/>
  <sheetViews>
    <sheetView showGridLines="0" topLeftCell="C2" zoomScale="90" zoomScaleNormal="90" workbookViewId="0">
      <selection activeCell="M15" sqref="M15"/>
    </sheetView>
  </sheetViews>
  <sheetFormatPr defaultColWidth="8.77734375" defaultRowHeight="13.2"/>
  <cols>
    <col min="1" max="1" width="1.77734375" style="1" customWidth="1"/>
    <col min="2" max="2" width="23.21875" style="1" customWidth="1"/>
    <col min="3" max="3" width="10.109375" style="50" customWidth="1"/>
    <col min="4" max="4" width="8" style="2" bestFit="1" customWidth="1"/>
    <col min="5" max="5" width="10" style="2" bestFit="1" customWidth="1"/>
    <col min="6" max="8" width="11" style="2" bestFit="1" customWidth="1"/>
    <col min="9" max="9" width="18.6640625" style="31" customWidth="1"/>
    <col min="10" max="10" width="12.77734375" style="1" customWidth="1"/>
    <col min="11" max="12" width="11" style="1" bestFit="1" customWidth="1"/>
    <col min="13" max="13" width="12" style="1" bestFit="1" customWidth="1"/>
    <col min="14" max="14" width="25.21875" style="1" customWidth="1"/>
    <col min="15" max="15" width="5.44140625" style="31" customWidth="1"/>
    <col min="16" max="16" width="15.33203125" style="31" customWidth="1"/>
    <col min="17" max="17" width="10.77734375" style="31" bestFit="1" customWidth="1"/>
    <col min="18" max="18" width="14.5546875" style="31" customWidth="1"/>
    <col min="19" max="19" width="12" style="1" bestFit="1" customWidth="1"/>
    <col min="20" max="20" width="13.6640625" style="1" bestFit="1" customWidth="1"/>
    <col min="21" max="21" width="10" style="1" bestFit="1" customWidth="1"/>
    <col min="22" max="22" width="13.33203125" style="1" bestFit="1" customWidth="1"/>
    <col min="23" max="23" width="8.77734375" style="1"/>
    <col min="24" max="24" width="8.77734375" style="1" bestFit="1" customWidth="1"/>
    <col min="25" max="16384" width="8.77734375" style="1"/>
  </cols>
  <sheetData>
    <row r="3" spans="2:24">
      <c r="B3" s="3" t="s">
        <v>35</v>
      </c>
      <c r="M3" s="4"/>
      <c r="N3" s="4"/>
    </row>
    <row r="4" spans="2:24">
      <c r="E4" s="53"/>
      <c r="F4" s="54"/>
    </row>
    <row r="5" spans="2:24">
      <c r="N5" s="1">
        <v>1</v>
      </c>
      <c r="O5" s="42"/>
    </row>
    <row r="6" spans="2:24" ht="17.25" customHeight="1" thickBot="1">
      <c r="B6" s="124" t="s">
        <v>36</v>
      </c>
      <c r="C6" s="125"/>
      <c r="D6" s="125"/>
      <c r="E6" s="125"/>
      <c r="F6" s="125"/>
      <c r="G6" s="125"/>
      <c r="H6" s="125"/>
      <c r="I6" s="125"/>
      <c r="J6" s="125"/>
      <c r="K6" s="125"/>
      <c r="L6" s="125"/>
      <c r="M6" s="125"/>
      <c r="N6" s="125"/>
      <c r="O6" s="125"/>
      <c r="P6" s="125"/>
      <c r="Q6" s="125"/>
      <c r="R6" s="125"/>
      <c r="S6" s="125"/>
    </row>
    <row r="7" spans="2:24" ht="14.55" customHeight="1" thickBot="1">
      <c r="B7" s="126" t="s">
        <v>0</v>
      </c>
      <c r="C7" s="127"/>
      <c r="D7" s="128" t="s">
        <v>1</v>
      </c>
      <c r="E7" s="129"/>
      <c r="F7" s="129"/>
      <c r="G7" s="129"/>
      <c r="H7" s="130"/>
      <c r="I7" s="131" t="s">
        <v>2</v>
      </c>
      <c r="J7" s="132"/>
      <c r="K7" s="132"/>
      <c r="L7" s="132"/>
      <c r="M7" s="133"/>
      <c r="N7" s="131" t="s">
        <v>3</v>
      </c>
      <c r="O7" s="132"/>
      <c r="P7" s="132"/>
      <c r="Q7" s="132"/>
      <c r="R7" s="132"/>
      <c r="S7" s="133"/>
    </row>
    <row r="8" spans="2:24" ht="27" thickBot="1">
      <c r="B8" s="59" t="s">
        <v>4</v>
      </c>
      <c r="C8" s="60" t="s">
        <v>5</v>
      </c>
      <c r="D8" s="61" t="s">
        <v>6</v>
      </c>
      <c r="E8" s="55" t="s">
        <v>7</v>
      </c>
      <c r="F8" s="56" t="s">
        <v>8</v>
      </c>
      <c r="G8" s="7" t="s">
        <v>9</v>
      </c>
      <c r="H8" s="8" t="s">
        <v>10</v>
      </c>
      <c r="I8" s="75" t="s">
        <v>4</v>
      </c>
      <c r="J8" s="36" t="s">
        <v>7</v>
      </c>
      <c r="K8" s="36" t="s">
        <v>8</v>
      </c>
      <c r="L8" s="10" t="s">
        <v>9</v>
      </c>
      <c r="M8" s="11" t="s">
        <v>10</v>
      </c>
      <c r="N8" s="73" t="s">
        <v>4</v>
      </c>
      <c r="O8" s="74" t="s">
        <v>11</v>
      </c>
      <c r="P8" s="74" t="s">
        <v>7</v>
      </c>
      <c r="Q8" s="9" t="s">
        <v>8</v>
      </c>
      <c r="R8" s="74" t="s">
        <v>9</v>
      </c>
      <c r="S8" s="11" t="s">
        <v>10</v>
      </c>
    </row>
    <row r="9" spans="2:24" ht="26.4">
      <c r="B9" s="38" t="s">
        <v>37</v>
      </c>
      <c r="C9" s="62" t="s">
        <v>12</v>
      </c>
      <c r="D9" s="62">
        <v>12</v>
      </c>
      <c r="E9" s="13">
        <f>(2400000*0.15972*D9)+(2400000*0.03993*D9)</f>
        <v>5749920</v>
      </c>
      <c r="F9" s="13">
        <f>(2640000*0.15972*D9)++(2640000*0.03993*D9)</f>
        <v>6324912</v>
      </c>
      <c r="G9" s="13">
        <f>(2904000*0.15972*D9)++(2904000*0.03993*D9)</f>
        <v>6957403.2000000011</v>
      </c>
      <c r="H9" s="67">
        <f>SUM(E9:G9)</f>
        <v>19032235.200000003</v>
      </c>
      <c r="I9" s="71" t="s">
        <v>38</v>
      </c>
      <c r="J9" s="72">
        <f>4500000*12</f>
        <v>54000000</v>
      </c>
      <c r="K9" s="72">
        <f>J9</f>
        <v>54000000</v>
      </c>
      <c r="L9" s="72">
        <f>K9</f>
        <v>54000000</v>
      </c>
      <c r="M9" s="14">
        <f>SUM(J9:L9)</f>
        <v>162000000</v>
      </c>
      <c r="N9" s="71" t="s">
        <v>39</v>
      </c>
      <c r="O9" s="76" t="s">
        <v>13</v>
      </c>
      <c r="P9" s="82">
        <f>0.00125*2400000*12*N5</f>
        <v>36000</v>
      </c>
      <c r="Q9" s="82">
        <f>0.00124166*2640000*12*N5</f>
        <v>39335.788799999995</v>
      </c>
      <c r="R9" s="82">
        <f>0.00123243802*2904000*12*N5</f>
        <v>42948.000120960001</v>
      </c>
      <c r="S9" s="83">
        <f>SUM(P9:R9)</f>
        <v>118283.78892096</v>
      </c>
      <c r="T9" s="39"/>
      <c r="U9" s="39"/>
      <c r="V9" s="39"/>
      <c r="X9" s="4"/>
    </row>
    <row r="10" spans="2:24" ht="39.6">
      <c r="B10" s="63" t="s">
        <v>31</v>
      </c>
      <c r="C10" s="12" t="s">
        <v>12</v>
      </c>
      <c r="D10" s="12">
        <v>12</v>
      </c>
      <c r="E10" s="16">
        <f>2400000*0.099825*D10</f>
        <v>2874960</v>
      </c>
      <c r="F10" s="16">
        <f>2640000*0.099825*D10</f>
        <v>3162456</v>
      </c>
      <c r="G10" s="16">
        <f>2904000*0.099825*D10</f>
        <v>3478701.5999999996</v>
      </c>
      <c r="H10" s="17">
        <f>SUM(E10:G10)</f>
        <v>9516117.5999999996</v>
      </c>
      <c r="I10" s="63" t="s">
        <v>40</v>
      </c>
      <c r="J10" s="37">
        <f>0.15*2400000 *12</f>
        <v>4320000</v>
      </c>
      <c r="K10" s="37">
        <f>0.15*2640000*12</f>
        <v>4752000</v>
      </c>
      <c r="L10" s="37">
        <f>0.15*2904000*12</f>
        <v>5227200</v>
      </c>
      <c r="M10" s="17">
        <f>SUM(J10:L10)</f>
        <v>14299200</v>
      </c>
      <c r="N10" s="40" t="s">
        <v>15</v>
      </c>
      <c r="O10" s="77" t="s">
        <v>13</v>
      </c>
      <c r="P10" s="84">
        <v>0</v>
      </c>
      <c r="Q10" s="84">
        <v>0</v>
      </c>
      <c r="R10" s="84">
        <v>0</v>
      </c>
      <c r="S10" s="85">
        <f t="shared" ref="S10:S13" si="0">SUM(P10:R10)</f>
        <v>0</v>
      </c>
      <c r="T10" s="39"/>
      <c r="U10" s="39"/>
    </row>
    <row r="11" spans="2:24" ht="26.4">
      <c r="B11" s="63" t="s">
        <v>32</v>
      </c>
      <c r="C11" s="12" t="s">
        <v>12</v>
      </c>
      <c r="D11" s="12">
        <v>1</v>
      </c>
      <c r="E11" s="16">
        <f>((E9+E10)*10%)</f>
        <v>862488</v>
      </c>
      <c r="F11" s="16">
        <f>((F9+F10)*10%)*D11</f>
        <v>948736.8</v>
      </c>
      <c r="G11" s="16">
        <f>((G9+G10)*10%)*D11</f>
        <v>1043610.4800000001</v>
      </c>
      <c r="H11" s="17">
        <f>SUM(E11:G11)</f>
        <v>2854835.2800000003</v>
      </c>
      <c r="I11" s="40" t="s">
        <v>14</v>
      </c>
      <c r="J11" s="37">
        <f>50000*12</f>
        <v>600000</v>
      </c>
      <c r="K11" s="37">
        <f>J11</f>
        <v>600000</v>
      </c>
      <c r="L11" s="37">
        <f>K11</f>
        <v>600000</v>
      </c>
      <c r="M11" s="17">
        <f>SUM(J11:L11)</f>
        <v>1800000</v>
      </c>
      <c r="N11" s="40" t="s">
        <v>17</v>
      </c>
      <c r="O11" s="77" t="s">
        <v>13</v>
      </c>
      <c r="P11" s="84">
        <f>2.5*N5</f>
        <v>2.5</v>
      </c>
      <c r="Q11" s="84"/>
      <c r="R11" s="84"/>
      <c r="S11" s="85">
        <f t="shared" si="0"/>
        <v>2.5</v>
      </c>
    </row>
    <row r="12" spans="2:24" s="18" customFormat="1" ht="39.6">
      <c r="B12" s="63" t="s">
        <v>33</v>
      </c>
      <c r="C12" s="12"/>
      <c r="D12" s="12">
        <v>1</v>
      </c>
      <c r="E12" s="16">
        <v>500000</v>
      </c>
      <c r="F12" s="16">
        <v>0</v>
      </c>
      <c r="G12" s="16">
        <v>0</v>
      </c>
      <c r="H12" s="17">
        <f>SUM(E12:G12)</f>
        <v>500000</v>
      </c>
      <c r="I12" s="69" t="s">
        <v>16</v>
      </c>
      <c r="J12" s="37">
        <v>2000</v>
      </c>
      <c r="K12" s="37">
        <v>0</v>
      </c>
      <c r="L12" s="37">
        <v>0</v>
      </c>
      <c r="M12" s="41">
        <v>0</v>
      </c>
      <c r="N12" s="42" t="s">
        <v>18</v>
      </c>
      <c r="O12" s="77" t="s">
        <v>13</v>
      </c>
      <c r="P12" s="84">
        <f>250*N5*12</f>
        <v>3000</v>
      </c>
      <c r="Q12" s="84">
        <f>P12</f>
        <v>3000</v>
      </c>
      <c r="R12" s="84">
        <f>Q12</f>
        <v>3000</v>
      </c>
      <c r="S12" s="85">
        <f t="shared" si="0"/>
        <v>9000</v>
      </c>
    </row>
    <row r="13" spans="2:24" ht="13.8" thickBot="1">
      <c r="B13" s="64" t="s">
        <v>19</v>
      </c>
      <c r="C13" s="65" t="s">
        <v>13</v>
      </c>
      <c r="D13" s="65">
        <v>1</v>
      </c>
      <c r="E13" s="66">
        <f>SUM(E9:E12)</f>
        <v>9987368</v>
      </c>
      <c r="F13" s="66">
        <f>SUM(F9:F12)</f>
        <v>10436104.800000001</v>
      </c>
      <c r="G13" s="66">
        <f>SUM(G9:G12)</f>
        <v>11479715.280000001</v>
      </c>
      <c r="H13" s="68">
        <f>SUM(H9:H12)</f>
        <v>31903188.080000006</v>
      </c>
      <c r="I13" s="70"/>
      <c r="J13" s="15">
        <f>SUM(J9:J11)</f>
        <v>58920000</v>
      </c>
      <c r="K13" s="15">
        <f>SUM(K9:K11)</f>
        <v>59352000</v>
      </c>
      <c r="L13" s="15">
        <f>SUM(L9:L11)</f>
        <v>59827200</v>
      </c>
      <c r="M13" s="19">
        <f>SUM(J13:L13)</f>
        <v>178099200</v>
      </c>
      <c r="N13" s="43"/>
      <c r="O13" s="78"/>
      <c r="P13" s="86">
        <f>SUM(P9:P12)-P11</f>
        <v>39000</v>
      </c>
      <c r="Q13" s="86">
        <f t="shared" ref="Q13:R13" si="1">SUM(Q9:Q12)-Q11</f>
        <v>42335.788799999995</v>
      </c>
      <c r="R13" s="86">
        <f t="shared" si="1"/>
        <v>45948.000120960001</v>
      </c>
      <c r="S13" s="87">
        <f t="shared" si="0"/>
        <v>127283.78892096</v>
      </c>
    </row>
    <row r="14" spans="2:24" ht="13.8" thickBot="1">
      <c r="B14" s="20"/>
      <c r="E14" s="21"/>
      <c r="F14" s="21"/>
      <c r="G14" s="21"/>
      <c r="H14" s="21"/>
      <c r="I14" s="57"/>
      <c r="M14" s="4"/>
      <c r="P14" s="57"/>
      <c r="Q14" s="57"/>
      <c r="R14" s="57"/>
      <c r="S14" s="4"/>
      <c r="T14" s="1" t="s">
        <v>62</v>
      </c>
    </row>
    <row r="15" spans="2:24" ht="13.8" thickBot="1">
      <c r="B15" s="22" t="s">
        <v>20</v>
      </c>
      <c r="C15" s="23"/>
      <c r="D15" s="23"/>
      <c r="E15" s="24"/>
      <c r="F15" s="24"/>
      <c r="G15" s="24"/>
      <c r="H15" s="25">
        <f>H13</f>
        <v>31903188.080000006</v>
      </c>
      <c r="I15" s="58"/>
      <c r="L15" s="26"/>
      <c r="M15" s="25">
        <f>M13</f>
        <v>178099200</v>
      </c>
      <c r="S15" s="88">
        <f>S13</f>
        <v>127283.78892096</v>
      </c>
      <c r="T15" s="27">
        <f>S15*96</f>
        <v>12219243.73641216</v>
      </c>
    </row>
    <row r="17" spans="3:20">
      <c r="G17" s="29" t="s">
        <v>23</v>
      </c>
      <c r="H17" s="28" t="s">
        <v>22</v>
      </c>
      <c r="L17" s="30" t="s">
        <v>34</v>
      </c>
      <c r="M17" s="29" t="s">
        <v>24</v>
      </c>
      <c r="N17" s="26"/>
      <c r="R17" s="79" t="s">
        <v>21</v>
      </c>
      <c r="S17" s="30" t="s">
        <v>25</v>
      </c>
    </row>
    <row r="18" spans="3:20">
      <c r="M18" s="4"/>
      <c r="N18" s="4"/>
    </row>
    <row r="19" spans="3:20">
      <c r="F19" s="21"/>
      <c r="G19" s="21"/>
      <c r="H19" s="32"/>
    </row>
    <row r="20" spans="3:20">
      <c r="F20" s="53"/>
      <c r="G20" s="53"/>
      <c r="H20" s="32"/>
      <c r="P20" s="80"/>
    </row>
    <row r="21" spans="3:20" ht="13.8" thickBot="1">
      <c r="F21" s="54"/>
      <c r="G21" s="54"/>
      <c r="H21" s="34"/>
      <c r="M21" s="26"/>
      <c r="N21" s="4"/>
      <c r="P21" s="81"/>
    </row>
    <row r="22" spans="3:20" ht="52.5" customHeight="1">
      <c r="C22" s="51"/>
      <c r="D22" s="120" t="s">
        <v>41</v>
      </c>
      <c r="E22" s="121"/>
      <c r="F22" s="122"/>
      <c r="J22" s="44"/>
      <c r="K22" s="123" t="s">
        <v>79</v>
      </c>
      <c r="L22" s="123"/>
      <c r="M22" s="26"/>
      <c r="N22" s="45"/>
      <c r="O22" s="134" t="s">
        <v>42</v>
      </c>
      <c r="P22" s="134"/>
      <c r="Q22" s="134"/>
      <c r="R22" s="134"/>
      <c r="S22" s="46"/>
      <c r="T22" s="6"/>
    </row>
    <row r="23" spans="3:20" ht="25.95" customHeight="1">
      <c r="C23" s="52" t="s">
        <v>26</v>
      </c>
      <c r="D23" s="135" t="s">
        <v>43</v>
      </c>
      <c r="E23" s="136"/>
      <c r="F23" s="137"/>
      <c r="H23" s="35"/>
      <c r="J23" s="47" t="s">
        <v>26</v>
      </c>
      <c r="K23" s="138" t="s">
        <v>44</v>
      </c>
      <c r="L23" s="138"/>
      <c r="M23" s="4"/>
      <c r="N23" s="48" t="s">
        <v>26</v>
      </c>
      <c r="O23" s="138" t="s">
        <v>45</v>
      </c>
      <c r="P23" s="138"/>
      <c r="Q23" s="138"/>
      <c r="R23" s="138"/>
      <c r="S23" s="49"/>
    </row>
    <row r="24" spans="3:20" ht="25.95" customHeight="1">
      <c r="C24" s="52" t="s">
        <v>28</v>
      </c>
      <c r="D24" s="135" t="s">
        <v>46</v>
      </c>
      <c r="E24" s="136"/>
      <c r="F24" s="137"/>
      <c r="J24" s="47" t="s">
        <v>28</v>
      </c>
      <c r="K24" s="138" t="s">
        <v>47</v>
      </c>
      <c r="L24" s="138"/>
      <c r="M24" s="5"/>
      <c r="N24" s="48" t="s">
        <v>28</v>
      </c>
      <c r="O24" s="138" t="s">
        <v>12</v>
      </c>
      <c r="P24" s="138"/>
      <c r="Q24" s="138"/>
      <c r="R24" s="138"/>
      <c r="S24" s="33"/>
    </row>
    <row r="25" spans="3:20" ht="25.95" customHeight="1">
      <c r="C25" s="52" t="s">
        <v>29</v>
      </c>
      <c r="D25" s="135" t="s">
        <v>48</v>
      </c>
      <c r="E25" s="136"/>
      <c r="F25" s="137"/>
      <c r="J25" s="47" t="s">
        <v>29</v>
      </c>
      <c r="K25" s="138" t="s">
        <v>49</v>
      </c>
      <c r="L25" s="138"/>
      <c r="M25" s="33"/>
      <c r="N25" s="48" t="s">
        <v>29</v>
      </c>
      <c r="O25" s="138" t="s">
        <v>50</v>
      </c>
      <c r="P25" s="138"/>
      <c r="Q25" s="138"/>
      <c r="R25" s="138"/>
    </row>
    <row r="26" spans="3:20" ht="25.95" customHeight="1">
      <c r="C26" s="52" t="s">
        <v>27</v>
      </c>
      <c r="D26" s="135" t="s">
        <v>30</v>
      </c>
      <c r="E26" s="136"/>
      <c r="F26" s="137"/>
      <c r="J26" s="47" t="s">
        <v>27</v>
      </c>
      <c r="K26" s="138" t="s">
        <v>51</v>
      </c>
      <c r="L26" s="138"/>
      <c r="N26" s="48" t="s">
        <v>27</v>
      </c>
      <c r="O26" s="138" t="s">
        <v>52</v>
      </c>
      <c r="P26" s="138"/>
      <c r="Q26" s="138"/>
      <c r="R26" s="138"/>
    </row>
    <row r="27" spans="3:20" ht="25.95" customHeight="1">
      <c r="C27" s="52" t="s">
        <v>53</v>
      </c>
      <c r="D27" s="135" t="s">
        <v>54</v>
      </c>
      <c r="E27" s="136"/>
      <c r="F27" s="137"/>
      <c r="J27" s="47" t="s">
        <v>53</v>
      </c>
      <c r="K27" s="138" t="s">
        <v>55</v>
      </c>
      <c r="L27" s="138"/>
      <c r="N27" s="48" t="s">
        <v>53</v>
      </c>
      <c r="O27" s="138" t="s">
        <v>56</v>
      </c>
      <c r="P27" s="138"/>
      <c r="Q27" s="138"/>
      <c r="R27" s="138"/>
    </row>
    <row r="28" spans="3:20" ht="25.95" customHeight="1">
      <c r="C28" s="52" t="s">
        <v>57</v>
      </c>
      <c r="D28" s="135" t="s">
        <v>58</v>
      </c>
      <c r="E28" s="136"/>
      <c r="F28" s="137"/>
      <c r="J28" s="47" t="s">
        <v>57</v>
      </c>
      <c r="K28" s="138" t="s">
        <v>59</v>
      </c>
      <c r="L28" s="138"/>
      <c r="N28" s="48" t="s">
        <v>57</v>
      </c>
      <c r="O28" s="138" t="s">
        <v>60</v>
      </c>
      <c r="P28" s="138"/>
      <c r="Q28" s="138"/>
      <c r="R28" s="138"/>
    </row>
    <row r="29" spans="3:20" ht="96" customHeight="1">
      <c r="C29" s="52" t="s">
        <v>61</v>
      </c>
      <c r="D29" s="135" t="s">
        <v>62</v>
      </c>
      <c r="E29" s="136"/>
      <c r="F29" s="137"/>
      <c r="J29" s="47" t="s">
        <v>61</v>
      </c>
      <c r="K29" s="138" t="s">
        <v>63</v>
      </c>
      <c r="L29" s="138"/>
      <c r="N29" s="48" t="s">
        <v>64</v>
      </c>
      <c r="O29" s="138" t="s">
        <v>65</v>
      </c>
      <c r="P29" s="138"/>
      <c r="Q29" s="138"/>
      <c r="R29" s="138"/>
    </row>
    <row r="30" spans="3:20" ht="76.95" customHeight="1">
      <c r="C30" s="52" t="s">
        <v>66</v>
      </c>
      <c r="D30" s="135" t="s">
        <v>67</v>
      </c>
      <c r="E30" s="136"/>
      <c r="F30" s="137"/>
      <c r="J30" s="47" t="s">
        <v>68</v>
      </c>
      <c r="K30" s="138" t="s">
        <v>69</v>
      </c>
      <c r="L30" s="138"/>
      <c r="N30" s="48" t="s">
        <v>61</v>
      </c>
      <c r="O30" s="138" t="s">
        <v>70</v>
      </c>
      <c r="P30" s="138"/>
      <c r="Q30" s="138"/>
      <c r="R30" s="138"/>
    </row>
    <row r="31" spans="3:20" ht="13.05" customHeight="1">
      <c r="C31" s="52" t="s">
        <v>68</v>
      </c>
      <c r="D31" s="135" t="s">
        <v>71</v>
      </c>
      <c r="E31" s="136"/>
      <c r="F31" s="137"/>
      <c r="J31" s="47" t="s">
        <v>72</v>
      </c>
      <c r="K31" s="138" t="s">
        <v>73</v>
      </c>
      <c r="L31" s="138"/>
      <c r="N31" s="48" t="s">
        <v>74</v>
      </c>
      <c r="O31" s="138" t="s">
        <v>75</v>
      </c>
      <c r="P31" s="138"/>
      <c r="Q31" s="138"/>
      <c r="R31" s="138"/>
    </row>
    <row r="32" spans="3:20">
      <c r="C32" s="52" t="s">
        <v>72</v>
      </c>
      <c r="D32" s="135" t="s">
        <v>76</v>
      </c>
      <c r="E32" s="136"/>
      <c r="F32" s="137"/>
      <c r="J32" s="47" t="s">
        <v>74</v>
      </c>
      <c r="K32" s="138" t="s">
        <v>77</v>
      </c>
      <c r="L32" s="138"/>
    </row>
    <row r="33" spans="3:7" ht="52.8">
      <c r="C33" s="52" t="s">
        <v>74</v>
      </c>
      <c r="D33" s="135" t="s">
        <v>78</v>
      </c>
      <c r="E33" s="136"/>
      <c r="F33" s="137"/>
    </row>
    <row r="34" spans="3:7">
      <c r="E34" s="139"/>
      <c r="F34" s="140"/>
      <c r="G34" s="140"/>
    </row>
  </sheetData>
  <mergeCells count="39">
    <mergeCell ref="O31:R31"/>
    <mergeCell ref="E34:G34"/>
    <mergeCell ref="D31:F31"/>
    <mergeCell ref="K31:L31"/>
    <mergeCell ref="D32:F32"/>
    <mergeCell ref="K32:L32"/>
    <mergeCell ref="D33:F33"/>
    <mergeCell ref="D29:F29"/>
    <mergeCell ref="K29:L29"/>
    <mergeCell ref="D30:F30"/>
    <mergeCell ref="K30:L30"/>
    <mergeCell ref="O29:R29"/>
    <mergeCell ref="O30:R30"/>
    <mergeCell ref="D27:F27"/>
    <mergeCell ref="K27:L27"/>
    <mergeCell ref="D28:F28"/>
    <mergeCell ref="K28:L28"/>
    <mergeCell ref="O27:R27"/>
    <mergeCell ref="O28:R28"/>
    <mergeCell ref="D25:F25"/>
    <mergeCell ref="K25:L25"/>
    <mergeCell ref="D26:F26"/>
    <mergeCell ref="K26:L26"/>
    <mergeCell ref="O25:R25"/>
    <mergeCell ref="O26:R26"/>
    <mergeCell ref="D23:F23"/>
    <mergeCell ref="K23:L23"/>
    <mergeCell ref="D24:F24"/>
    <mergeCell ref="K24:L24"/>
    <mergeCell ref="O23:R23"/>
    <mergeCell ref="O24:R24"/>
    <mergeCell ref="D22:F22"/>
    <mergeCell ref="K22:L22"/>
    <mergeCell ref="B6:S6"/>
    <mergeCell ref="B7:C7"/>
    <mergeCell ref="D7:H7"/>
    <mergeCell ref="I7:M7"/>
    <mergeCell ref="N7:S7"/>
    <mergeCell ref="O22:R22"/>
  </mergeCells>
  <pageMargins left="0.7" right="0.7" top="0.75" bottom="0.75" header="0.3" footer="0.3"/>
  <pageSetup paperSize="9" orientation="portrait" r:id="rId1"/>
  <ignoredErrors>
    <ignoredError sqref="H12" formulaRange="1"/>
    <ignoredError sqref="K10:L10"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5EA78701D9CB74A94E38252BAB16D34" ma:contentTypeVersion="15" ma:contentTypeDescription="Create a new document." ma:contentTypeScope="" ma:versionID="9cd3424a73fb776ce000b1b5bb13b20a">
  <xsd:schema xmlns:xsd="http://www.w3.org/2001/XMLSchema" xmlns:xs="http://www.w3.org/2001/XMLSchema" xmlns:p="http://schemas.microsoft.com/office/2006/metadata/properties" xmlns:ns3="bf2567e6-16f4-4c6b-b0e9-0ea0396e433b" xmlns:ns4="5add0bd2-c77a-462d-bf1b-4bc5b2b102e1" targetNamespace="http://schemas.microsoft.com/office/2006/metadata/properties" ma:root="true" ma:fieldsID="8df173fb0339a05726bf1a29330b6932" ns3:_="" ns4:_="">
    <xsd:import namespace="bf2567e6-16f4-4c6b-b0e9-0ea0396e433b"/>
    <xsd:import namespace="5add0bd2-c77a-462d-bf1b-4bc5b2b102e1"/>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SystemTags" minOccurs="0"/>
                <xsd:element ref="ns3:MediaServiceDateTaken"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567e6-16f4-4c6b-b0e9-0ea0396e43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dd0bd2-c77a-462d-bf1b-4bc5b2b102e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bf2567e6-16f4-4c6b-b0e9-0ea0396e433b" xsi:nil="true"/>
  </documentManagement>
</p:properties>
</file>

<file path=customXml/itemProps1.xml><?xml version="1.0" encoding="utf-8"?>
<ds:datastoreItem xmlns:ds="http://schemas.openxmlformats.org/officeDocument/2006/customXml" ds:itemID="{03CA2404-05E6-47F5-853A-E53E7DEDFD5F}">
  <ds:schemaRefs>
    <ds:schemaRef ds:uri="http://schemas.microsoft.com/sharepoint/v3/contenttype/forms"/>
  </ds:schemaRefs>
</ds:datastoreItem>
</file>

<file path=customXml/itemProps2.xml><?xml version="1.0" encoding="utf-8"?>
<ds:datastoreItem xmlns:ds="http://schemas.openxmlformats.org/officeDocument/2006/customXml" ds:itemID="{1A053762-2521-4F27-A1CA-B43A194377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2567e6-16f4-4c6b-b0e9-0ea0396e433b"/>
    <ds:schemaRef ds:uri="5add0bd2-c77a-462d-bf1b-4bc5b2b102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D4AA0A3-654B-45BD-B720-5B36AE4A794C}">
  <ds:schemaRefs>
    <ds:schemaRef ds:uri="http://purl.org/dc/elements/1.1/"/>
    <ds:schemaRef ds:uri="http://schemas.microsoft.com/office/2006/metadata/properties"/>
    <ds:schemaRef ds:uri="http://schemas.openxmlformats.org/package/2006/metadata/core-properties"/>
    <ds:schemaRef ds:uri="http://www.w3.org/XML/1998/namespace"/>
    <ds:schemaRef ds:uri="http://schemas.microsoft.com/office/2006/documentManagement/types"/>
    <ds:schemaRef ds:uri="http://purl.org/dc/terms/"/>
    <ds:schemaRef ds:uri="http://schemas.microsoft.com/office/infopath/2007/PartnerControls"/>
    <ds:schemaRef ds:uri="5add0bd2-c77a-462d-bf1b-4bc5b2b102e1"/>
    <ds:schemaRef ds:uri="bf2567e6-16f4-4c6b-b0e9-0ea0396e433b"/>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Price Comparison </vt:lpstr>
    </vt:vector>
  </TitlesOfParts>
  <Company>InterGlobe Aviation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Ashwani Sharma (FIN,ISC)</dc:creator>
  <cp:lastModifiedBy>Rohit Agnihotri (Digital,ISC)(X-IGT Solutions)</cp:lastModifiedBy>
  <dcterms:created xsi:type="dcterms:W3CDTF">2026-05-12T09:44:23Z</dcterms:created>
  <dcterms:modified xsi:type="dcterms:W3CDTF">2026-06-04T15:28:54Z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0x01010005EA78701D9CB74A94E38252BAB16D34</vt:lpwstr>
  </property>
</Properties>
</file>