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goin-my.sharepoint.com/personal/divydeep_kachhawaha1_goindigo_in/Documents/Desktop/"/>
    </mc:Choice>
  </mc:AlternateContent>
  <xr:revisionPtr revIDLastSave="17" documentId="8_{153C581A-4538-48E5-80B4-9A4CBD4A7B6E}" xr6:coauthVersionLast="47" xr6:coauthVersionMax="47" xr10:uidLastSave="{2B39C430-0A66-44F7-91B5-3EA149A77F02}"/>
  <bookViews>
    <workbookView xWindow="-110" yWindow="-110" windowWidth="19420" windowHeight="10300" xr2:uid="{98CBCF08-2671-4856-9B2D-C733DA7334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6" i="1" l="1"/>
  <c r="D36" i="1"/>
  <c r="C36" i="1"/>
  <c r="B36" i="1"/>
  <c r="D30" i="1"/>
  <c r="C30" i="1"/>
  <c r="B30" i="1"/>
  <c r="E30" i="1" s="1"/>
  <c r="D25" i="1"/>
  <c r="C25" i="1"/>
  <c r="B25" i="1"/>
  <c r="D20" i="1"/>
  <c r="C20" i="1"/>
  <c r="B20" i="1"/>
  <c r="B3" i="1"/>
  <c r="B2" i="1"/>
  <c r="B6" i="1" s="1"/>
  <c r="B16" i="1" s="1"/>
  <c r="B35" i="1" s="1"/>
  <c r="C35" i="1" s="1"/>
  <c r="B14" i="1" l="1"/>
  <c r="B24" i="1" s="1"/>
  <c r="D35" i="1"/>
  <c r="D37" i="1" s="1"/>
  <c r="C37" i="1"/>
  <c r="B37" i="1"/>
  <c r="E25" i="1"/>
  <c r="E20" i="1"/>
  <c r="E35" i="1" l="1"/>
  <c r="E37" i="1" s="1"/>
  <c r="B4" i="1" l="1"/>
  <c r="B5" i="1" s="1"/>
  <c r="B13" i="1" l="1"/>
  <c r="B15" i="1"/>
  <c r="B29" i="1" s="1"/>
  <c r="B19" i="1"/>
  <c r="C19" i="1" s="1"/>
  <c r="C29" i="1" l="1"/>
  <c r="B31" i="1"/>
  <c r="B21" i="1"/>
  <c r="B26" i="1"/>
  <c r="C24" i="1"/>
  <c r="C21" i="1"/>
  <c r="D19" i="1"/>
  <c r="C31" i="1" l="1"/>
  <c r="D29" i="1"/>
  <c r="D24" i="1"/>
  <c r="C26" i="1"/>
  <c r="D21" i="1"/>
  <c r="E19" i="1"/>
  <c r="E21" i="1" s="1"/>
  <c r="D31" i="1" l="1"/>
  <c r="E29" i="1"/>
  <c r="E31" i="1" s="1"/>
  <c r="D26" i="1"/>
  <c r="E24" i="1"/>
  <c r="E26" i="1" s="1"/>
</calcChain>
</file>

<file path=xl/sharedStrings.xml><?xml version="1.0" encoding="utf-8"?>
<sst xmlns="http://schemas.openxmlformats.org/spreadsheetml/2006/main" count="59" uniqueCount="31">
  <si>
    <t>Domestic</t>
  </si>
  <si>
    <t>International</t>
  </si>
  <si>
    <t>Total</t>
  </si>
  <si>
    <t>Unit cost per WA</t>
  </si>
  <si>
    <t>Value First</t>
  </si>
  <si>
    <t>Salesforce</t>
  </si>
  <si>
    <t>Total Cost</t>
  </si>
  <si>
    <t>Yr 1</t>
  </si>
  <si>
    <t>Yr 2</t>
  </si>
  <si>
    <t>Yr 3</t>
  </si>
  <si>
    <t>Cost_Plotline</t>
  </si>
  <si>
    <t>Assumption</t>
  </si>
  <si>
    <t>10% growth YOY</t>
  </si>
  <si>
    <t>Net Cost Saving</t>
  </si>
  <si>
    <t>Count (in mn)</t>
  </si>
  <si>
    <t>Cost in mn</t>
  </si>
  <si>
    <t>Amount in INR</t>
  </si>
  <si>
    <t>Total Volume Adjusted for IROPS (20%)</t>
  </si>
  <si>
    <t>Dom+Int, current unit cost</t>
  </si>
  <si>
    <t>Scenario 2: Excl Int, current unit cost</t>
  </si>
  <si>
    <t>Excl Int, current unit cost</t>
  </si>
  <si>
    <t>Dom+Int, reduced unit cost</t>
  </si>
  <si>
    <t>Excl Int, reduced unit cost</t>
  </si>
  <si>
    <t>Scenario 3: Dom+Int, reduced unit cost</t>
  </si>
  <si>
    <t>Scenario 4: Excl Int, reduced unit cost</t>
  </si>
  <si>
    <t>Scenario 1: Dom+Int, current unit cost</t>
  </si>
  <si>
    <t>Saving by discontinuing WA messages</t>
  </si>
  <si>
    <t>Volume of Operational WA transactions</t>
  </si>
  <si>
    <t>Excl Int Volume Adjusted for IROPS (20%)</t>
  </si>
  <si>
    <t>Amount in INR mn</t>
  </si>
  <si>
    <t>* Scenario 4 is the preferred option basis leadership guidance for Plotline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</si>
</sst>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2" borderId="0" xfId="0" applyFill="1"/>
    <xf numFmtId="0" fontId="1" fillId="0" borderId="0" xfId="0" applyFont="1"/>
    <xf numFmtId="0" fontId="0" fillId="3" borderId="0" xfId="0" applyFill="1"/>
    <xf numFmtId="3" fontId="0" fillId="3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3" fontId="2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CFED-983D-4312-BB96-98BC596B3AC7}">
  <dimension ref="A1:F39"/>
  <sheetViews>
    <sheetView tabSelected="1" workbookViewId="0"/>
  </sheetViews>
  <sheetFormatPr defaultRowHeight="14.5" x14ac:dyDescent="0.35"/>
  <cols>
    <col min="1" max="1" width="36.1796875" bestFit="1" customWidth="1"/>
    <col min="2" max="2" width="12.08984375" style="1" bestFit="1" customWidth="1"/>
    <col min="3" max="3" width="6" customWidth="1"/>
    <col min="4" max="4" width="6.54296875" customWidth="1"/>
    <col min="5" max="5" width="6.81640625" customWidth="1"/>
    <col min="6" max="6" width="15.08984375" bestFit="1" customWidth="1"/>
  </cols>
  <sheetData>
    <row r="1" spans="1:4" x14ac:dyDescent="0.35">
      <c r="A1" s="3" t="s">
        <v>27</v>
      </c>
      <c r="B1" s="7" t="s">
        <v>14</v>
      </c>
    </row>
    <row r="2" spans="1:4" x14ac:dyDescent="0.35">
      <c r="A2" t="s">
        <v>0</v>
      </c>
      <c r="B2" s="8">
        <f>169756884/10^6</f>
        <v>169.75688400000001</v>
      </c>
    </row>
    <row r="3" spans="1:4" x14ac:dyDescent="0.35">
      <c r="A3" t="s">
        <v>1</v>
      </c>
      <c r="B3" s="8">
        <f>14184492/10^6</f>
        <v>14.184492000000001</v>
      </c>
    </row>
    <row r="4" spans="1:4" x14ac:dyDescent="0.35">
      <c r="A4" t="s">
        <v>2</v>
      </c>
      <c r="B4" s="2">
        <f>SUM(B2:B3)</f>
        <v>183.94137600000002</v>
      </c>
    </row>
    <row r="5" spans="1:4" x14ac:dyDescent="0.35">
      <c r="A5" s="4" t="s">
        <v>17</v>
      </c>
      <c r="B5" s="9">
        <f>0.8*B4</f>
        <v>147.15310080000003</v>
      </c>
    </row>
    <row r="6" spans="1:4" x14ac:dyDescent="0.35">
      <c r="A6" s="4" t="s">
        <v>28</v>
      </c>
      <c r="B6" s="9">
        <f>0.8*B2</f>
        <v>135.80550720000002</v>
      </c>
      <c r="C6" s="1"/>
      <c r="D6" s="1"/>
    </row>
    <row r="7" spans="1:4" x14ac:dyDescent="0.35">
      <c r="B7" s="2"/>
    </row>
    <row r="8" spans="1:4" x14ac:dyDescent="0.35">
      <c r="A8" s="3" t="s">
        <v>3</v>
      </c>
      <c r="B8" s="7" t="s">
        <v>16</v>
      </c>
    </row>
    <row r="9" spans="1:4" x14ac:dyDescent="0.35">
      <c r="A9" t="s">
        <v>4</v>
      </c>
      <c r="B9" s="10">
        <v>0.115</v>
      </c>
    </row>
    <row r="10" spans="1:4" x14ac:dyDescent="0.35">
      <c r="A10" t="s">
        <v>5</v>
      </c>
      <c r="B10" s="10">
        <v>0.08</v>
      </c>
    </row>
    <row r="11" spans="1:4" x14ac:dyDescent="0.35">
      <c r="B11" s="2"/>
    </row>
    <row r="12" spans="1:4" x14ac:dyDescent="0.35">
      <c r="A12" s="3" t="s">
        <v>6</v>
      </c>
      <c r="B12" s="7" t="s">
        <v>15</v>
      </c>
    </row>
    <row r="13" spans="1:4" x14ac:dyDescent="0.35">
      <c r="A13" t="s">
        <v>18</v>
      </c>
      <c r="B13" s="2">
        <f>(B5*60%*$B$10)+(B5*40%*$B$9)</f>
        <v>13.832391475200003</v>
      </c>
    </row>
    <row r="14" spans="1:4" x14ac:dyDescent="0.35">
      <c r="A14" t="s">
        <v>20</v>
      </c>
      <c r="B14" s="2">
        <f>(B6*60%*$B$10)+(B6*40%*$B$9)</f>
        <v>12.765717676800003</v>
      </c>
    </row>
    <row r="15" spans="1:4" x14ac:dyDescent="0.35">
      <c r="A15" t="s">
        <v>21</v>
      </c>
      <c r="B15" s="2">
        <f>B5*$B$10</f>
        <v>11.772248064000003</v>
      </c>
    </row>
    <row r="16" spans="1:4" x14ac:dyDescent="0.35">
      <c r="A16" t="s">
        <v>22</v>
      </c>
      <c r="B16" s="2">
        <f>B6*$B$10</f>
        <v>10.864440576000002</v>
      </c>
    </row>
    <row r="18" spans="1:6" x14ac:dyDescent="0.35">
      <c r="A18" s="3" t="s">
        <v>25</v>
      </c>
      <c r="B18" s="7" t="s">
        <v>7</v>
      </c>
      <c r="C18" s="3" t="s">
        <v>8</v>
      </c>
      <c r="D18" s="3" t="s">
        <v>9</v>
      </c>
      <c r="E18" s="3" t="s">
        <v>2</v>
      </c>
      <c r="F18" t="s">
        <v>11</v>
      </c>
    </row>
    <row r="19" spans="1:6" x14ac:dyDescent="0.35">
      <c r="A19" t="s">
        <v>26</v>
      </c>
      <c r="B19" s="2">
        <f>$B$13</f>
        <v>13.832391475200003</v>
      </c>
      <c r="C19" s="2">
        <f>B19*1.1</f>
        <v>15.215630622720004</v>
      </c>
      <c r="D19" s="2">
        <f>C19*1.1</f>
        <v>16.737193684992008</v>
      </c>
      <c r="E19" s="2">
        <f>SUM(B19:D19)</f>
        <v>45.785215782912019</v>
      </c>
      <c r="F19" t="s">
        <v>12</v>
      </c>
    </row>
    <row r="20" spans="1:6" x14ac:dyDescent="0.35">
      <c r="A20" t="s">
        <v>10</v>
      </c>
      <c r="B20" s="2">
        <f>9987368/10^6</f>
        <v>9.987368</v>
      </c>
      <c r="C20" s="2">
        <f>10436104.8/10^6</f>
        <v>10.436104800000001</v>
      </c>
      <c r="D20" s="2">
        <f>11479715.28/10^6</f>
        <v>11.479715279999999</v>
      </c>
      <c r="E20" s="2">
        <f>SUM(B20:D20)</f>
        <v>31.90318808</v>
      </c>
    </row>
    <row r="21" spans="1:6" x14ac:dyDescent="0.35">
      <c r="A21" s="5" t="s">
        <v>13</v>
      </c>
      <c r="B21" s="6">
        <f>B19-B20</f>
        <v>3.8450234752000032</v>
      </c>
      <c r="C21" s="6">
        <f t="shared" ref="C21:E21" si="0">C19-C20</f>
        <v>4.7795258227200037</v>
      </c>
      <c r="D21" s="6">
        <f t="shared" si="0"/>
        <v>5.2574784049920087</v>
      </c>
      <c r="E21" s="6">
        <f t="shared" si="0"/>
        <v>13.882027702912019</v>
      </c>
    </row>
    <row r="22" spans="1:6" x14ac:dyDescent="0.35">
      <c r="B22" s="2"/>
    </row>
    <row r="23" spans="1:6" x14ac:dyDescent="0.35">
      <c r="A23" s="3" t="s">
        <v>19</v>
      </c>
      <c r="B23" s="7" t="s">
        <v>7</v>
      </c>
      <c r="C23" s="3" t="s">
        <v>8</v>
      </c>
      <c r="D23" s="3" t="s">
        <v>9</v>
      </c>
      <c r="E23" s="3" t="s">
        <v>2</v>
      </c>
      <c r="F23" t="s">
        <v>11</v>
      </c>
    </row>
    <row r="24" spans="1:6" x14ac:dyDescent="0.35">
      <c r="A24" t="s">
        <v>26</v>
      </c>
      <c r="B24" s="2">
        <f>B14</f>
        <v>12.765717676800003</v>
      </c>
      <c r="C24" s="2">
        <f>B24*1.1</f>
        <v>14.042289444480005</v>
      </c>
      <c r="D24" s="2">
        <f>C24*1.1</f>
        <v>15.446518388928007</v>
      </c>
      <c r="E24" s="2">
        <f>SUM(B24:D24)</f>
        <v>42.254525510208012</v>
      </c>
      <c r="F24" t="s">
        <v>12</v>
      </c>
    </row>
    <row r="25" spans="1:6" x14ac:dyDescent="0.35">
      <c r="A25" t="s">
        <v>10</v>
      </c>
      <c r="B25" s="2">
        <f>9987368/10^6</f>
        <v>9.987368</v>
      </c>
      <c r="C25" s="2">
        <f>10436104.8/10^6</f>
        <v>10.436104800000001</v>
      </c>
      <c r="D25" s="2">
        <f>11479715.28/10^6</f>
        <v>11.479715279999999</v>
      </c>
      <c r="E25" s="2">
        <f>SUM(B25:D25)</f>
        <v>31.90318808</v>
      </c>
    </row>
    <row r="26" spans="1:6" x14ac:dyDescent="0.35">
      <c r="A26" s="5" t="s">
        <v>13</v>
      </c>
      <c r="B26" s="6">
        <f>B24-B25</f>
        <v>2.7783496768000031</v>
      </c>
      <c r="C26" s="6">
        <f t="shared" ref="C26" si="1">C24-C25</f>
        <v>3.6061846444800043</v>
      </c>
      <c r="D26" s="6">
        <f t="shared" ref="D26:E26" si="2">D24-D25</f>
        <v>3.9668031089280085</v>
      </c>
      <c r="E26" s="6">
        <f t="shared" si="2"/>
        <v>10.351337430208012</v>
      </c>
    </row>
    <row r="27" spans="1:6" x14ac:dyDescent="0.35">
      <c r="B27" s="2"/>
    </row>
    <row r="28" spans="1:6" x14ac:dyDescent="0.35">
      <c r="A28" s="3" t="s">
        <v>23</v>
      </c>
      <c r="B28" s="7" t="s">
        <v>7</v>
      </c>
      <c r="C28" s="3" t="s">
        <v>8</v>
      </c>
      <c r="D28" s="3" t="s">
        <v>9</v>
      </c>
      <c r="E28" s="3" t="s">
        <v>2</v>
      </c>
      <c r="F28" t="s">
        <v>11</v>
      </c>
    </row>
    <row r="29" spans="1:6" x14ac:dyDescent="0.35">
      <c r="A29" t="s">
        <v>26</v>
      </c>
      <c r="B29" s="2">
        <f>B15</f>
        <v>11.772248064000003</v>
      </c>
      <c r="C29" s="2">
        <f>B29*1.1</f>
        <v>12.949472870400005</v>
      </c>
      <c r="D29" s="2">
        <f>C29*1.1</f>
        <v>14.244420157440006</v>
      </c>
      <c r="E29" s="2">
        <f>SUM(B29:D29)</f>
        <v>38.966141091840015</v>
      </c>
      <c r="F29" t="s">
        <v>12</v>
      </c>
    </row>
    <row r="30" spans="1:6" x14ac:dyDescent="0.35">
      <c r="A30" t="s">
        <v>10</v>
      </c>
      <c r="B30" s="2">
        <f>9987368/10^6</f>
        <v>9.987368</v>
      </c>
      <c r="C30" s="2">
        <f>10436104.8/10^6</f>
        <v>10.436104800000001</v>
      </c>
      <c r="D30" s="2">
        <f>11479715.28/10^6</f>
        <v>11.479715279999999</v>
      </c>
      <c r="E30" s="2">
        <f>SUM(B30:D30)</f>
        <v>31.90318808</v>
      </c>
    </row>
    <row r="31" spans="1:6" x14ac:dyDescent="0.35">
      <c r="A31" s="5" t="s">
        <v>13</v>
      </c>
      <c r="B31" s="6">
        <f>B29-B30</f>
        <v>1.7848800640000029</v>
      </c>
      <c r="C31" s="6">
        <f t="shared" ref="C31" si="3">C29-C30</f>
        <v>2.5133680704000039</v>
      </c>
      <c r="D31" s="6">
        <f t="shared" ref="D31" si="4">D29-D30</f>
        <v>2.7647048774400069</v>
      </c>
      <c r="E31" s="6">
        <f t="shared" ref="E31" si="5">E29-E30</f>
        <v>7.0629530118400154</v>
      </c>
    </row>
    <row r="32" spans="1:6" x14ac:dyDescent="0.35">
      <c r="A32" s="5"/>
      <c r="B32" s="6"/>
      <c r="C32" s="6"/>
      <c r="D32" s="6"/>
      <c r="E32" s="6"/>
    </row>
    <row r="33" spans="1:6" x14ac:dyDescent="0.35">
      <c r="B33" s="11" t="s">
        <v>29</v>
      </c>
      <c r="C33" s="11"/>
      <c r="D33" s="11"/>
      <c r="E33" s="11"/>
    </row>
    <row r="34" spans="1:6" x14ac:dyDescent="0.35">
      <c r="A34" s="3" t="s">
        <v>24</v>
      </c>
      <c r="B34" s="7" t="s">
        <v>7</v>
      </c>
      <c r="C34" s="3" t="s">
        <v>8</v>
      </c>
      <c r="D34" s="3" t="s">
        <v>9</v>
      </c>
      <c r="E34" s="3" t="s">
        <v>2</v>
      </c>
      <c r="F34" t="s">
        <v>11</v>
      </c>
    </row>
    <row r="35" spans="1:6" x14ac:dyDescent="0.35">
      <c r="A35" t="s">
        <v>26</v>
      </c>
      <c r="B35" s="2">
        <f>B16</f>
        <v>10.864440576000002</v>
      </c>
      <c r="C35" s="2">
        <f>B35*1.1</f>
        <v>11.950884633600003</v>
      </c>
      <c r="D35" s="2">
        <f>C35*1.1</f>
        <v>13.145973096960004</v>
      </c>
      <c r="E35" s="2">
        <f>SUM(B35:D35)</f>
        <v>35.96129830656001</v>
      </c>
      <c r="F35" t="s">
        <v>12</v>
      </c>
    </row>
    <row r="36" spans="1:6" x14ac:dyDescent="0.35">
      <c r="A36" t="s">
        <v>10</v>
      </c>
      <c r="B36" s="2">
        <f>9987368/10^6</f>
        <v>9.987368</v>
      </c>
      <c r="C36" s="2">
        <f>10436104.8/10^6</f>
        <v>10.436104800000001</v>
      </c>
      <c r="D36" s="2">
        <f>11479715.28/10^6</f>
        <v>11.479715279999999</v>
      </c>
      <c r="E36" s="2">
        <f>SUM(B36:D36)</f>
        <v>31.90318808</v>
      </c>
    </row>
    <row r="37" spans="1:6" x14ac:dyDescent="0.35">
      <c r="A37" s="5" t="s">
        <v>13</v>
      </c>
      <c r="B37" s="6">
        <f>B35-B36</f>
        <v>0.87707257600000155</v>
      </c>
      <c r="C37" s="6">
        <f t="shared" ref="C37" si="6">C35-C36</f>
        <v>1.5147798336000022</v>
      </c>
      <c r="D37" s="6">
        <f t="shared" ref="D37" si="7">D35-D36</f>
        <v>1.6662578169600053</v>
      </c>
      <c r="E37" s="6">
        <f t="shared" ref="E37" si="8">E35-E36</f>
        <v>4.0581102265600109</v>
      </c>
    </row>
    <row r="39" spans="1:6" x14ac:dyDescent="0.35">
      <c r="A39" t="s">
        <v>30</v>
      </c>
    </row>
  </sheetData>
  <mergeCells count="1">
    <mergeCell ref="B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InterGlobe Aviation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Divydeep Kachhawaha (Digital,ISC)</dc:creator>
  <cp:lastModifiedBy>Divydeep Kachhawaha (Digital,ISC)</cp:lastModifiedBy>
  <dcterms:created xsi:type="dcterms:W3CDTF">2026-06-19T10:40:49Z</dcterms:created>
  <dcterms:modified xsi:type="dcterms:W3CDTF">2026-06-22T03:03:19Z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616f8d-06f9-41da-a1a3-92ca0c5ba98a_Enabled">
    <vt:lpwstr>true</vt:lpwstr>
  </property>
  <property fmtid="{D5CDD505-2E9C-101B-9397-08002B2CF9AE}" pid="3" name="MSIP_Label_c5616f8d-06f9-41da-a1a3-92ca0c5ba98a_SetDate">
    <vt:lpwstr>2026-06-19T11:24:30Z</vt:lpwstr>
  </property>
  <property fmtid="{D5CDD505-2E9C-101B-9397-08002B2CF9AE}" pid="4" name="MSIP_Label_c5616f8d-06f9-41da-a1a3-92ca0c5ba98a_Method">
    <vt:lpwstr>Standard</vt:lpwstr>
  </property>
  <property fmtid="{D5CDD505-2E9C-101B-9397-08002B2CF9AE}" pid="5" name="MSIP_Label_c5616f8d-06f9-41da-a1a3-92ca0c5ba98a_Name">
    <vt:lpwstr>Internal</vt:lpwstr>
  </property>
  <property fmtid="{D5CDD505-2E9C-101B-9397-08002B2CF9AE}" pid="6" name="MSIP_Label_c5616f8d-06f9-41da-a1a3-92ca0c5ba98a_SiteId">
    <vt:lpwstr>73f2e714-a32e-4697-9449-dffe1df8a5d5</vt:lpwstr>
  </property>
  <property fmtid="{D5CDD505-2E9C-101B-9397-08002B2CF9AE}" pid="7" name="MSIP_Label_c5616f8d-06f9-41da-a1a3-92ca0c5ba98a_ActionId">
    <vt:lpwstr>d716e29d-cc3e-4246-9307-c171e6e78963</vt:lpwstr>
  </property>
  <property fmtid="{D5CDD505-2E9C-101B-9397-08002B2CF9AE}" pid="8" name="MSIP_Label_c5616f8d-06f9-41da-a1a3-92ca0c5ba98a_ContentBits">
    <vt:lpwstr>0</vt:lpwstr>
  </property>
  <property fmtid="{D5CDD505-2E9C-101B-9397-08002B2CF9AE}" pid="9" name="MSIP_Label_c5616f8d-06f9-41da-a1a3-92ca0c5ba98a_Tag">
    <vt:lpwstr>10, 3, 0, 1</vt:lpwstr>
  </property>
</Properties>
</file>