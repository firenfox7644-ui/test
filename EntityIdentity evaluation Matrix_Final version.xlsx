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digoin-my.sharepoint.com/personal/deepak_singhal_goindigo_in/Documents/Documents/1. Enterprise Work Space/RFP - Identity access mgmnt/"/>
    </mc:Choice>
  </mc:AlternateContent>
  <xr:revisionPtr revIDLastSave="262" documentId="8_{CBF2FCB4-A3F6-482B-9D0C-AB4D32B745CC}" xr6:coauthVersionLast="47" xr6:coauthVersionMax="47" xr10:uidLastSave="{1F138625-3D42-4BF2-8086-316594C82BC5}"/>
  <bookViews>
    <workbookView xWindow="-110" yWindow="-110" windowWidth="19420" windowHeight="10300" firstSheet="1" activeTab="1" xr2:uid="{4BA6A698-7DE3-48B0-8C3A-2F76ADC3F986}"/>
  </bookViews>
  <sheets>
    <sheet name="Rating" sheetId="2" r:id="rId1"/>
    <sheet name="Gov-Functional Matrix" sheetId="1" r:id="rId2"/>
    <sheet name="Gov-Technical Matrix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6" i="3" l="1"/>
  <c r="M26" i="3"/>
  <c r="L23" i="3"/>
  <c r="M23" i="3"/>
  <c r="K26" i="3"/>
  <c r="K23" i="3"/>
  <c r="L19" i="3"/>
  <c r="M19" i="3"/>
  <c r="K19" i="3"/>
  <c r="L15" i="3"/>
  <c r="M15" i="3"/>
  <c r="K15" i="3"/>
  <c r="L10" i="3"/>
  <c r="M10" i="3"/>
  <c r="K10" i="3"/>
  <c r="L4" i="3"/>
  <c r="M4" i="3"/>
  <c r="K4" i="3"/>
  <c r="M27" i="1"/>
  <c r="L27" i="1"/>
  <c r="K27" i="1"/>
  <c r="M21" i="1" a="1"/>
  <c r="M21" i="1" s="1"/>
  <c r="L21" i="1"/>
  <c r="K21" i="1"/>
  <c r="M17" i="1"/>
  <c r="L17" i="1"/>
  <c r="K17" i="1"/>
  <c r="M11" i="1"/>
  <c r="L11" i="1"/>
  <c r="K11" i="1"/>
  <c r="M4" i="1"/>
  <c r="L4" i="1"/>
  <c r="K4" i="1"/>
  <c r="G34" i="1"/>
  <c r="M34" i="1" l="1"/>
  <c r="M29" i="3"/>
  <c r="L29" i="3"/>
  <c r="K29" i="3"/>
  <c r="K34" i="1"/>
  <c r="L3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<sst xmlns="http://schemas.openxmlformats.org/spreadsheetml/2006/main" count="430" uniqueCount="323">
  <si>
    <t>Rating</t>
  </si>
  <si>
    <t>Meaning</t>
  </si>
  <si>
    <t>Score</t>
  </si>
  <si>
    <t>NC</t>
  </si>
  <si>
    <t>Not Capable</t>
  </si>
  <si>
    <t>PC</t>
  </si>
  <si>
    <t>Partially Capable</t>
  </si>
  <si>
    <t>C</t>
  </si>
  <si>
    <t>Capable</t>
  </si>
  <si>
    <t>InfoSec Rating</t>
  </si>
  <si>
    <t>Converted Score (%)</t>
  </si>
  <si>
    <t>Non-Complaint</t>
  </si>
  <si>
    <t>Attention required</t>
  </si>
  <si>
    <t>Complaint</t>
  </si>
  <si>
    <t>Functional Evaluation Matrix</t>
  </si>
  <si>
    <t>IndiGo Score</t>
  </si>
  <si>
    <t>Total Score</t>
  </si>
  <si>
    <t>Justification Comments</t>
  </si>
  <si>
    <t>S. No.</t>
  </si>
  <si>
    <t>Evaluation Area</t>
  </si>
  <si>
    <t>Functional Requirement</t>
  </si>
  <si>
    <t>Detailed Evaluation Criteria</t>
  </si>
  <si>
    <t>Evidence Expected from Vendor</t>
  </si>
  <si>
    <t>Overall IndiGo 
Weights</t>
  </si>
  <si>
    <t>Binario</t>
  </si>
  <si>
    <t>Lagozon</t>
  </si>
  <si>
    <t>Rostan</t>
  </si>
  <si>
    <t>Core Business Fitment and Identity Resolution Capability</t>
  </si>
  <si>
    <t>Overall Business Fitment</t>
  </si>
  <si>
    <t>Solution must address entity relationship analysis across multiple systems and synchronization of validated attributes</t>
  </si>
  <si>
    <t>Evaluate whether the proposed solution can identify relationships across IAM, booking, loyalty and similar customer identity sources</t>
  </si>
  <si>
    <t>Functional solution note, use-case mapping, demo storyline</t>
  </si>
  <si>
    <t>RFP response documents and workshop discussions were promising towrds the desired outcome</t>
  </si>
  <si>
    <t>Clear about requirements though have lesser experience in similar deliveries</t>
  </si>
  <si>
    <t>Duplicate / Mismatch Identification</t>
  </si>
  <si>
    <t>Solution must identify duplicate or mismatched customer records across systems</t>
  </si>
  <si>
    <t>Assess ability to detect fragmented identities, duplicate profiles, conflicting attributes and source-level inconsistencies</t>
  </si>
  <si>
    <t>Sample duplicate detection logic, reconciliation scenarios</t>
  </si>
  <si>
    <t>proposed solution identifies the scope in depth and clear actions for problem resolution</t>
  </si>
  <si>
    <t>Identity Resolution Engine</t>
  </si>
  <si>
    <t>Solution must provide an identity resolution engine for customer record matching</t>
  </si>
  <si>
    <t>Assess maturity of core engine, fitment for customer identity domain, multi-source ingestion capability, configurable match logic</t>
  </si>
  <si>
    <t>Product architecture note, module overview, reference architecture, workshop outcome</t>
  </si>
  <si>
    <t>Proposed resolution engine approach fits the requitement fully</t>
  </si>
  <si>
    <t>Deterministic Matching</t>
  </si>
  <si>
    <t>Deterministic matching should be primary matching method using trusted identifiers</t>
  </si>
  <si>
    <t>Evaluate support for exact/verified match using phone, email and other trusted identifiers; review confidence and governance of exact matches</t>
  </si>
  <si>
    <t>Rule set examples, demo, case study</t>
  </si>
  <si>
    <t>Data bricks processing with graph AAPI approach</t>
  </si>
  <si>
    <t>Core platform is based on graph API</t>
  </si>
  <si>
    <t>Core engine depicts use of AWS Glue for ETL and lambda for caching</t>
  </si>
  <si>
    <t>Probabilistic Matching</t>
  </si>
  <si>
    <t>Solution should support probabilistic matching where deterministic match is unavailable</t>
  </si>
  <si>
    <t>Assess fuzzy match capability, confidence scoring, threshold management, review and exception handling</t>
  </si>
  <si>
    <t>Matching methodology, threshold definition, confidence scoring sample</t>
  </si>
  <si>
    <t>ML based probabilistic match workflow</t>
  </si>
  <si>
    <t>Best Record / Survivorship Logic</t>
  </si>
  <si>
    <t>Solution should suggest the best possible unified record</t>
  </si>
  <si>
    <t>Assess rules for source prioritization, attribute survivorship, merge logic, conflict resolution, trust scoring</t>
  </si>
  <si>
    <t>Survivorship logic document, decision rules, sample outcomes</t>
  </si>
  <si>
    <t>score based Survivorship rule models</t>
  </si>
  <si>
    <t>Cross-system / Cross-Journey Identity View</t>
  </si>
  <si>
    <t>IndiGo needs better journey tracking across systems</t>
  </si>
  <si>
    <t>Assess whether the solution can help link fragmented journeys and identities across channels/devices where valid identifiers exist</t>
  </si>
  <si>
    <t>Journey stitching use case, identity graph illustration</t>
  </si>
  <si>
    <t>Event based and API driven data ingestion processes</t>
  </si>
  <si>
    <t>Data Quality, Standardization and Synchronization</t>
  </si>
  <si>
    <t>Data Source Coverage</t>
  </si>
  <si>
    <t>Solution must work with multiple source systems like IAM, booking engine, loyalty, CDP, EDH</t>
  </si>
  <si>
    <t>Assess readiness to integrate and process structured and semi-structured profile records from multiple enterprise systems</t>
  </si>
  <si>
    <t>Source system compatibility matrix</t>
  </si>
  <si>
    <t>core systems agreed but limitations to extended systems like EDH or Prism</t>
  </si>
  <si>
    <t>external systems agreeable for integration in addition to core systems like Nav, CIAM and LMS</t>
  </si>
  <si>
    <t>Data Standardization</t>
  </si>
  <si>
    <t>Solution must handle inconsistent data formats</t>
  </si>
  <si>
    <t>Assess standardization capabilities for phone, email, names, identifiers, formatting inconsistencies and validation rules</t>
  </si>
  <si>
    <t>Data normalization rules, standardization examples</t>
  </si>
  <si>
    <t>Ageeable format limitations</t>
  </si>
  <si>
    <t>All data formats are acceptable for intergation</t>
  </si>
  <si>
    <t>Data Cleansing</t>
  </si>
  <si>
    <t>Solution must address duplicate records and cleaning processes</t>
  </si>
  <si>
    <t>Assess cleansing workflows, invalid data handling, remediation capabilities and quality control processes</t>
  </si>
  <si>
    <t>Data quality framework, cleansing scenarios</t>
  </si>
  <si>
    <t>Data cleansing approach is robust with deterministic and probalisitic approach</t>
  </si>
  <si>
    <t>Data Quality Governance</t>
  </si>
  <si>
    <t>Data quality must be measurable and improvable before go-live</t>
  </si>
  <si>
    <t>Assess how the vendor measures quality, identifies gaps, tracks remediation and supports production readiness</t>
  </si>
  <si>
    <t>DQ dashboards, sample reports, exception logs</t>
  </si>
  <si>
    <t>Sample based UAT scope</t>
  </si>
  <si>
    <t>Batch Synchronization Capability</t>
  </si>
  <si>
    <t>Supplier shall provide synchronization strategy in batch mode</t>
  </si>
  <si>
    <t>Assess batch reconciliation capability, volume handling, reprocessing, retry control and scheduling</t>
  </si>
  <si>
    <t>Batch sync design, scheduler flow, reconciliation logic</t>
  </si>
  <si>
    <t>Data ingestion is via batch synchronization</t>
  </si>
  <si>
    <t>Real-Time Synchronization Capability</t>
  </si>
  <si>
    <t>Supplier shall provide synchronization strategy in real time</t>
  </si>
  <si>
    <t>Assess API/event-driven publishing of resolved data to downstream systems</t>
  </si>
  <si>
    <t>API/event model, streaming design, push/pull options</t>
  </si>
  <si>
    <t>Limited capability for realtime sync due to PI data labels</t>
  </si>
  <si>
    <t>Downstream Integration and Operational Data Usage</t>
  </si>
  <si>
    <t>Data Integration Capability</t>
  </si>
  <si>
    <t>Vendor must demonstrate seamless integration with existing systems</t>
  </si>
  <si>
    <t>Assess inbound and outbound integration capability with enterprise systems, marketing automation, advertising platforms and internal services</t>
  </si>
  <si>
    <t>Integration architecture, interface inventory, sample connectors</t>
  </si>
  <si>
    <t>API driven approach for integration</t>
  </si>
  <si>
    <t>API driven approach with event management using Kafka queues.</t>
  </si>
  <si>
    <t>Export of Resolved Customer Data</t>
  </si>
  <si>
    <t>Resolved customer data should be exportable to downstream platforms</t>
  </si>
  <si>
    <t>Assess ability to share unified customer profile to downstream platforms in consumable form</t>
  </si>
  <si>
    <t>Export formats, API spec, event schema</t>
  </si>
  <si>
    <t>The export or data availability with partner is limited scope due to PI data elements</t>
  </si>
  <si>
    <t>Adaptability with Other Platforms</t>
  </si>
  <si>
    <t>Solution should converse with other components/platforms/databases with adaptors/interfaces</t>
  </si>
  <si>
    <t>Assess functional interoperability with enterprise ecosystem and future onboarding of connected systems</t>
  </si>
  <si>
    <t>Interoperability approach, supported adapters, integration case studies</t>
  </si>
  <si>
    <t>partner is ready for integrations with defined platforms, no readily available connectors</t>
  </si>
  <si>
    <t>Support for Identity Access Management Context</t>
  </si>
  <si>
    <t>Vendor must work with existing IAM landscape and related customer identity flows</t>
  </si>
  <si>
    <t>Assess fitment with IAM-driven identity creation, authentication-linked records and downstream profile consumption</t>
  </si>
  <si>
    <t>IAM flow understanding, identity lifecycle mapping</t>
  </si>
  <si>
    <t>Aligned with existing ecosystem though no out of box IAM connectors</t>
  </si>
  <si>
    <t>Requirement Management, Functional Design and Traceability</t>
  </si>
  <si>
    <t>Requirement Elicitation Approach</t>
  </si>
  <si>
    <t>Supplier must perform detailed functional requirement gathering and capture in a trackable tool</t>
  </si>
  <si>
    <t>Assess structured requirement capture approach covering workflows, business rules, validations and legal/regulatory aspects</t>
  </si>
  <si>
    <t>Requirement management approach, tool screenshots/templates</t>
  </si>
  <si>
    <t>scope elicitation workshops scheduled</t>
  </si>
  <si>
    <t>Coverage of Requirement Gathering</t>
  </si>
  <si>
    <t>Requirement gathering should cover workflows, business rules, validations, regulatory/legal requirements</t>
  </si>
  <si>
    <t>Assess completeness and discipline of requirement discovery approach</t>
  </si>
  <si>
    <t>Checklist, sample BRD/SRS coverage model</t>
  </si>
  <si>
    <t>sessions include understanding business goasl, problem and oppurtunities</t>
  </si>
  <si>
    <t>Project lifecycle driven approach with dedicated project manager</t>
  </si>
  <si>
    <t>SRS Preparation</t>
  </si>
  <si>
    <t>Supplier must prepare SRS document</t>
  </si>
  <si>
    <t>Assess ability to convert requirements into reviewable and implementation-ready specifications</t>
  </si>
  <si>
    <t>Sample SRS / document structure</t>
  </si>
  <si>
    <t>Aligned for providing documentation as per SDLC</t>
  </si>
  <si>
    <t>RTM Preparation</t>
  </si>
  <si>
    <t>Supplier must prepare RTM linking BRD, FRS, SRS, LLD, DFD and relevant documents</t>
  </si>
  <si>
    <t>Assess end-to-end requirement traceability from requirement through design, build, testing and rollout</t>
  </si>
  <si>
    <t>Sample RTM, traceability workflow</t>
  </si>
  <si>
    <t>Change Impact Support</t>
  </si>
  <si>
    <t>RTM should support future change request analysis</t>
  </si>
  <si>
    <t>Assess whether the vendor’s traceability discipline is robust enough for future enhancements and maintenance changes</t>
  </si>
  <si>
    <t>Change impact example, traceability governance note</t>
  </si>
  <si>
    <t>standard changement management practice</t>
  </si>
  <si>
    <t>aligned with Indigo change process with ITSM insights</t>
  </si>
  <si>
    <t>Sign-Off Governance</t>
  </si>
  <si>
    <t>Supplier must obtain sign-off on SRS and test deliverables before moving stage-wise</t>
  </si>
  <si>
    <t>Assess governance maturity, approval gates and readiness criteria</t>
  </si>
  <si>
    <t>Sign-off workflow, approval checkpoints</t>
  </si>
  <si>
    <t>standard project signoff process</t>
  </si>
  <si>
    <t>Testing, UAT and Go-Live Functional Readiness</t>
  </si>
  <si>
    <t>Test Planning</t>
  </si>
  <si>
    <t>Supplier must prepare test strategy, plan, design, test case specifications and results</t>
  </si>
  <si>
    <t>Assess completeness of functional testing preparation for unit, integration, system and UAT</t>
  </si>
  <si>
    <t>Test strategy, plan, design and sample cases</t>
  </si>
  <si>
    <t>standard SDLC and ITSM practice</t>
  </si>
  <si>
    <t>UAT Preparation</t>
  </si>
  <si>
    <t>Supplier must prepare UAT cases and obtain approval from IndiGo</t>
  </si>
  <si>
    <t>Assess quality of UAT planning, stakeholder coverage, test data readiness and business usability validation</t>
  </si>
  <si>
    <t>UAT scripts, approval workflow, test data approach</t>
  </si>
  <si>
    <t>Functional Defect Closure</t>
  </si>
  <si>
    <t>Supplier must document test results and fix bugs found during testing</t>
  </si>
  <si>
    <t>Assess closure discipline, severity handling and defect turnaround approach</t>
  </si>
  <si>
    <t>Defect lifecycle sample, test logs, closure matrix</t>
  </si>
  <si>
    <t>UAT Support and Change Incorporation</t>
  </si>
  <si>
    <t>Supplier must support UAT and update SRS/related docs based on UAT changes</t>
  </si>
  <si>
    <t>Assess readiness to absorb business feedback and maintain documentation integrity</t>
  </si>
  <si>
    <t>UAT support plan, document update control process</t>
  </si>
  <si>
    <t>Go-Live Functional Acceptance</t>
  </si>
  <si>
    <t>Solution should be reviewed against signed-off functional requirements using traceability matrix and acceptance testing</t>
  </si>
  <si>
    <t>Assess go-live readiness against signed requirements and acceptance criteria</t>
  </si>
  <si>
    <t>Go-live checklist, traceability-based acceptance note</t>
  </si>
  <si>
    <t>Data Quality Readiness Before Production</t>
  </si>
  <si>
    <t>Data quality issues identified during assessment must be addressed before production movement</t>
  </si>
  <si>
    <t>Assess whether vendor has functional readiness to clean and certify data before go-live</t>
  </si>
  <si>
    <t>DQ closure plan, migration validation outputs</t>
  </si>
  <si>
    <t>Functional Documentation and SOPs</t>
  </si>
  <si>
    <t>Supplier must prepare and maintain process documents, operational manuals, user manuals and role clarity documents</t>
  </si>
  <si>
    <t>Assess maintainability of operational documentation and usability for IndiGo teams</t>
  </si>
  <si>
    <t>SOP samples, document index, O&amp;M manuals</t>
  </si>
  <si>
    <t>Technical Matrix</t>
  </si>
  <si>
    <t>Technical Requirement</t>
  </si>
  <si>
    <t>Evidence Expected</t>
  </si>
  <si>
    <t>Architecture &amp; Platform Design</t>
  </si>
  <si>
    <t>Overall Architecture Fitment</t>
  </si>
  <si>
    <t>Solution must align with IndiGo enterprise architecture principles</t>
  </si>
  <si>
    <t>Evaluate alignment with existing tech stack, extensibility, and long-term maintainability</t>
  </si>
  <si>
    <t>HLD, architecture diagrams</t>
  </si>
  <si>
    <t>The overall architecture is generally aligned with enterprise standards; however, certain components require customization or additional alignment</t>
  </si>
  <si>
    <t>Microservices Architecture</t>
  </si>
  <si>
    <t>Solution must follow microservice-based architecture</t>
  </si>
  <si>
    <t>Validate service decomposition, independent deployability, statelessness, API-driven communication</t>
  </si>
  <si>
    <t>Architecture diagram, service breakdown</t>
  </si>
  <si>
    <t>solution speaks about microservices principles, but still exhibits monolithic dependencies that may limit agility</t>
  </si>
  <si>
    <t>solution covers a true microservices-based architecture with independently deployable services,  enabling scalability and agility.</t>
  </si>
  <si>
    <t>Open Source Restriction</t>
  </si>
  <si>
    <t>No open-source platform usage allowed</t>
  </si>
  <si>
    <t>Ensure all components are enterprise-supported and licensed</t>
  </si>
  <si>
    <t>Product stack declaration, licensing model</t>
  </si>
  <si>
    <t>proposed solution talks of approved and restricted open-source components; additional approvals, license reviews, or mitigations will be required for adoption</t>
  </si>
  <si>
    <t>Multi-Tier Architecture</t>
  </si>
  <si>
    <t>Minimum 2-tier services-based architecture</t>
  </si>
  <si>
    <t>Evaluate separation of presentation, services and data layers</t>
  </si>
  <si>
    <t>Logical architecture diagram</t>
  </si>
  <si>
    <t>vendor response depicts a robust multi-tier architecture with clear separation of presentation, business logic, and data layers.</t>
  </si>
  <si>
    <t>Modular &amp; Scalable Design</t>
  </si>
  <si>
    <t>Solution must be modular, scalable, flexible</t>
  </si>
  <si>
    <t>Assess horizontal scaling, component isolation, future extensibility</t>
  </si>
  <si>
    <t>Scalability approach, infra sizing</t>
  </si>
  <si>
    <t>The architecture is modular, agile thoughscalability require changes in ecosystem increasing complexity</t>
  </si>
  <si>
    <t>Enterprise Architecture Compliance</t>
  </si>
  <si>
    <t>Must align with EA standards (TOGAF aligned)</t>
  </si>
  <si>
    <t>Evaluate governance with IndiGo Architecture CoE and adherence to EA principles</t>
  </si>
  <si>
    <t>TOGAF mapping, architecture governance approach</t>
  </si>
  <si>
    <t>basis response of vendor seems fully complies with enterprise architecture standards, technology stacks, security guidelines, and integration framework</t>
  </si>
  <si>
    <t>The solution is broadly adheres to enterprise architecture standards but requires a few documented exceptions or deviations.</t>
  </si>
  <si>
    <t>Data Architecture &amp; Management</t>
  </si>
  <si>
    <t>Data Ownership Model</t>
  </si>
  <si>
    <t>Data remains IndiGo-owned corporate asset</t>
  </si>
  <si>
    <t>Ensure no vendor lock-in, no external dependency on data ownership</t>
  </si>
  <si>
    <t>Data ownership policy</t>
  </si>
  <si>
    <t>The vendor clearly confirms data ownership remains under the organization’s control, with explicit contractual clauses covering usage, retention, and exit scenarios.</t>
  </si>
  <si>
    <t>Data Access Control</t>
  </si>
  <si>
    <t>No direct access to data layer</t>
  </si>
  <si>
    <t>Evaluate API-driven data access, abstraction layers, governance controls</t>
  </si>
  <si>
    <t>Data access architecture</t>
  </si>
  <si>
    <t>Access control mechanisms are present but no/partial integration with existing identity and access management platforms</t>
  </si>
  <si>
    <t>The solution speaks role‑based access control (RBAC) with integration to enterprise IAM systems, ensuring controlled and auditable access to data.</t>
  </si>
  <si>
    <t>Data Architecture Design</t>
  </si>
  <si>
    <t>Must define database structures and data flow architecture</t>
  </si>
  <si>
    <t>Evaluate logical and physical data models, identity graph structure</t>
  </si>
  <si>
    <t>Data model, ER diagrams</t>
  </si>
  <si>
    <t>Proposed data architecture is well‑structured, scalable, and aligned with enterprise data standards, enabling efficient data storage, processing, and analytics</t>
  </si>
  <si>
    <t>Data Synchronization</t>
  </si>
  <si>
    <t>Support batch and real-time synchronization</t>
  </si>
  <si>
    <t>Evaluate architecture for data movement across systems</t>
  </si>
  <si>
    <t>Sync architecture, event flow</t>
  </si>
  <si>
    <t>Data synchronization is supported and relies on batch processes for consistency, conflict resolution and error handling across systems</t>
  </si>
  <si>
    <t>Data Security (At Rest &amp; In Transit)</t>
  </si>
  <si>
    <t>Data encryption and secure handling required</t>
  </si>
  <si>
    <t>Evaluate encryption standards, tokenization, masking strategies</t>
  </si>
  <si>
    <t>Security design, encryption approach</t>
  </si>
  <si>
    <t>Data security controls are present; however, certain encryption standards, key management practices, or monitoring capabilities require enhancement.</t>
  </si>
  <si>
    <t>Integration &amp; Interoperability</t>
  </si>
  <si>
    <t>Enterprise Integration Capability</t>
  </si>
  <si>
    <t>Integration with IAM (Azure Entra), Navitaire, Loyalty</t>
  </si>
  <si>
    <t>Evaluate API-first approach, middleware compatibility, ESB/OCP alignment</t>
  </si>
  <si>
    <t>Integration architecture, API catalog</t>
  </si>
  <si>
    <t>Enterprise integration is supported via custom development or additional middleware</t>
  </si>
  <si>
    <t>API &amp; Interface Design</t>
  </si>
  <si>
    <t>Ability to expose and consume APIs</t>
  </si>
  <si>
    <t>Evaluate REST/API design standards, versioning, throttling, security</t>
  </si>
  <si>
    <t>API documentation</t>
  </si>
  <si>
    <t>Vendor response supports standard based APIs with documentation, security controls and lifecycle management</t>
  </si>
  <si>
    <t>Event-Driven Architecture</t>
  </si>
  <si>
    <t>Support real-time event-based communication</t>
  </si>
  <si>
    <t>Evaluate event streaming, pub-sub models, asynchronous flows</t>
  </si>
  <si>
    <t>Event architecture, messaging tools</t>
  </si>
  <si>
    <t>Event-based integration is partially supported; however, usage is limited to specific scenarios or requires additional components to scale effectively</t>
  </si>
  <si>
    <t>The solution supports an event-driven architecture using standard messaging or streaming platforms, enabling loose coupling, real-time processing, and high scalability</t>
  </si>
  <si>
    <t>Third-Party Integration</t>
  </si>
  <si>
    <t>Integration with marketing/ad platforms</t>
  </si>
  <si>
    <t>Evaluate extensibility for external ecosystem integration</t>
  </si>
  <si>
    <t>Integration use cases</t>
  </si>
  <si>
    <t>External integrations are feasible but rely heavily on custom interfaces, increasing development effort.</t>
  </si>
  <si>
    <t>Security &amp; Compliance Architecture</t>
  </si>
  <si>
    <t>Authentication &amp; Authorization</t>
  </si>
  <si>
    <t>Must support secure login, access control</t>
  </si>
  <si>
    <t>Evaluate IAM integration, RBAC, token-based auth, SSO readiness</t>
  </si>
  <si>
    <t>Security architecture</t>
  </si>
  <si>
    <t>Authentication and authorization capabilities are available though need custom development for full integration with enterprise identity platforms</t>
  </si>
  <si>
    <t>Audit &amp; Logging</t>
  </si>
  <si>
    <t>Full audit trail and logging capability</t>
  </si>
  <si>
    <t>Evaluate traceability of actions, compliance logging, monitoring</t>
  </si>
  <si>
    <t>Audit logs sample</t>
  </si>
  <si>
    <t>Logging and auditing capabilities exist but limited in scope, retention, might require additional tools/ customization.</t>
  </si>
  <si>
    <t>Compliance (GDPR/CCPA)</t>
  </si>
  <si>
    <t>Must comply with data privacy regulations</t>
  </si>
  <si>
    <t>Evaluate consent management, data retention, deletion policies</t>
  </si>
  <si>
    <t>Compliance documentation</t>
  </si>
  <si>
    <t xml:space="preserve">Proposed solution speaks about key compliance requirement depending on perational processes </t>
  </si>
  <si>
    <t>data compliance is not so clear / unavailability of documentation</t>
  </si>
  <si>
    <t>Security Certification Readiness</t>
  </si>
  <si>
    <t>Must obtain IT security sign-off</t>
  </si>
  <si>
    <t>Evaluate readiness for penetration testing, vulnerability management</t>
  </si>
  <si>
    <t>Security testing plan</t>
  </si>
  <si>
    <t>Security assessment is in progress with infosec so marked average</t>
  </si>
  <si>
    <t>Performance, Availability &amp; Reliability</t>
  </si>
  <si>
    <t>Performance Scalability</t>
  </si>
  <si>
    <t>Must handle peak loads with multiplier</t>
  </si>
  <si>
    <t>Evaluate throughput, concurrency, latency benchmarks</t>
  </si>
  <si>
    <t>Performance test results</t>
  </si>
  <si>
    <t>Scalability is depending on actual volume of anomaly though for around 200k entity is supported. however, handling peak loads or future growth may require architectural changes or infrastructure enhancements.</t>
  </si>
  <si>
    <t>Load &amp; Stress Testing</t>
  </si>
  <si>
    <t>Must support load/stress testing</t>
  </si>
  <si>
    <t>Evaluate approach, tools, environment parity with production</t>
  </si>
  <si>
    <t>Test reports</t>
  </si>
  <si>
    <t>Scope for Load testing is  limited to selected scenarios;</t>
  </si>
  <si>
    <t>High Availability</t>
  </si>
  <si>
    <t>No single point of failure</t>
  </si>
  <si>
    <t>Evaluate redundancy, failover mechanisms</t>
  </si>
  <si>
    <t>HA architecture</t>
  </si>
  <si>
    <t xml:space="preserve">High availability features exist, but  rely on manual intervention </t>
  </si>
  <si>
    <t xml:space="preserve"> DevOps, Testing &amp; Release Engineering</t>
  </si>
  <si>
    <t>CI/CD &amp; Deployment</t>
  </si>
  <si>
    <t>Feature lead time and deployment frequency KPI</t>
  </si>
  <si>
    <t>Evaluate automation, release pipelines, rollback strategy</t>
  </si>
  <si>
    <t>CI/CD pipeline overview</t>
  </si>
  <si>
    <t>Deployment processes are largely manual</t>
  </si>
  <si>
    <t>CI/CD pipelines are partially implemented; deployments still involve manual steps</t>
  </si>
  <si>
    <t>Automated Testing</t>
  </si>
  <si>
    <t>Mandatory automation of unit and regression testing</t>
  </si>
  <si>
    <t>Evaluate test coverage, automation frameworks</t>
  </si>
  <si>
    <t>Test automation metrics</t>
  </si>
  <si>
    <t>Automation exists at limited integration level, with significant reliance on manual testing.</t>
  </si>
  <si>
    <t>Defect Management</t>
  </si>
  <si>
    <t>Defect density tracking and quality metrics</t>
  </si>
  <si>
    <t>Evaluate defect lifecycle and quality controls</t>
  </si>
  <si>
    <t>QA reports</t>
  </si>
  <si>
    <t>Defect management practices are adhoc basis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</si>
</sst>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rgb="FF000000"/>
      <name val="Aptos"/>
    </font>
    <font>
      <b/>
      <sz val="12"/>
      <color rgb="FF000000"/>
      <name val="Aptos"/>
    </font>
    <font>
      <sz val="12"/>
      <color rgb="FF000000"/>
      <name val="Aptos"/>
    </font>
    <font>
      <b/>
      <sz val="11"/>
      <color rgb="FF000000"/>
      <name val="Aptos"/>
    </font>
    <font>
      <b/>
      <sz val="14"/>
      <color rgb="FF000000"/>
      <name val="Aptos"/>
    </font>
    <font>
      <b/>
      <sz val="16"/>
      <color theme="0"/>
      <name val="Calibri"/>
      <family val="2"/>
      <scheme val="minor"/>
    </font>
    <font>
      <b/>
      <sz val="12"/>
      <color rgb="FFFFFFFF"/>
      <name val="Calibri"/>
      <family val="2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b/>
      <sz val="20"/>
      <color rgb="FF000000"/>
      <name val="Aptos"/>
    </font>
    <font>
      <b/>
      <sz val="11"/>
      <color rgb="FFFFFFFF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4">
    <xf numFmtId="0" fontId="0" fillId="0" borderId="0" xfId="0"/>
    <xf numFmtId="0" fontId="3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vertical="top"/>
    </xf>
    <xf numFmtId="9" fontId="0" fillId="0" borderId="0" xfId="1" applyFont="1" applyAlignment="1">
      <alignment horizontal="center" vertical="top"/>
    </xf>
    <xf numFmtId="0" fontId="0" fillId="0" borderId="1" xfId="0" applyBorder="1" applyAlignment="1">
      <alignment horizontal="center" vertical="center"/>
    </xf>
    <xf numFmtId="9" fontId="0" fillId="0" borderId="0" xfId="1" applyFont="1" applyAlignment="1">
      <alignment vertical="top"/>
    </xf>
    <xf numFmtId="9" fontId="0" fillId="0" borderId="0" xfId="1" applyFont="1" applyAlignment="1">
      <alignment horizontal="center" vertical="center"/>
    </xf>
    <xf numFmtId="0" fontId="7" fillId="0" borderId="16" xfId="0" applyFont="1" applyBorder="1" applyAlignment="1">
      <alignment vertical="center" textRotation="90" wrapText="1"/>
    </xf>
    <xf numFmtId="0" fontId="4" fillId="0" borderId="17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top" wrapText="1"/>
    </xf>
    <xf numFmtId="9" fontId="4" fillId="0" borderId="17" xfId="1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vertical="top" wrapText="1"/>
    </xf>
    <xf numFmtId="0" fontId="0" fillId="0" borderId="5" xfId="0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vertical="top" wrapText="1"/>
    </xf>
    <xf numFmtId="0" fontId="0" fillId="0" borderId="9" xfId="0" applyBorder="1" applyAlignment="1">
      <alignment horizontal="center" vertical="center"/>
    </xf>
    <xf numFmtId="0" fontId="5" fillId="0" borderId="5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9" xfId="0" applyFont="1" applyBorder="1" applyAlignment="1">
      <alignment horizontal="center" vertical="top" wrapText="1"/>
    </xf>
    <xf numFmtId="0" fontId="0" fillId="0" borderId="2" xfId="0" applyBorder="1" applyAlignment="1">
      <alignment vertical="top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vertical="top" wrapText="1"/>
    </xf>
    <xf numFmtId="9" fontId="4" fillId="0" borderId="2" xfId="1" applyFont="1" applyBorder="1" applyAlignment="1">
      <alignment horizontal="center" vertical="top" wrapText="1"/>
    </xf>
    <xf numFmtId="0" fontId="9" fillId="5" borderId="17" xfId="0" applyFont="1" applyFill="1" applyBorder="1" applyAlignment="1">
      <alignment vertical="center" wrapText="1"/>
    </xf>
    <xf numFmtId="9" fontId="9" fillId="6" borderId="17" xfId="1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9" fontId="9" fillId="6" borderId="25" xfId="1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20" xfId="0" applyBorder="1" applyAlignment="1">
      <alignment vertical="top" wrapText="1"/>
    </xf>
    <xf numFmtId="0" fontId="0" fillId="0" borderId="21" xfId="0" applyBorder="1" applyAlignment="1">
      <alignment vertical="top" wrapText="1"/>
    </xf>
    <xf numFmtId="0" fontId="0" fillId="0" borderId="22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23" xfId="0" applyBorder="1" applyAlignment="1">
      <alignment vertical="top" wrapText="1"/>
    </xf>
    <xf numFmtId="9" fontId="9" fillId="4" borderId="27" xfId="1" applyFont="1" applyFill="1" applyBorder="1" applyAlignment="1">
      <alignment horizontal="center" vertical="center" wrapText="1"/>
    </xf>
    <xf numFmtId="9" fontId="9" fillId="4" borderId="2" xfId="1" applyFont="1" applyFill="1" applyBorder="1" applyAlignment="1">
      <alignment horizontal="center" vertical="center" wrapText="1"/>
    </xf>
    <xf numFmtId="9" fontId="9" fillId="4" borderId="28" xfId="1" applyFont="1" applyFill="1" applyBorder="1" applyAlignment="1">
      <alignment horizontal="center" vertical="center" wrapText="1"/>
    </xf>
    <xf numFmtId="0" fontId="0" fillId="0" borderId="29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30" xfId="0" applyBorder="1" applyAlignment="1">
      <alignment vertical="top" wrapText="1"/>
    </xf>
    <xf numFmtId="0" fontId="0" fillId="0" borderId="18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0" borderId="27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28" xfId="0" applyBorder="1" applyAlignment="1">
      <alignment vertical="top" wrapText="1"/>
    </xf>
    <xf numFmtId="0" fontId="0" fillId="0" borderId="2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9" fontId="13" fillId="4" borderId="27" xfId="1" applyFont="1" applyFill="1" applyBorder="1" applyAlignment="1">
      <alignment horizontal="center" vertical="center" wrapText="1"/>
    </xf>
    <xf numFmtId="9" fontId="13" fillId="4" borderId="2" xfId="1" applyFont="1" applyFill="1" applyBorder="1" applyAlignment="1">
      <alignment horizontal="center" vertical="center" wrapText="1"/>
    </xf>
    <xf numFmtId="9" fontId="13" fillId="4" borderId="28" xfId="1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9" fontId="14" fillId="0" borderId="0" xfId="1" applyFont="1" applyAlignment="1">
      <alignment horizontal="center" vertical="top"/>
    </xf>
    <xf numFmtId="0" fontId="14" fillId="0" borderId="0" xfId="0" applyFont="1" applyAlignment="1">
      <alignment horizontal="center" vertical="center"/>
    </xf>
    <xf numFmtId="9" fontId="14" fillId="0" borderId="0" xfId="1" applyFont="1" applyAlignment="1">
      <alignment horizontal="center" vertical="center"/>
    </xf>
    <xf numFmtId="0" fontId="7" fillId="0" borderId="6" xfId="0" applyFont="1" applyBorder="1" applyAlignment="1">
      <alignment horizontal="center" vertical="center" textRotation="90" wrapText="1"/>
    </xf>
    <xf numFmtId="0" fontId="7" fillId="0" borderId="8" xfId="0" applyFont="1" applyBorder="1" applyAlignment="1">
      <alignment horizontal="center" vertical="center" textRotation="90" wrapText="1"/>
    </xf>
    <xf numFmtId="0" fontId="7" fillId="0" borderId="10" xfId="0" applyFont="1" applyBorder="1" applyAlignment="1">
      <alignment horizontal="center" vertical="center" textRotation="90" wrapText="1"/>
    </xf>
    <xf numFmtId="9" fontId="5" fillId="0" borderId="7" xfId="1" applyFont="1" applyBorder="1" applyAlignment="1">
      <alignment horizontal="center" vertical="center" wrapText="1"/>
    </xf>
    <xf numFmtId="9" fontId="5" fillId="0" borderId="3" xfId="1" applyFont="1" applyBorder="1" applyAlignment="1">
      <alignment horizontal="center" vertical="center" wrapText="1"/>
    </xf>
    <xf numFmtId="9" fontId="5" fillId="0" borderId="11" xfId="1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9" fontId="5" fillId="0" borderId="5" xfId="1" applyFont="1" applyBorder="1" applyAlignment="1">
      <alignment horizontal="center" vertical="center" wrapText="1"/>
    </xf>
    <xf numFmtId="9" fontId="5" fillId="0" borderId="1" xfId="1" applyFont="1" applyBorder="1" applyAlignment="1">
      <alignment horizontal="center" vertical="center" wrapText="1"/>
    </xf>
    <xf numFmtId="9" fontId="5" fillId="0" borderId="9" xfId="1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textRotation="90" wrapText="1"/>
    </xf>
    <xf numFmtId="0" fontId="7" fillId="0" borderId="20" xfId="0" applyFont="1" applyBorder="1" applyAlignment="1">
      <alignment horizontal="center" vertical="center" textRotation="90" wrapText="1"/>
    </xf>
    <xf numFmtId="0" fontId="7" fillId="0" borderId="22" xfId="0" applyFont="1" applyBorder="1" applyAlignment="1">
      <alignment horizontal="center" vertical="center" textRotation="90" wrapText="1"/>
    </xf>
    <xf numFmtId="9" fontId="8" fillId="2" borderId="15" xfId="1" applyFont="1" applyFill="1" applyBorder="1" applyAlignment="1">
      <alignment horizontal="center" vertical="center"/>
    </xf>
    <xf numFmtId="9" fontId="8" fillId="2" borderId="0" xfId="1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9" fontId="0" fillId="0" borderId="7" xfId="1" applyFont="1" applyBorder="1" applyAlignment="1">
      <alignment horizontal="center" vertical="center"/>
    </xf>
    <xf numFmtId="9" fontId="0" fillId="0" borderId="3" xfId="1" applyFont="1" applyBorder="1" applyAlignment="1">
      <alignment horizontal="center" vertical="center"/>
    </xf>
    <xf numFmtId="9" fontId="0" fillId="0" borderId="11" xfId="1" applyFont="1" applyBorder="1" applyAlignment="1">
      <alignment horizontal="center" vertical="center"/>
    </xf>
    <xf numFmtId="9" fontId="0" fillId="0" borderId="26" xfId="1" applyFont="1" applyBorder="1" applyAlignment="1">
      <alignment horizontal="center" vertical="center"/>
    </xf>
    <xf numFmtId="9" fontId="0" fillId="0" borderId="15" xfId="1" applyFont="1" applyBorder="1" applyAlignment="1">
      <alignment horizontal="center" vertical="center"/>
    </xf>
    <xf numFmtId="9" fontId="0" fillId="0" borderId="24" xfId="1" applyFont="1" applyBorder="1" applyAlignment="1">
      <alignment horizontal="center" vertical="center"/>
    </xf>
    <xf numFmtId="0" fontId="0" fillId="0" borderId="2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textRotation="90" wrapText="1"/>
    </xf>
    <xf numFmtId="0" fontId="6" fillId="0" borderId="20" xfId="0" applyFont="1" applyBorder="1" applyAlignment="1">
      <alignment horizontal="center" vertical="center" textRotation="90" wrapText="1"/>
    </xf>
    <xf numFmtId="0" fontId="6" fillId="0" borderId="22" xfId="0" applyFont="1" applyBorder="1" applyAlignment="1">
      <alignment horizontal="center" vertical="center" textRotation="90" wrapText="1"/>
    </xf>
    <xf numFmtId="0" fontId="15" fillId="0" borderId="1" xfId="0" applyFont="1" applyFill="1" applyBorder="1" applyAlignment="1"/>
    <xf numFmtId="0" fontId="15" fillId="0" borderId="31" xfId="0" applyFont="1" applyFill="1" applyBorder="1" applyAlignment="1">
      <alignment wrapText="1"/>
    </xf>
    <xf numFmtId="0" fontId="15" fillId="0" borderId="4" xfId="0" applyFont="1" applyFill="1" applyBorder="1" applyAlignment="1"/>
    <xf numFmtId="0" fontId="5" fillId="0" borderId="32" xfId="0" applyFont="1" applyFill="1" applyBorder="1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5959B-5CF5-4F52-94F5-314D13380D10}">
  <dimension ref="A3:C12"/>
  <sheetViews>
    <sheetView workbookViewId="0">
      <selection activeCell="G13" sqref="G13"/>
    </sheetView>
  </sheetViews>
  <sheetFormatPr defaultRowHeight="14.45"/>
  <cols>
    <col min="1" max="1" width="10.42578125" customWidth="1"/>
    <col min="2" max="2" width="18.85546875" customWidth="1"/>
    <col min="3" max="3" width="12.5703125" style="4" customWidth="1"/>
  </cols>
  <sheetData>
    <row r="3" spans="1:3" ht="16.5">
      <c r="A3" s="9" t="s">
        <v>0</v>
      </c>
      <c r="B3" s="9" t="s">
        <v>1</v>
      </c>
      <c r="C3" s="9" t="s">
        <v>2</v>
      </c>
    </row>
    <row r="4" spans="1:3" ht="16.5">
      <c r="A4" s="11" t="s">
        <v>3</v>
      </c>
      <c r="B4" s="10" t="s">
        <v>4</v>
      </c>
      <c r="C4" s="11">
        <v>0</v>
      </c>
    </row>
    <row r="5" spans="1:3" ht="16.5">
      <c r="A5" s="11" t="s">
        <v>5</v>
      </c>
      <c r="B5" s="10" t="s">
        <v>6</v>
      </c>
      <c r="C5" s="11">
        <v>1</v>
      </c>
    </row>
    <row r="6" spans="1:3" ht="16.5">
      <c r="A6" s="11" t="s">
        <v>7</v>
      </c>
      <c r="B6" s="10" t="s">
        <v>8</v>
      </c>
      <c r="C6" s="11">
        <v>3</v>
      </c>
    </row>
    <row r="9" spans="1:3" ht="15">
      <c r="A9" s="110" t="s">
        <v>9</v>
      </c>
      <c r="B9" s="111" t="s">
        <v>10</v>
      </c>
    </row>
    <row r="10" spans="1:3" ht="15.75">
      <c r="A10" s="112" t="s">
        <v>11</v>
      </c>
      <c r="B10" s="113">
        <v>0</v>
      </c>
    </row>
    <row r="11" spans="1:3" ht="15.75">
      <c r="A11" s="112" t="s">
        <v>12</v>
      </c>
      <c r="B11" s="113">
        <v>50</v>
      </c>
    </row>
    <row r="12" spans="1:3" ht="15.75">
      <c r="A12" s="112" t="s">
        <v>13</v>
      </c>
      <c r="B12" s="113">
        <v>100</v>
      </c>
    </row>
  </sheetData>
  <pageMargins left="0.7" right="0.7" top="0.75" bottom="0.75" header="0.3" footer="0.3"/>
  <pageSetup paperSize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D649B-3DB3-43AB-870B-2F3C25F0CA5F}">
  <dimension ref="A1:P34"/>
  <sheetViews>
    <sheetView tabSelected="1" zoomScale="70" zoomScaleNormal="70" workbookViewId="0">
      <pane xSplit="4" ySplit="3" topLeftCell="G33" activePane="bottomRight" state="frozen"/>
      <selection pane="bottomRight"/>
      <selection pane="bottomLeft" activeCell="A3" sqref="A3"/>
      <selection pane="topRight" activeCell="E1" sqref="E1"/>
    </sheetView>
  </sheetViews>
  <sheetFormatPr defaultColWidth="8.85546875" defaultRowHeight="14.45"/>
  <cols>
    <col min="1" max="1" width="9.42578125" style="2" customWidth="1"/>
    <col min="2" max="2" width="7.42578125" style="4" bestFit="1" customWidth="1"/>
    <col min="3" max="3" width="26.140625" style="2" customWidth="1"/>
    <col min="4" max="4" width="48.28515625" style="2" customWidth="1"/>
    <col min="5" max="5" width="50.140625" style="2" customWidth="1"/>
    <col min="6" max="6" width="41.140625" style="2" customWidth="1"/>
    <col min="7" max="7" width="10.5703125" style="15" customWidth="1"/>
    <col min="8" max="8" width="7.5703125" style="4" bestFit="1" customWidth="1"/>
    <col min="9" max="9" width="8.5703125" style="4" bestFit="1" customWidth="1"/>
    <col min="10" max="10" width="7.42578125" style="4" bestFit="1" customWidth="1"/>
    <col min="11" max="11" width="7.5703125" style="16" bestFit="1" customWidth="1"/>
    <col min="12" max="12" width="8.5703125" style="16" bestFit="1" customWidth="1"/>
    <col min="13" max="13" width="7.42578125" style="16" bestFit="1" customWidth="1"/>
    <col min="14" max="16" width="30.5703125" style="37" customWidth="1"/>
    <col min="17" max="16384" width="8.85546875" style="2"/>
  </cols>
  <sheetData>
    <row r="1" spans="1:16" ht="26.45" thickBot="1">
      <c r="A1" s="12" t="s">
        <v>14</v>
      </c>
    </row>
    <row r="2" spans="1:16" ht="31.5" thickBot="1">
      <c r="A2" s="1"/>
      <c r="H2" s="89" t="s">
        <v>15</v>
      </c>
      <c r="I2" s="90"/>
      <c r="J2" s="91"/>
      <c r="K2" s="87" t="s">
        <v>16</v>
      </c>
      <c r="L2" s="88"/>
      <c r="M2" s="88"/>
      <c r="N2" s="78" t="s">
        <v>17</v>
      </c>
      <c r="O2" s="79"/>
      <c r="P2" s="80"/>
    </row>
    <row r="3" spans="1:16" ht="48.6" thickBot="1">
      <c r="A3" s="17"/>
      <c r="B3" s="18" t="s">
        <v>18</v>
      </c>
      <c r="C3" s="19" t="s">
        <v>19</v>
      </c>
      <c r="D3" s="19" t="s">
        <v>20</v>
      </c>
      <c r="E3" s="19" t="s">
        <v>21</v>
      </c>
      <c r="F3" s="19" t="s">
        <v>22</v>
      </c>
      <c r="G3" s="20" t="s">
        <v>23</v>
      </c>
      <c r="H3" s="35" t="s">
        <v>24</v>
      </c>
      <c r="I3" s="35" t="s">
        <v>25</v>
      </c>
      <c r="J3" s="35" t="s">
        <v>26</v>
      </c>
      <c r="K3" s="36" t="s">
        <v>24</v>
      </c>
      <c r="L3" s="36" t="s">
        <v>25</v>
      </c>
      <c r="M3" s="38" t="s">
        <v>26</v>
      </c>
      <c r="N3" s="45" t="s">
        <v>24</v>
      </c>
      <c r="O3" s="46" t="s">
        <v>25</v>
      </c>
      <c r="P3" s="47" t="s">
        <v>26</v>
      </c>
    </row>
    <row r="4" spans="1:16" ht="57.95">
      <c r="A4" s="72" t="s">
        <v>27</v>
      </c>
      <c r="B4" s="21">
        <v>1</v>
      </c>
      <c r="C4" s="22" t="s">
        <v>28</v>
      </c>
      <c r="D4" s="22" t="s">
        <v>29</v>
      </c>
      <c r="E4" s="22" t="s">
        <v>30</v>
      </c>
      <c r="F4" s="22" t="s">
        <v>31</v>
      </c>
      <c r="G4" s="75">
        <v>0.4</v>
      </c>
      <c r="H4" s="23">
        <v>3</v>
      </c>
      <c r="I4" s="23">
        <v>3</v>
      </c>
      <c r="J4" s="23">
        <v>2</v>
      </c>
      <c r="K4" s="92">
        <f>AVERAGE(H4:H10)*G4/3</f>
        <v>0.36190476190476195</v>
      </c>
      <c r="L4" s="92">
        <f>AVERAGE(I4:I10)*$G4/3</f>
        <v>0.34285714285714292</v>
      </c>
      <c r="M4" s="95">
        <f>AVERAGE(J4:J10)*G4/3</f>
        <v>0.32380952380952382</v>
      </c>
      <c r="N4" s="51" t="s">
        <v>32</v>
      </c>
      <c r="O4" s="52" t="s">
        <v>32</v>
      </c>
      <c r="P4" s="53" t="s">
        <v>33</v>
      </c>
    </row>
    <row r="5" spans="1:16" ht="48">
      <c r="A5" s="73"/>
      <c r="B5" s="7">
        <v>2</v>
      </c>
      <c r="C5" s="6" t="s">
        <v>34</v>
      </c>
      <c r="D5" s="6" t="s">
        <v>35</v>
      </c>
      <c r="E5" s="6" t="s">
        <v>36</v>
      </c>
      <c r="F5" s="6" t="s">
        <v>37</v>
      </c>
      <c r="G5" s="76"/>
      <c r="H5" s="14">
        <v>3</v>
      </c>
      <c r="I5" s="14">
        <v>3</v>
      </c>
      <c r="J5" s="14">
        <v>3</v>
      </c>
      <c r="K5" s="93"/>
      <c r="L5" s="93"/>
      <c r="M5" s="96"/>
      <c r="N5" s="40" t="s">
        <v>38</v>
      </c>
      <c r="O5" s="39" t="s">
        <v>38</v>
      </c>
      <c r="P5" s="41" t="s">
        <v>38</v>
      </c>
    </row>
    <row r="6" spans="1:16" ht="48">
      <c r="A6" s="73"/>
      <c r="B6" s="7">
        <v>3</v>
      </c>
      <c r="C6" s="6" t="s">
        <v>39</v>
      </c>
      <c r="D6" s="6" t="s">
        <v>40</v>
      </c>
      <c r="E6" s="6" t="s">
        <v>41</v>
      </c>
      <c r="F6" s="6" t="s">
        <v>42</v>
      </c>
      <c r="G6" s="76"/>
      <c r="H6" s="14">
        <v>3</v>
      </c>
      <c r="I6" s="14">
        <v>3</v>
      </c>
      <c r="J6" s="14">
        <v>3</v>
      </c>
      <c r="K6" s="93"/>
      <c r="L6" s="93"/>
      <c r="M6" s="96"/>
      <c r="N6" s="40" t="s">
        <v>43</v>
      </c>
      <c r="O6" s="39" t="s">
        <v>43</v>
      </c>
      <c r="P6" s="41" t="s">
        <v>43</v>
      </c>
    </row>
    <row r="7" spans="1:16" ht="48">
      <c r="A7" s="73"/>
      <c r="B7" s="7">
        <v>4</v>
      </c>
      <c r="C7" s="6" t="s">
        <v>44</v>
      </c>
      <c r="D7" s="6" t="s">
        <v>45</v>
      </c>
      <c r="E7" s="6" t="s">
        <v>46</v>
      </c>
      <c r="F7" s="6" t="s">
        <v>47</v>
      </c>
      <c r="G7" s="76"/>
      <c r="H7" s="14">
        <v>3</v>
      </c>
      <c r="I7" s="14">
        <v>2</v>
      </c>
      <c r="J7" s="14">
        <v>2</v>
      </c>
      <c r="K7" s="93"/>
      <c r="L7" s="93"/>
      <c r="M7" s="96"/>
      <c r="N7" s="40" t="s">
        <v>48</v>
      </c>
      <c r="O7" s="39" t="s">
        <v>49</v>
      </c>
      <c r="P7" s="41" t="s">
        <v>50</v>
      </c>
    </row>
    <row r="8" spans="1:16" ht="48">
      <c r="A8" s="73"/>
      <c r="B8" s="7">
        <v>5</v>
      </c>
      <c r="C8" s="6" t="s">
        <v>51</v>
      </c>
      <c r="D8" s="6" t="s">
        <v>52</v>
      </c>
      <c r="E8" s="6" t="s">
        <v>53</v>
      </c>
      <c r="F8" s="6" t="s">
        <v>54</v>
      </c>
      <c r="G8" s="76"/>
      <c r="H8" s="14">
        <v>3</v>
      </c>
      <c r="I8" s="14">
        <v>3</v>
      </c>
      <c r="J8" s="14">
        <v>3</v>
      </c>
      <c r="K8" s="93"/>
      <c r="L8" s="93"/>
      <c r="M8" s="96"/>
      <c r="N8" s="40" t="s">
        <v>55</v>
      </c>
      <c r="O8" s="39" t="s">
        <v>55</v>
      </c>
      <c r="P8" s="41" t="s">
        <v>55</v>
      </c>
    </row>
    <row r="9" spans="1:16" ht="48">
      <c r="A9" s="73"/>
      <c r="B9" s="7">
        <v>7</v>
      </c>
      <c r="C9" s="6" t="s">
        <v>56</v>
      </c>
      <c r="D9" s="6" t="s">
        <v>57</v>
      </c>
      <c r="E9" s="6" t="s">
        <v>58</v>
      </c>
      <c r="F9" s="6" t="s">
        <v>59</v>
      </c>
      <c r="G9" s="76"/>
      <c r="H9" s="14">
        <v>2</v>
      </c>
      <c r="I9" s="14">
        <v>2</v>
      </c>
      <c r="J9" s="14">
        <v>2</v>
      </c>
      <c r="K9" s="93"/>
      <c r="L9" s="93"/>
      <c r="M9" s="96"/>
      <c r="N9" s="40" t="s">
        <v>60</v>
      </c>
      <c r="O9" s="39" t="s">
        <v>60</v>
      </c>
      <c r="P9" s="41" t="s">
        <v>60</v>
      </c>
    </row>
    <row r="10" spans="1:16" ht="48.6" thickBot="1">
      <c r="A10" s="74"/>
      <c r="B10" s="24">
        <v>8</v>
      </c>
      <c r="C10" s="25" t="s">
        <v>61</v>
      </c>
      <c r="D10" s="25" t="s">
        <v>62</v>
      </c>
      <c r="E10" s="25" t="s">
        <v>63</v>
      </c>
      <c r="F10" s="25" t="s">
        <v>64</v>
      </c>
      <c r="G10" s="77"/>
      <c r="H10" s="26">
        <v>2</v>
      </c>
      <c r="I10" s="26">
        <v>2</v>
      </c>
      <c r="J10" s="26">
        <v>2</v>
      </c>
      <c r="K10" s="94"/>
      <c r="L10" s="94"/>
      <c r="M10" s="97"/>
      <c r="N10" s="54" t="s">
        <v>65</v>
      </c>
      <c r="O10" s="55" t="s">
        <v>65</v>
      </c>
      <c r="P10" s="56" t="s">
        <v>65</v>
      </c>
    </row>
    <row r="11" spans="1:16" ht="48">
      <c r="A11" s="84" t="s">
        <v>66</v>
      </c>
      <c r="B11" s="21">
        <v>9</v>
      </c>
      <c r="C11" s="22" t="s">
        <v>67</v>
      </c>
      <c r="D11" s="22" t="s">
        <v>68</v>
      </c>
      <c r="E11" s="27" t="s">
        <v>69</v>
      </c>
      <c r="F11" s="27" t="s">
        <v>70</v>
      </c>
      <c r="G11" s="81">
        <v>0.25</v>
      </c>
      <c r="H11" s="23">
        <v>2</v>
      </c>
      <c r="I11" s="23">
        <v>3</v>
      </c>
      <c r="J11" s="23">
        <v>2</v>
      </c>
      <c r="K11" s="92">
        <f>AVERAGE(H11:H16)*$G$11/3</f>
        <v>0.18055555555555555</v>
      </c>
      <c r="L11" s="92">
        <f>AVERAGE(I11:I16)*$G$11/3</f>
        <v>0.20833333333333334</v>
      </c>
      <c r="M11" s="95">
        <f>AVERAGE(J11:J16)*$G$11/3</f>
        <v>0.19444444444444445</v>
      </c>
      <c r="N11" s="51" t="s">
        <v>71</v>
      </c>
      <c r="O11" s="52" t="s">
        <v>72</v>
      </c>
      <c r="P11" s="53" t="s">
        <v>71</v>
      </c>
    </row>
    <row r="12" spans="1:16" ht="48">
      <c r="A12" s="85"/>
      <c r="B12" s="7">
        <v>10</v>
      </c>
      <c r="C12" s="6" t="s">
        <v>73</v>
      </c>
      <c r="D12" s="6" t="s">
        <v>74</v>
      </c>
      <c r="E12" s="8" t="s">
        <v>75</v>
      </c>
      <c r="F12" s="8" t="s">
        <v>76</v>
      </c>
      <c r="G12" s="82"/>
      <c r="H12" s="14">
        <v>2</v>
      </c>
      <c r="I12" s="14">
        <v>3</v>
      </c>
      <c r="J12" s="14">
        <v>3</v>
      </c>
      <c r="K12" s="93"/>
      <c r="L12" s="93"/>
      <c r="M12" s="96"/>
      <c r="N12" s="40" t="s">
        <v>77</v>
      </c>
      <c r="O12" s="39" t="s">
        <v>78</v>
      </c>
      <c r="P12" s="41" t="s">
        <v>78</v>
      </c>
    </row>
    <row r="13" spans="1:16" ht="48">
      <c r="A13" s="85"/>
      <c r="B13" s="7">
        <v>11</v>
      </c>
      <c r="C13" s="6" t="s">
        <v>79</v>
      </c>
      <c r="D13" s="6" t="s">
        <v>80</v>
      </c>
      <c r="E13" s="8" t="s">
        <v>81</v>
      </c>
      <c r="F13" s="8" t="s">
        <v>82</v>
      </c>
      <c r="G13" s="82"/>
      <c r="H13" s="14">
        <v>3</v>
      </c>
      <c r="I13" s="14">
        <v>3</v>
      </c>
      <c r="J13" s="14">
        <v>3</v>
      </c>
      <c r="K13" s="93"/>
      <c r="L13" s="93"/>
      <c r="M13" s="96"/>
      <c r="N13" s="40" t="s">
        <v>83</v>
      </c>
      <c r="O13" s="39" t="s">
        <v>83</v>
      </c>
      <c r="P13" s="41" t="s">
        <v>83</v>
      </c>
    </row>
    <row r="14" spans="1:16" ht="48">
      <c r="A14" s="85"/>
      <c r="B14" s="7">
        <v>12</v>
      </c>
      <c r="C14" s="6" t="s">
        <v>84</v>
      </c>
      <c r="D14" s="6" t="s">
        <v>85</v>
      </c>
      <c r="E14" s="8" t="s">
        <v>86</v>
      </c>
      <c r="F14" s="8" t="s">
        <v>87</v>
      </c>
      <c r="G14" s="82"/>
      <c r="H14" s="14">
        <v>2</v>
      </c>
      <c r="I14" s="14">
        <v>2</v>
      </c>
      <c r="J14" s="14">
        <v>2</v>
      </c>
      <c r="K14" s="93"/>
      <c r="L14" s="93"/>
      <c r="M14" s="96"/>
      <c r="N14" s="40" t="s">
        <v>88</v>
      </c>
      <c r="O14" s="39" t="s">
        <v>88</v>
      </c>
      <c r="P14" s="41" t="s">
        <v>88</v>
      </c>
    </row>
    <row r="15" spans="1:16" ht="48">
      <c r="A15" s="85"/>
      <c r="B15" s="7">
        <v>14</v>
      </c>
      <c r="C15" s="6" t="s">
        <v>89</v>
      </c>
      <c r="D15" s="6" t="s">
        <v>90</v>
      </c>
      <c r="E15" s="8" t="s">
        <v>91</v>
      </c>
      <c r="F15" s="8" t="s">
        <v>92</v>
      </c>
      <c r="G15" s="82"/>
      <c r="H15" s="14">
        <v>3</v>
      </c>
      <c r="I15" s="14">
        <v>3</v>
      </c>
      <c r="J15" s="14">
        <v>3</v>
      </c>
      <c r="K15" s="93"/>
      <c r="L15" s="93"/>
      <c r="M15" s="96"/>
      <c r="N15" s="40" t="s">
        <v>93</v>
      </c>
      <c r="O15" s="39" t="s">
        <v>93</v>
      </c>
      <c r="P15" s="41" t="s">
        <v>93</v>
      </c>
    </row>
    <row r="16" spans="1:16" ht="48.6" thickBot="1">
      <c r="A16" s="86"/>
      <c r="B16" s="24">
        <v>15</v>
      </c>
      <c r="C16" s="25" t="s">
        <v>94</v>
      </c>
      <c r="D16" s="25" t="s">
        <v>95</v>
      </c>
      <c r="E16" s="28" t="s">
        <v>96</v>
      </c>
      <c r="F16" s="28" t="s">
        <v>97</v>
      </c>
      <c r="G16" s="83"/>
      <c r="H16" s="26">
        <v>1</v>
      </c>
      <c r="I16" s="26">
        <v>1</v>
      </c>
      <c r="J16" s="26">
        <v>1</v>
      </c>
      <c r="K16" s="94"/>
      <c r="L16" s="94"/>
      <c r="M16" s="97"/>
      <c r="N16" s="54" t="s">
        <v>98</v>
      </c>
      <c r="O16" s="55" t="s">
        <v>98</v>
      </c>
      <c r="P16" s="56" t="s">
        <v>98</v>
      </c>
    </row>
    <row r="17" spans="1:16" ht="63.95">
      <c r="A17" s="84" t="s">
        <v>99</v>
      </c>
      <c r="B17" s="21">
        <v>16</v>
      </c>
      <c r="C17" s="22" t="s">
        <v>100</v>
      </c>
      <c r="D17" s="22" t="s">
        <v>101</v>
      </c>
      <c r="E17" s="27" t="s">
        <v>102</v>
      </c>
      <c r="F17" s="27" t="s">
        <v>103</v>
      </c>
      <c r="G17" s="81">
        <v>0.15</v>
      </c>
      <c r="H17" s="23">
        <v>2</v>
      </c>
      <c r="I17" s="23">
        <v>3</v>
      </c>
      <c r="J17" s="23">
        <v>2</v>
      </c>
      <c r="K17" s="92">
        <f>AVERAGE(H16:H20)*$G$17/3</f>
        <v>9.0000000000000011E-2</v>
      </c>
      <c r="L17" s="92">
        <f>AVERAGE(I16:I20)*$G$17/3</f>
        <v>9.9999999999999992E-2</v>
      </c>
      <c r="M17" s="95">
        <f>AVERAGE(J16:J20)*$G$17/3</f>
        <v>9.0000000000000011E-2</v>
      </c>
      <c r="N17" s="51" t="s">
        <v>104</v>
      </c>
      <c r="O17" s="52" t="s">
        <v>105</v>
      </c>
      <c r="P17" s="53" t="s">
        <v>104</v>
      </c>
    </row>
    <row r="18" spans="1:16" ht="43.5">
      <c r="A18" s="85"/>
      <c r="B18" s="7">
        <v>17</v>
      </c>
      <c r="C18" s="6" t="s">
        <v>106</v>
      </c>
      <c r="D18" s="6" t="s">
        <v>107</v>
      </c>
      <c r="E18" s="8" t="s">
        <v>108</v>
      </c>
      <c r="F18" s="8" t="s">
        <v>109</v>
      </c>
      <c r="G18" s="82"/>
      <c r="H18" s="14">
        <v>2</v>
      </c>
      <c r="I18" s="14">
        <v>2</v>
      </c>
      <c r="J18" s="14">
        <v>2</v>
      </c>
      <c r="K18" s="93"/>
      <c r="L18" s="93"/>
      <c r="M18" s="96"/>
      <c r="N18" s="40" t="s">
        <v>110</v>
      </c>
      <c r="O18" s="39" t="s">
        <v>110</v>
      </c>
      <c r="P18" s="41" t="s">
        <v>110</v>
      </c>
    </row>
    <row r="19" spans="1:16" ht="48">
      <c r="A19" s="85"/>
      <c r="B19" s="7">
        <v>19</v>
      </c>
      <c r="C19" s="6" t="s">
        <v>111</v>
      </c>
      <c r="D19" s="6" t="s">
        <v>112</v>
      </c>
      <c r="E19" s="8" t="s">
        <v>113</v>
      </c>
      <c r="F19" s="8" t="s">
        <v>114</v>
      </c>
      <c r="G19" s="82"/>
      <c r="H19" s="14">
        <v>2</v>
      </c>
      <c r="I19" s="14">
        <v>2</v>
      </c>
      <c r="J19" s="14">
        <v>2</v>
      </c>
      <c r="K19" s="93"/>
      <c r="L19" s="93"/>
      <c r="M19" s="96"/>
      <c r="N19" s="40" t="s">
        <v>115</v>
      </c>
      <c r="O19" s="39" t="s">
        <v>115</v>
      </c>
      <c r="P19" s="41" t="s">
        <v>115</v>
      </c>
    </row>
    <row r="20" spans="1:16" ht="48.6" thickBot="1">
      <c r="A20" s="86"/>
      <c r="B20" s="24">
        <v>20</v>
      </c>
      <c r="C20" s="25" t="s">
        <v>116</v>
      </c>
      <c r="D20" s="25" t="s">
        <v>117</v>
      </c>
      <c r="E20" s="28" t="s">
        <v>118</v>
      </c>
      <c r="F20" s="28" t="s">
        <v>119</v>
      </c>
      <c r="G20" s="83"/>
      <c r="H20" s="26">
        <v>2</v>
      </c>
      <c r="I20" s="26">
        <v>2</v>
      </c>
      <c r="J20" s="26">
        <v>2</v>
      </c>
      <c r="K20" s="94"/>
      <c r="L20" s="94"/>
      <c r="M20" s="97"/>
      <c r="N20" s="42" t="s">
        <v>120</v>
      </c>
      <c r="O20" s="43" t="s">
        <v>120</v>
      </c>
      <c r="P20" s="44" t="s">
        <v>120</v>
      </c>
    </row>
    <row r="21" spans="1:16" ht="48">
      <c r="A21" s="84" t="s">
        <v>121</v>
      </c>
      <c r="B21" s="21">
        <v>21</v>
      </c>
      <c r="C21" s="22" t="s">
        <v>122</v>
      </c>
      <c r="D21" s="22" t="s">
        <v>123</v>
      </c>
      <c r="E21" s="27" t="s">
        <v>124</v>
      </c>
      <c r="F21" s="27" t="s">
        <v>125</v>
      </c>
      <c r="G21" s="81">
        <v>0.1</v>
      </c>
      <c r="H21" s="23">
        <v>2</v>
      </c>
      <c r="I21" s="23">
        <v>2</v>
      </c>
      <c r="J21" s="23">
        <v>2</v>
      </c>
      <c r="K21" s="92">
        <f>AVERAGE(H21:H26)*$G$21/3</f>
        <v>6.6666666666666666E-2</v>
      </c>
      <c r="L21" s="92">
        <f>AVERAGE(I21:I26)*$G$21/3</f>
        <v>7.7777777777777793E-2</v>
      </c>
      <c r="M21" s="95" cm="1">
        <f t="array" ref="M21">AVERAGE(J21:J26*$G$21/3)</f>
        <v>6.6666666666666666E-2</v>
      </c>
      <c r="N21" s="48" t="s">
        <v>126</v>
      </c>
      <c r="O21" s="49" t="s">
        <v>126</v>
      </c>
      <c r="P21" s="50" t="s">
        <v>126</v>
      </c>
    </row>
    <row r="22" spans="1:16" ht="48">
      <c r="A22" s="85"/>
      <c r="B22" s="7">
        <v>22</v>
      </c>
      <c r="C22" s="6" t="s">
        <v>127</v>
      </c>
      <c r="D22" s="6" t="s">
        <v>128</v>
      </c>
      <c r="E22" s="8" t="s">
        <v>129</v>
      </c>
      <c r="F22" s="8" t="s">
        <v>130</v>
      </c>
      <c r="G22" s="82"/>
      <c r="H22" s="14">
        <v>2</v>
      </c>
      <c r="I22" s="14">
        <v>3</v>
      </c>
      <c r="J22" s="14">
        <v>2</v>
      </c>
      <c r="K22" s="93"/>
      <c r="L22" s="93"/>
      <c r="M22" s="96"/>
      <c r="N22" s="40" t="s">
        <v>131</v>
      </c>
      <c r="O22" s="39" t="s">
        <v>132</v>
      </c>
      <c r="P22" s="41" t="s">
        <v>131</v>
      </c>
    </row>
    <row r="23" spans="1:16" ht="48">
      <c r="A23" s="85"/>
      <c r="B23" s="7">
        <v>23</v>
      </c>
      <c r="C23" s="6" t="s">
        <v>133</v>
      </c>
      <c r="D23" s="6" t="s">
        <v>134</v>
      </c>
      <c r="E23" s="8" t="s">
        <v>135</v>
      </c>
      <c r="F23" s="8" t="s">
        <v>136</v>
      </c>
      <c r="G23" s="82"/>
      <c r="H23" s="14">
        <v>2</v>
      </c>
      <c r="I23" s="14">
        <v>2</v>
      </c>
      <c r="J23" s="14">
        <v>2</v>
      </c>
      <c r="K23" s="93"/>
      <c r="L23" s="93"/>
      <c r="M23" s="96"/>
      <c r="N23" s="40" t="s">
        <v>137</v>
      </c>
      <c r="O23" s="39" t="s">
        <v>137</v>
      </c>
      <c r="P23" s="41" t="s">
        <v>137</v>
      </c>
    </row>
    <row r="24" spans="1:16" ht="48">
      <c r="A24" s="85"/>
      <c r="B24" s="7">
        <v>24</v>
      </c>
      <c r="C24" s="6" t="s">
        <v>138</v>
      </c>
      <c r="D24" s="6" t="s">
        <v>139</v>
      </c>
      <c r="E24" s="8" t="s">
        <v>140</v>
      </c>
      <c r="F24" s="8" t="s">
        <v>141</v>
      </c>
      <c r="G24" s="82"/>
      <c r="H24" s="14">
        <v>2</v>
      </c>
      <c r="I24" s="14">
        <v>2</v>
      </c>
      <c r="J24" s="14">
        <v>2</v>
      </c>
      <c r="K24" s="93"/>
      <c r="L24" s="93"/>
      <c r="M24" s="96"/>
      <c r="N24" s="40" t="s">
        <v>137</v>
      </c>
      <c r="O24" s="39" t="s">
        <v>137</v>
      </c>
      <c r="P24" s="41" t="s">
        <v>137</v>
      </c>
    </row>
    <row r="25" spans="1:16" ht="48">
      <c r="A25" s="85"/>
      <c r="B25" s="7">
        <v>25</v>
      </c>
      <c r="C25" s="6" t="s">
        <v>142</v>
      </c>
      <c r="D25" s="6" t="s">
        <v>143</v>
      </c>
      <c r="E25" s="8" t="s">
        <v>144</v>
      </c>
      <c r="F25" s="8" t="s">
        <v>145</v>
      </c>
      <c r="G25" s="82"/>
      <c r="H25" s="14">
        <v>2</v>
      </c>
      <c r="I25" s="14">
        <v>3</v>
      </c>
      <c r="J25" s="14">
        <v>2</v>
      </c>
      <c r="K25" s="93"/>
      <c r="L25" s="93"/>
      <c r="M25" s="96"/>
      <c r="N25" s="40" t="s">
        <v>146</v>
      </c>
      <c r="O25" s="39" t="s">
        <v>147</v>
      </c>
      <c r="P25" s="41" t="s">
        <v>146</v>
      </c>
    </row>
    <row r="26" spans="1:16" ht="32.450000000000003" thickBot="1">
      <c r="A26" s="86"/>
      <c r="B26" s="24">
        <v>26</v>
      </c>
      <c r="C26" s="25" t="s">
        <v>148</v>
      </c>
      <c r="D26" s="25" t="s">
        <v>149</v>
      </c>
      <c r="E26" s="28" t="s">
        <v>150</v>
      </c>
      <c r="F26" s="28" t="s">
        <v>151</v>
      </c>
      <c r="G26" s="83"/>
      <c r="H26" s="26">
        <v>2</v>
      </c>
      <c r="I26" s="26">
        <v>2</v>
      </c>
      <c r="J26" s="26">
        <v>2</v>
      </c>
      <c r="K26" s="94"/>
      <c r="L26" s="94"/>
      <c r="M26" s="97"/>
      <c r="N26" s="42" t="s">
        <v>152</v>
      </c>
      <c r="O26" s="43" t="s">
        <v>152</v>
      </c>
      <c r="P26" s="44" t="s">
        <v>152</v>
      </c>
    </row>
    <row r="27" spans="1:16" ht="32.1">
      <c r="A27" s="72" t="s">
        <v>153</v>
      </c>
      <c r="B27" s="21">
        <v>27</v>
      </c>
      <c r="C27" s="22" t="s">
        <v>154</v>
      </c>
      <c r="D27" s="22" t="s">
        <v>155</v>
      </c>
      <c r="E27" s="27" t="s">
        <v>156</v>
      </c>
      <c r="F27" s="27" t="s">
        <v>157</v>
      </c>
      <c r="G27" s="75">
        <v>0.1</v>
      </c>
      <c r="H27" s="23">
        <v>2</v>
      </c>
      <c r="I27" s="23">
        <v>2</v>
      </c>
      <c r="J27" s="23">
        <v>2</v>
      </c>
      <c r="K27" s="92">
        <f>AVERAGE(H27:H33)*$G$27/3</f>
        <v>6.6666666666666666E-2</v>
      </c>
      <c r="L27" s="92">
        <f>AVERAGE(I27:I33)*$G$27/3</f>
        <v>6.6666666666666666E-2</v>
      </c>
      <c r="M27" s="95">
        <f>AVERAGE(J27:J33)*$G$27/3</f>
        <v>6.6666666666666666E-2</v>
      </c>
      <c r="N27" s="98" t="s">
        <v>158</v>
      </c>
      <c r="O27" s="101" t="s">
        <v>158</v>
      </c>
      <c r="P27" s="104" t="s">
        <v>158</v>
      </c>
    </row>
    <row r="28" spans="1:16" ht="48">
      <c r="A28" s="73"/>
      <c r="B28" s="7">
        <v>28</v>
      </c>
      <c r="C28" s="6" t="s">
        <v>159</v>
      </c>
      <c r="D28" s="6" t="s">
        <v>160</v>
      </c>
      <c r="E28" s="8" t="s">
        <v>161</v>
      </c>
      <c r="F28" s="8" t="s">
        <v>162</v>
      </c>
      <c r="G28" s="76"/>
      <c r="H28" s="14">
        <v>2</v>
      </c>
      <c r="I28" s="14">
        <v>2</v>
      </c>
      <c r="J28" s="14">
        <v>2</v>
      </c>
      <c r="K28" s="93"/>
      <c r="L28" s="93"/>
      <c r="M28" s="96"/>
      <c r="N28" s="99"/>
      <c r="O28" s="102"/>
      <c r="P28" s="105"/>
    </row>
    <row r="29" spans="1:16" ht="32.1">
      <c r="A29" s="73"/>
      <c r="B29" s="7">
        <v>29</v>
      </c>
      <c r="C29" s="6" t="s">
        <v>163</v>
      </c>
      <c r="D29" s="6" t="s">
        <v>164</v>
      </c>
      <c r="E29" s="8" t="s">
        <v>165</v>
      </c>
      <c r="F29" s="8" t="s">
        <v>166</v>
      </c>
      <c r="G29" s="76"/>
      <c r="H29" s="14">
        <v>2</v>
      </c>
      <c r="I29" s="14">
        <v>2</v>
      </c>
      <c r="J29" s="14">
        <v>2</v>
      </c>
      <c r="K29" s="93"/>
      <c r="L29" s="93"/>
      <c r="M29" s="96"/>
      <c r="N29" s="99"/>
      <c r="O29" s="102"/>
      <c r="P29" s="105"/>
    </row>
    <row r="30" spans="1:16" ht="32.1">
      <c r="A30" s="73"/>
      <c r="B30" s="7">
        <v>30</v>
      </c>
      <c r="C30" s="6" t="s">
        <v>167</v>
      </c>
      <c r="D30" s="6" t="s">
        <v>168</v>
      </c>
      <c r="E30" s="8" t="s">
        <v>169</v>
      </c>
      <c r="F30" s="8" t="s">
        <v>170</v>
      </c>
      <c r="G30" s="76"/>
      <c r="H30" s="14">
        <v>2</v>
      </c>
      <c r="I30" s="14">
        <v>2</v>
      </c>
      <c r="J30" s="14">
        <v>2</v>
      </c>
      <c r="K30" s="93"/>
      <c r="L30" s="93"/>
      <c r="M30" s="96"/>
      <c r="N30" s="99"/>
      <c r="O30" s="102"/>
      <c r="P30" s="105"/>
    </row>
    <row r="31" spans="1:16" ht="48">
      <c r="A31" s="73"/>
      <c r="B31" s="7">
        <v>31</v>
      </c>
      <c r="C31" s="6" t="s">
        <v>171</v>
      </c>
      <c r="D31" s="6" t="s">
        <v>172</v>
      </c>
      <c r="E31" s="8" t="s">
        <v>173</v>
      </c>
      <c r="F31" s="8" t="s">
        <v>174</v>
      </c>
      <c r="G31" s="76"/>
      <c r="H31" s="14">
        <v>2</v>
      </c>
      <c r="I31" s="14">
        <v>2</v>
      </c>
      <c r="J31" s="14">
        <v>2</v>
      </c>
      <c r="K31" s="93"/>
      <c r="L31" s="93"/>
      <c r="M31" s="96"/>
      <c r="N31" s="99"/>
      <c r="O31" s="102"/>
      <c r="P31" s="105"/>
    </row>
    <row r="32" spans="1:16" ht="32.1">
      <c r="A32" s="73"/>
      <c r="B32" s="7">
        <v>32</v>
      </c>
      <c r="C32" s="6" t="s">
        <v>175</v>
      </c>
      <c r="D32" s="6" t="s">
        <v>176</v>
      </c>
      <c r="E32" s="8" t="s">
        <v>177</v>
      </c>
      <c r="F32" s="8" t="s">
        <v>178</v>
      </c>
      <c r="G32" s="76"/>
      <c r="H32" s="14">
        <v>2</v>
      </c>
      <c r="I32" s="14">
        <v>2</v>
      </c>
      <c r="J32" s="14">
        <v>2</v>
      </c>
      <c r="K32" s="93"/>
      <c r="L32" s="93"/>
      <c r="M32" s="96"/>
      <c r="N32" s="99"/>
      <c r="O32" s="102"/>
      <c r="P32" s="105"/>
    </row>
    <row r="33" spans="1:16" ht="48.6" thickBot="1">
      <c r="A33" s="74"/>
      <c r="B33" s="24">
        <v>33</v>
      </c>
      <c r="C33" s="25" t="s">
        <v>179</v>
      </c>
      <c r="D33" s="25" t="s">
        <v>180</v>
      </c>
      <c r="E33" s="28" t="s">
        <v>181</v>
      </c>
      <c r="F33" s="28" t="s">
        <v>182</v>
      </c>
      <c r="G33" s="77"/>
      <c r="H33" s="26">
        <v>2</v>
      </c>
      <c r="I33" s="26">
        <v>2</v>
      </c>
      <c r="J33" s="26">
        <v>2</v>
      </c>
      <c r="K33" s="94"/>
      <c r="L33" s="94"/>
      <c r="M33" s="97"/>
      <c r="N33" s="100"/>
      <c r="O33" s="103"/>
      <c r="P33" s="106"/>
    </row>
    <row r="34" spans="1:16">
      <c r="G34" s="13">
        <f>SUM(G4:G33)</f>
        <v>1</v>
      </c>
      <c r="K34" s="16">
        <f>SUM(K4:K33)</f>
        <v>0.7657936507936508</v>
      </c>
      <c r="L34" s="16">
        <f>SUM(L4:L33)</f>
        <v>0.79563492063492069</v>
      </c>
      <c r="M34" s="16">
        <f>SUM(M4:M33)</f>
        <v>0.74158730158730157</v>
      </c>
    </row>
  </sheetData>
  <mergeCells count="31">
    <mergeCell ref="N27:N33"/>
    <mergeCell ref="O27:O33"/>
    <mergeCell ref="P27:P33"/>
    <mergeCell ref="K21:K26"/>
    <mergeCell ref="L21:L26"/>
    <mergeCell ref="M21:M26"/>
    <mergeCell ref="K27:K33"/>
    <mergeCell ref="L27:L33"/>
    <mergeCell ref="M27:M33"/>
    <mergeCell ref="K11:K16"/>
    <mergeCell ref="L11:L16"/>
    <mergeCell ref="M11:M16"/>
    <mergeCell ref="K17:K20"/>
    <mergeCell ref="L17:L20"/>
    <mergeCell ref="M17:M20"/>
    <mergeCell ref="A27:A33"/>
    <mergeCell ref="G27:G33"/>
    <mergeCell ref="N2:P2"/>
    <mergeCell ref="G11:G16"/>
    <mergeCell ref="G17:G20"/>
    <mergeCell ref="G21:G26"/>
    <mergeCell ref="A11:A16"/>
    <mergeCell ref="A17:A20"/>
    <mergeCell ref="A21:A26"/>
    <mergeCell ref="A4:A10"/>
    <mergeCell ref="G4:G10"/>
    <mergeCell ref="K2:M2"/>
    <mergeCell ref="H2:J2"/>
    <mergeCell ref="K4:K10"/>
    <mergeCell ref="L4:L10"/>
    <mergeCell ref="M4:M10"/>
  </mergeCells>
  <pageMargins left="0.7" right="0.7" top="0.75" bottom="0.75" header="0.3" footer="0.3"/>
  <pageSetup paperSize="0" orientation="portrait" r:id="rId1"/>
  <ignoredErrors>
    <ignoredError sqref="K11:M16 K4:M10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1C998-FD27-40E1-92E1-630B99F24504}">
  <dimension ref="A1:P29"/>
  <sheetViews>
    <sheetView topLeftCell="D27" zoomScale="70" zoomScaleNormal="70" workbookViewId="0"/>
  </sheetViews>
  <sheetFormatPr defaultColWidth="8.85546875" defaultRowHeight="14.45"/>
  <cols>
    <col min="1" max="1" width="8.85546875" style="2"/>
    <col min="2" max="2" width="8.85546875" style="3"/>
    <col min="3" max="3" width="27.85546875" style="2" customWidth="1"/>
    <col min="4" max="4" width="40.85546875" style="2" customWidth="1"/>
    <col min="5" max="5" width="52.5703125" style="2" customWidth="1"/>
    <col min="6" max="6" width="32.5703125" style="2" customWidth="1"/>
    <col min="7" max="7" width="14.140625" style="15" customWidth="1"/>
    <col min="8" max="8" width="7.5703125" style="4" bestFit="1" customWidth="1"/>
    <col min="9" max="9" width="8.5703125" style="4" bestFit="1" customWidth="1"/>
    <col min="10" max="10" width="7.42578125" style="4" bestFit="1" customWidth="1"/>
    <col min="11" max="11" width="7.42578125" style="16" bestFit="1" customWidth="1"/>
    <col min="12" max="12" width="8.5703125" style="16" bestFit="1" customWidth="1"/>
    <col min="13" max="13" width="7.42578125" style="16" bestFit="1" customWidth="1"/>
    <col min="14" max="16" width="30.5703125" style="37" customWidth="1"/>
    <col min="17" max="16384" width="8.85546875" style="2"/>
  </cols>
  <sheetData>
    <row r="1" spans="1:16" ht="26.45" thickBot="1">
      <c r="A1" s="12" t="s">
        <v>183</v>
      </c>
    </row>
    <row r="2" spans="1:16" ht="21.6" thickBot="1">
      <c r="H2" s="89" t="s">
        <v>15</v>
      </c>
      <c r="I2" s="90"/>
      <c r="J2" s="91"/>
      <c r="K2" s="87" t="s">
        <v>16</v>
      </c>
      <c r="L2" s="88"/>
      <c r="M2" s="88"/>
      <c r="N2" s="78" t="s">
        <v>17</v>
      </c>
      <c r="O2" s="79"/>
      <c r="P2" s="80"/>
    </row>
    <row r="3" spans="1:16" ht="48.6" thickBot="1">
      <c r="A3" s="31"/>
      <c r="B3" s="32" t="s">
        <v>18</v>
      </c>
      <c r="C3" s="33" t="s">
        <v>19</v>
      </c>
      <c r="D3" s="33" t="s">
        <v>184</v>
      </c>
      <c r="E3" s="33" t="s">
        <v>21</v>
      </c>
      <c r="F3" s="33" t="s">
        <v>185</v>
      </c>
      <c r="G3" s="34" t="s">
        <v>23</v>
      </c>
      <c r="H3" s="35" t="s">
        <v>24</v>
      </c>
      <c r="I3" s="35" t="s">
        <v>25</v>
      </c>
      <c r="J3" s="35" t="s">
        <v>26</v>
      </c>
      <c r="K3" s="36" t="s">
        <v>24</v>
      </c>
      <c r="L3" s="36" t="s">
        <v>25</v>
      </c>
      <c r="M3" s="38" t="s">
        <v>26</v>
      </c>
      <c r="N3" s="60" t="s">
        <v>24</v>
      </c>
      <c r="O3" s="61" t="s">
        <v>25</v>
      </c>
      <c r="P3" s="62" t="s">
        <v>26</v>
      </c>
    </row>
    <row r="4" spans="1:16" ht="72.599999999999994">
      <c r="A4" s="107" t="s">
        <v>186</v>
      </c>
      <c r="B4" s="29">
        <v>1</v>
      </c>
      <c r="C4" s="22" t="s">
        <v>187</v>
      </c>
      <c r="D4" s="22" t="s">
        <v>188</v>
      </c>
      <c r="E4" s="22" t="s">
        <v>189</v>
      </c>
      <c r="F4" s="22" t="s">
        <v>190</v>
      </c>
      <c r="G4" s="81">
        <v>0.3</v>
      </c>
      <c r="H4" s="23">
        <v>2</v>
      </c>
      <c r="I4" s="23">
        <v>2</v>
      </c>
      <c r="J4" s="23">
        <v>2</v>
      </c>
      <c r="K4" s="92">
        <f>AVERAGE(H4:H9)*$G4/3</f>
        <v>0.23333333333333336</v>
      </c>
      <c r="L4" s="92">
        <f t="shared" ref="L4:M4" si="0">AVERAGE(I4:I9)*$G4/3</f>
        <v>0.25</v>
      </c>
      <c r="M4" s="95">
        <f t="shared" si="0"/>
        <v>0.21666666666666665</v>
      </c>
      <c r="N4" s="64" t="s">
        <v>191</v>
      </c>
      <c r="O4" s="63" t="s">
        <v>191</v>
      </c>
      <c r="P4" s="65" t="s">
        <v>191</v>
      </c>
    </row>
    <row r="5" spans="1:16" ht="72.599999999999994">
      <c r="A5" s="108"/>
      <c r="B5" s="5">
        <v>2</v>
      </c>
      <c r="C5" s="6" t="s">
        <v>192</v>
      </c>
      <c r="D5" s="6" t="s">
        <v>193</v>
      </c>
      <c r="E5" s="6" t="s">
        <v>194</v>
      </c>
      <c r="F5" s="6" t="s">
        <v>195</v>
      </c>
      <c r="G5" s="82"/>
      <c r="H5" s="14">
        <v>2</v>
      </c>
      <c r="I5" s="14">
        <v>3</v>
      </c>
      <c r="J5" s="14">
        <v>2</v>
      </c>
      <c r="K5" s="93"/>
      <c r="L5" s="93"/>
      <c r="M5" s="96"/>
      <c r="N5" s="57" t="s">
        <v>196</v>
      </c>
      <c r="O5" s="58" t="s">
        <v>197</v>
      </c>
      <c r="P5" s="59" t="s">
        <v>196</v>
      </c>
    </row>
    <row r="6" spans="1:16" ht="87">
      <c r="A6" s="108"/>
      <c r="B6" s="5">
        <v>3</v>
      </c>
      <c r="C6" s="6" t="s">
        <v>198</v>
      </c>
      <c r="D6" s="6" t="s">
        <v>199</v>
      </c>
      <c r="E6" s="6" t="s">
        <v>200</v>
      </c>
      <c r="F6" s="6" t="s">
        <v>201</v>
      </c>
      <c r="G6" s="82"/>
      <c r="H6" s="14">
        <v>2</v>
      </c>
      <c r="I6" s="14">
        <v>2</v>
      </c>
      <c r="J6" s="14">
        <v>2</v>
      </c>
      <c r="K6" s="93"/>
      <c r="L6" s="93"/>
      <c r="M6" s="96"/>
      <c r="N6" s="57" t="s">
        <v>202</v>
      </c>
      <c r="O6" s="58" t="s">
        <v>202</v>
      </c>
      <c r="P6" s="59" t="s">
        <v>202</v>
      </c>
    </row>
    <row r="7" spans="1:16" ht="57.95">
      <c r="A7" s="108"/>
      <c r="B7" s="5">
        <v>4</v>
      </c>
      <c r="C7" s="6" t="s">
        <v>203</v>
      </c>
      <c r="D7" s="6" t="s">
        <v>204</v>
      </c>
      <c r="E7" s="6" t="s">
        <v>205</v>
      </c>
      <c r="F7" s="6" t="s">
        <v>206</v>
      </c>
      <c r="G7" s="82"/>
      <c r="H7" s="14">
        <v>3</v>
      </c>
      <c r="I7" s="14">
        <v>3</v>
      </c>
      <c r="J7" s="14">
        <v>3</v>
      </c>
      <c r="K7" s="93"/>
      <c r="L7" s="93"/>
      <c r="M7" s="96"/>
      <c r="N7" s="57" t="s">
        <v>207</v>
      </c>
      <c r="O7" s="58" t="s">
        <v>207</v>
      </c>
      <c r="P7" s="59" t="s">
        <v>207</v>
      </c>
    </row>
    <row r="8" spans="1:16" ht="43.5">
      <c r="A8" s="108"/>
      <c r="B8" s="5">
        <v>5</v>
      </c>
      <c r="C8" s="6" t="s">
        <v>208</v>
      </c>
      <c r="D8" s="6" t="s">
        <v>209</v>
      </c>
      <c r="E8" s="6" t="s">
        <v>210</v>
      </c>
      <c r="F8" s="6" t="s">
        <v>211</v>
      </c>
      <c r="G8" s="82"/>
      <c r="H8" s="14">
        <v>2</v>
      </c>
      <c r="I8" s="14">
        <v>2</v>
      </c>
      <c r="J8" s="14">
        <v>2</v>
      </c>
      <c r="K8" s="93"/>
      <c r="L8" s="93"/>
      <c r="M8" s="96"/>
      <c r="N8" s="57" t="s">
        <v>212</v>
      </c>
      <c r="O8" s="58" t="s">
        <v>212</v>
      </c>
      <c r="P8" s="59" t="s">
        <v>212</v>
      </c>
    </row>
    <row r="9" spans="1:16" ht="72.95" thickBot="1">
      <c r="A9" s="109"/>
      <c r="B9" s="30">
        <v>6</v>
      </c>
      <c r="C9" s="25" t="s">
        <v>213</v>
      </c>
      <c r="D9" s="25" t="s">
        <v>214</v>
      </c>
      <c r="E9" s="25" t="s">
        <v>215</v>
      </c>
      <c r="F9" s="25" t="s">
        <v>216</v>
      </c>
      <c r="G9" s="83"/>
      <c r="H9" s="26">
        <v>3</v>
      </c>
      <c r="I9" s="26">
        <v>3</v>
      </c>
      <c r="J9" s="26">
        <v>2</v>
      </c>
      <c r="K9" s="94"/>
      <c r="L9" s="94"/>
      <c r="M9" s="97"/>
      <c r="N9" s="66" t="s">
        <v>217</v>
      </c>
      <c r="O9" s="67" t="s">
        <v>217</v>
      </c>
      <c r="P9" s="68" t="s">
        <v>218</v>
      </c>
    </row>
    <row r="10" spans="1:16" ht="72.599999999999994">
      <c r="A10" s="107" t="s">
        <v>219</v>
      </c>
      <c r="B10" s="29">
        <v>7</v>
      </c>
      <c r="C10" s="22" t="s">
        <v>220</v>
      </c>
      <c r="D10" s="22" t="s">
        <v>221</v>
      </c>
      <c r="E10" s="22" t="s">
        <v>222</v>
      </c>
      <c r="F10" s="22" t="s">
        <v>223</v>
      </c>
      <c r="G10" s="81">
        <v>0.2</v>
      </c>
      <c r="H10" s="23">
        <v>3</v>
      </c>
      <c r="I10" s="23">
        <v>3</v>
      </c>
      <c r="J10" s="23">
        <v>3</v>
      </c>
      <c r="K10" s="92">
        <f>AVERAGE(H10:H14)*$G$10/3</f>
        <v>0.17333333333333334</v>
      </c>
      <c r="L10" s="92">
        <f t="shared" ref="L10:M10" si="1">AVERAGE(I10:I14)*$G$10/3</f>
        <v>0.18666666666666665</v>
      </c>
      <c r="M10" s="95">
        <f t="shared" si="1"/>
        <v>0.17333333333333334</v>
      </c>
      <c r="N10" s="64" t="s">
        <v>224</v>
      </c>
      <c r="O10" s="63" t="s">
        <v>224</v>
      </c>
      <c r="P10" s="65" t="s">
        <v>224</v>
      </c>
    </row>
    <row r="11" spans="1:16" ht="72.599999999999994">
      <c r="A11" s="108"/>
      <c r="B11" s="5">
        <v>8</v>
      </c>
      <c r="C11" s="6" t="s">
        <v>225</v>
      </c>
      <c r="D11" s="6" t="s">
        <v>226</v>
      </c>
      <c r="E11" s="6" t="s">
        <v>227</v>
      </c>
      <c r="F11" s="6" t="s">
        <v>228</v>
      </c>
      <c r="G11" s="82"/>
      <c r="H11" s="14">
        <v>2</v>
      </c>
      <c r="I11" s="14">
        <v>3</v>
      </c>
      <c r="J11" s="14">
        <v>2</v>
      </c>
      <c r="K11" s="93"/>
      <c r="L11" s="93"/>
      <c r="M11" s="96"/>
      <c r="N11" s="57" t="s">
        <v>229</v>
      </c>
      <c r="O11" s="58" t="s">
        <v>230</v>
      </c>
      <c r="P11" s="59" t="s">
        <v>229</v>
      </c>
    </row>
    <row r="12" spans="1:16" ht="72.599999999999994">
      <c r="A12" s="108"/>
      <c r="B12" s="5">
        <v>9</v>
      </c>
      <c r="C12" s="6" t="s">
        <v>231</v>
      </c>
      <c r="D12" s="6" t="s">
        <v>232</v>
      </c>
      <c r="E12" s="6" t="s">
        <v>233</v>
      </c>
      <c r="F12" s="6" t="s">
        <v>234</v>
      </c>
      <c r="G12" s="82"/>
      <c r="H12" s="14">
        <v>3</v>
      </c>
      <c r="I12" s="14">
        <v>3</v>
      </c>
      <c r="J12" s="14">
        <v>3</v>
      </c>
      <c r="K12" s="93"/>
      <c r="L12" s="93"/>
      <c r="M12" s="96"/>
      <c r="N12" s="57" t="s">
        <v>235</v>
      </c>
      <c r="O12" s="58" t="s">
        <v>235</v>
      </c>
      <c r="P12" s="59" t="s">
        <v>235</v>
      </c>
    </row>
    <row r="13" spans="1:16" ht="57.95">
      <c r="A13" s="108"/>
      <c r="B13" s="5">
        <v>10</v>
      </c>
      <c r="C13" s="6" t="s">
        <v>236</v>
      </c>
      <c r="D13" s="6" t="s">
        <v>237</v>
      </c>
      <c r="E13" s="6" t="s">
        <v>238</v>
      </c>
      <c r="F13" s="6" t="s">
        <v>239</v>
      </c>
      <c r="G13" s="82"/>
      <c r="H13" s="14">
        <v>3</v>
      </c>
      <c r="I13" s="14">
        <v>3</v>
      </c>
      <c r="J13" s="14">
        <v>3</v>
      </c>
      <c r="K13" s="93"/>
      <c r="L13" s="93"/>
      <c r="M13" s="96"/>
      <c r="N13" s="57" t="s">
        <v>240</v>
      </c>
      <c r="O13" s="58" t="s">
        <v>240</v>
      </c>
      <c r="P13" s="59" t="s">
        <v>240</v>
      </c>
    </row>
    <row r="14" spans="1:16" ht="72.95" thickBot="1">
      <c r="A14" s="109"/>
      <c r="B14" s="30">
        <v>11</v>
      </c>
      <c r="C14" s="25" t="s">
        <v>241</v>
      </c>
      <c r="D14" s="25" t="s">
        <v>242</v>
      </c>
      <c r="E14" s="25" t="s">
        <v>243</v>
      </c>
      <c r="F14" s="25" t="s">
        <v>244</v>
      </c>
      <c r="G14" s="83"/>
      <c r="H14" s="26">
        <v>2</v>
      </c>
      <c r="I14" s="26">
        <v>2</v>
      </c>
      <c r="J14" s="26">
        <v>2</v>
      </c>
      <c r="K14" s="94"/>
      <c r="L14" s="94"/>
      <c r="M14" s="97"/>
      <c r="N14" s="66" t="s">
        <v>245</v>
      </c>
      <c r="O14" s="67" t="s">
        <v>245</v>
      </c>
      <c r="P14" s="68" t="s">
        <v>245</v>
      </c>
    </row>
    <row r="15" spans="1:16" ht="43.5">
      <c r="A15" s="107" t="s">
        <v>246</v>
      </c>
      <c r="B15" s="29">
        <v>12</v>
      </c>
      <c r="C15" s="22" t="s">
        <v>247</v>
      </c>
      <c r="D15" s="22" t="s">
        <v>248</v>
      </c>
      <c r="E15" s="22" t="s">
        <v>249</v>
      </c>
      <c r="F15" s="22" t="s">
        <v>250</v>
      </c>
      <c r="G15" s="81">
        <v>0.15</v>
      </c>
      <c r="H15" s="23">
        <v>3</v>
      </c>
      <c r="I15" s="23">
        <v>3</v>
      </c>
      <c r="J15" s="23">
        <v>3</v>
      </c>
      <c r="K15" s="92">
        <f>AVERAGE(H15:H18)*$G15/3</f>
        <v>0.125</v>
      </c>
      <c r="L15" s="92">
        <f t="shared" ref="L15:M15" si="2">AVERAGE(I15:I18)*$G15/3</f>
        <v>0.13749999999999998</v>
      </c>
      <c r="M15" s="95">
        <f t="shared" si="2"/>
        <v>0.125</v>
      </c>
      <c r="N15" s="51" t="s">
        <v>251</v>
      </c>
      <c r="O15" s="52" t="s">
        <v>251</v>
      </c>
      <c r="P15" s="53" t="s">
        <v>251</v>
      </c>
    </row>
    <row r="16" spans="1:16" ht="57.95">
      <c r="A16" s="108"/>
      <c r="B16" s="5">
        <v>13</v>
      </c>
      <c r="C16" s="6" t="s">
        <v>252</v>
      </c>
      <c r="D16" s="6" t="s">
        <v>253</v>
      </c>
      <c r="E16" s="6" t="s">
        <v>254</v>
      </c>
      <c r="F16" s="6" t="s">
        <v>255</v>
      </c>
      <c r="G16" s="82"/>
      <c r="H16" s="14">
        <v>3</v>
      </c>
      <c r="I16" s="14">
        <v>3</v>
      </c>
      <c r="J16" s="14">
        <v>3</v>
      </c>
      <c r="K16" s="93"/>
      <c r="L16" s="93"/>
      <c r="M16" s="96"/>
      <c r="N16" s="40" t="s">
        <v>256</v>
      </c>
      <c r="O16" s="39" t="s">
        <v>256</v>
      </c>
      <c r="P16" s="41" t="s">
        <v>256</v>
      </c>
    </row>
    <row r="17" spans="1:16" ht="72.599999999999994">
      <c r="A17" s="108"/>
      <c r="B17" s="5">
        <v>14</v>
      </c>
      <c r="C17" s="6" t="s">
        <v>257</v>
      </c>
      <c r="D17" s="6" t="s">
        <v>258</v>
      </c>
      <c r="E17" s="6" t="s">
        <v>259</v>
      </c>
      <c r="F17" s="6" t="s">
        <v>260</v>
      </c>
      <c r="G17" s="82"/>
      <c r="H17" s="14">
        <v>2</v>
      </c>
      <c r="I17" s="14">
        <v>3</v>
      </c>
      <c r="J17" s="14">
        <v>2</v>
      </c>
      <c r="K17" s="93"/>
      <c r="L17" s="93"/>
      <c r="M17" s="96"/>
      <c r="N17" s="40" t="s">
        <v>261</v>
      </c>
      <c r="O17" s="39" t="s">
        <v>262</v>
      </c>
      <c r="P17" s="41" t="s">
        <v>261</v>
      </c>
    </row>
    <row r="18" spans="1:16" ht="58.5" thickBot="1">
      <c r="A18" s="109"/>
      <c r="B18" s="30">
        <v>15</v>
      </c>
      <c r="C18" s="25" t="s">
        <v>263</v>
      </c>
      <c r="D18" s="25" t="s">
        <v>264</v>
      </c>
      <c r="E18" s="25" t="s">
        <v>265</v>
      </c>
      <c r="F18" s="25" t="s">
        <v>266</v>
      </c>
      <c r="G18" s="83"/>
      <c r="H18" s="26">
        <v>2</v>
      </c>
      <c r="I18" s="26">
        <v>2</v>
      </c>
      <c r="J18" s="26">
        <v>2</v>
      </c>
      <c r="K18" s="94"/>
      <c r="L18" s="94"/>
      <c r="M18" s="97"/>
      <c r="N18" s="54" t="s">
        <v>267</v>
      </c>
      <c r="O18" s="55" t="s">
        <v>267</v>
      </c>
      <c r="P18" s="56" t="s">
        <v>267</v>
      </c>
    </row>
    <row r="19" spans="1:16" ht="72.599999999999994">
      <c r="A19" s="107" t="s">
        <v>268</v>
      </c>
      <c r="B19" s="29">
        <v>16</v>
      </c>
      <c r="C19" s="22" t="s">
        <v>269</v>
      </c>
      <c r="D19" s="22" t="s">
        <v>270</v>
      </c>
      <c r="E19" s="22" t="s">
        <v>271</v>
      </c>
      <c r="F19" s="22" t="s">
        <v>272</v>
      </c>
      <c r="G19" s="81">
        <v>0.13</v>
      </c>
      <c r="H19" s="23">
        <v>2</v>
      </c>
      <c r="I19" s="23">
        <v>2</v>
      </c>
      <c r="J19" s="23">
        <v>2</v>
      </c>
      <c r="K19" s="92">
        <f>AVERAGE(H19:H22)*$G19/3</f>
        <v>8.666666666666667E-2</v>
      </c>
      <c r="L19" s="92">
        <f t="shared" ref="L19:M19" si="3">AVERAGE(I19:I22)*$G19/3</f>
        <v>8.666666666666667E-2</v>
      </c>
      <c r="M19" s="95">
        <f t="shared" si="3"/>
        <v>7.5833333333333336E-2</v>
      </c>
      <c r="N19" s="51" t="s">
        <v>273</v>
      </c>
      <c r="O19" s="52" t="s">
        <v>273</v>
      </c>
      <c r="P19" s="53" t="s">
        <v>273</v>
      </c>
    </row>
    <row r="20" spans="1:16" ht="57.95">
      <c r="A20" s="108"/>
      <c r="B20" s="5">
        <v>17</v>
      </c>
      <c r="C20" s="6" t="s">
        <v>274</v>
      </c>
      <c r="D20" s="6" t="s">
        <v>275</v>
      </c>
      <c r="E20" s="6" t="s">
        <v>276</v>
      </c>
      <c r="F20" s="6" t="s">
        <v>277</v>
      </c>
      <c r="G20" s="82"/>
      <c r="H20" s="14">
        <v>2</v>
      </c>
      <c r="I20" s="14">
        <v>2</v>
      </c>
      <c r="J20" s="14">
        <v>2</v>
      </c>
      <c r="K20" s="93"/>
      <c r="L20" s="93"/>
      <c r="M20" s="96"/>
      <c r="N20" s="40" t="s">
        <v>278</v>
      </c>
      <c r="O20" s="39" t="s">
        <v>278</v>
      </c>
      <c r="P20" s="41" t="s">
        <v>278</v>
      </c>
    </row>
    <row r="21" spans="1:16" ht="43.5">
      <c r="A21" s="108"/>
      <c r="B21" s="5">
        <v>18</v>
      </c>
      <c r="C21" s="6" t="s">
        <v>279</v>
      </c>
      <c r="D21" s="6" t="s">
        <v>280</v>
      </c>
      <c r="E21" s="6" t="s">
        <v>281</v>
      </c>
      <c r="F21" s="6" t="s">
        <v>282</v>
      </c>
      <c r="G21" s="82"/>
      <c r="H21" s="14">
        <v>2</v>
      </c>
      <c r="I21" s="14">
        <v>2</v>
      </c>
      <c r="J21" s="14">
        <v>1</v>
      </c>
      <c r="K21" s="93"/>
      <c r="L21" s="93"/>
      <c r="M21" s="96"/>
      <c r="N21" s="40" t="s">
        <v>283</v>
      </c>
      <c r="O21" s="39" t="s">
        <v>283</v>
      </c>
      <c r="P21" s="41" t="s">
        <v>284</v>
      </c>
    </row>
    <row r="22" spans="1:16" ht="32.450000000000003" thickBot="1">
      <c r="A22" s="109"/>
      <c r="B22" s="30">
        <v>19</v>
      </c>
      <c r="C22" s="25" t="s">
        <v>285</v>
      </c>
      <c r="D22" s="25" t="s">
        <v>286</v>
      </c>
      <c r="E22" s="25" t="s">
        <v>287</v>
      </c>
      <c r="F22" s="25" t="s">
        <v>288</v>
      </c>
      <c r="G22" s="83"/>
      <c r="H22" s="26">
        <v>2</v>
      </c>
      <c r="I22" s="26">
        <v>2</v>
      </c>
      <c r="J22" s="26">
        <v>2</v>
      </c>
      <c r="K22" s="94"/>
      <c r="L22" s="94"/>
      <c r="M22" s="97"/>
      <c r="N22" s="54" t="s">
        <v>289</v>
      </c>
      <c r="O22" s="55" t="s">
        <v>289</v>
      </c>
      <c r="P22" s="56" t="s">
        <v>289</v>
      </c>
    </row>
    <row r="23" spans="1:16" ht="101.45">
      <c r="A23" s="107" t="s">
        <v>290</v>
      </c>
      <c r="B23" s="29">
        <v>20</v>
      </c>
      <c r="C23" s="22" t="s">
        <v>291</v>
      </c>
      <c r="D23" s="22" t="s">
        <v>292</v>
      </c>
      <c r="E23" s="22" t="s">
        <v>293</v>
      </c>
      <c r="F23" s="22" t="s">
        <v>294</v>
      </c>
      <c r="G23" s="81">
        <v>0.12</v>
      </c>
      <c r="H23" s="23">
        <v>2</v>
      </c>
      <c r="I23" s="23">
        <v>2</v>
      </c>
      <c r="J23" s="23">
        <v>2</v>
      </c>
      <c r="K23" s="92">
        <f>AVERAGE(H23:H25)*$G23/3</f>
        <v>0.08</v>
      </c>
      <c r="L23" s="92">
        <f t="shared" ref="L23:M23" si="4">AVERAGE(I23:I25)*$G23/3</f>
        <v>0.08</v>
      </c>
      <c r="M23" s="95">
        <f t="shared" si="4"/>
        <v>0.08</v>
      </c>
      <c r="N23" s="51" t="s">
        <v>295</v>
      </c>
      <c r="O23" s="52" t="s">
        <v>295</v>
      </c>
      <c r="P23" s="53" t="s">
        <v>295</v>
      </c>
    </row>
    <row r="24" spans="1:16" ht="32.1">
      <c r="A24" s="108"/>
      <c r="B24" s="5">
        <v>21</v>
      </c>
      <c r="C24" s="6" t="s">
        <v>296</v>
      </c>
      <c r="D24" s="6" t="s">
        <v>297</v>
      </c>
      <c r="E24" s="6" t="s">
        <v>298</v>
      </c>
      <c r="F24" s="6" t="s">
        <v>299</v>
      </c>
      <c r="G24" s="82"/>
      <c r="H24" s="14">
        <v>2</v>
      </c>
      <c r="I24" s="14">
        <v>2</v>
      </c>
      <c r="J24" s="14">
        <v>2</v>
      </c>
      <c r="K24" s="93"/>
      <c r="L24" s="93"/>
      <c r="M24" s="96"/>
      <c r="N24" s="40" t="s">
        <v>300</v>
      </c>
      <c r="O24" s="39" t="s">
        <v>300</v>
      </c>
      <c r="P24" s="41" t="s">
        <v>300</v>
      </c>
    </row>
    <row r="25" spans="1:16" ht="29.45" thickBot="1">
      <c r="A25" s="109"/>
      <c r="B25" s="30">
        <v>22</v>
      </c>
      <c r="C25" s="25" t="s">
        <v>301</v>
      </c>
      <c r="D25" s="25" t="s">
        <v>302</v>
      </c>
      <c r="E25" s="25" t="s">
        <v>303</v>
      </c>
      <c r="F25" s="25" t="s">
        <v>304</v>
      </c>
      <c r="G25" s="83"/>
      <c r="H25" s="26">
        <v>2</v>
      </c>
      <c r="I25" s="26">
        <v>2</v>
      </c>
      <c r="J25" s="26">
        <v>2</v>
      </c>
      <c r="K25" s="94"/>
      <c r="L25" s="94"/>
      <c r="M25" s="97"/>
      <c r="N25" s="54" t="s">
        <v>305</v>
      </c>
      <c r="O25" s="55" t="s">
        <v>305</v>
      </c>
      <c r="P25" s="56" t="s">
        <v>305</v>
      </c>
    </row>
    <row r="26" spans="1:16" ht="43.5">
      <c r="A26" s="107" t="s">
        <v>306</v>
      </c>
      <c r="B26" s="29">
        <v>23</v>
      </c>
      <c r="C26" s="22" t="s">
        <v>307</v>
      </c>
      <c r="D26" s="22" t="s">
        <v>308</v>
      </c>
      <c r="E26" s="22" t="s">
        <v>309</v>
      </c>
      <c r="F26" s="22" t="s">
        <v>310</v>
      </c>
      <c r="G26" s="81">
        <v>0.1</v>
      </c>
      <c r="H26" s="23">
        <v>1</v>
      </c>
      <c r="I26" s="23">
        <v>2</v>
      </c>
      <c r="J26" s="23">
        <v>1</v>
      </c>
      <c r="K26" s="92">
        <f>AVERAGE(H26:H28)*$G26/3</f>
        <v>5.5555555555555559E-2</v>
      </c>
      <c r="L26" s="92">
        <f t="shared" ref="L26:M26" si="5">AVERAGE(I26:I28)*$G26/3</f>
        <v>6.6666666666666666E-2</v>
      </c>
      <c r="M26" s="95">
        <f t="shared" si="5"/>
        <v>5.5555555555555559E-2</v>
      </c>
      <c r="N26" s="51" t="s">
        <v>311</v>
      </c>
      <c r="O26" s="52" t="s">
        <v>312</v>
      </c>
      <c r="P26" s="53" t="s">
        <v>311</v>
      </c>
    </row>
    <row r="27" spans="1:16" ht="43.5">
      <c r="A27" s="108"/>
      <c r="B27" s="5">
        <v>24</v>
      </c>
      <c r="C27" s="6" t="s">
        <v>313</v>
      </c>
      <c r="D27" s="6" t="s">
        <v>314</v>
      </c>
      <c r="E27" s="6" t="s">
        <v>315</v>
      </c>
      <c r="F27" s="6" t="s">
        <v>316</v>
      </c>
      <c r="G27" s="82"/>
      <c r="H27" s="14">
        <v>2</v>
      </c>
      <c r="I27" s="14">
        <v>2</v>
      </c>
      <c r="J27" s="14">
        <v>2</v>
      </c>
      <c r="K27" s="93"/>
      <c r="L27" s="93"/>
      <c r="M27" s="96"/>
      <c r="N27" s="40" t="s">
        <v>317</v>
      </c>
      <c r="O27" s="39" t="s">
        <v>317</v>
      </c>
      <c r="P27" s="41" t="s">
        <v>317</v>
      </c>
    </row>
    <row r="28" spans="1:16" ht="32.450000000000003" thickBot="1">
      <c r="A28" s="109"/>
      <c r="B28" s="30">
        <v>25</v>
      </c>
      <c r="C28" s="25" t="s">
        <v>318</v>
      </c>
      <c r="D28" s="25" t="s">
        <v>319</v>
      </c>
      <c r="E28" s="25" t="s">
        <v>320</v>
      </c>
      <c r="F28" s="25" t="s">
        <v>321</v>
      </c>
      <c r="G28" s="83"/>
      <c r="H28" s="26">
        <v>2</v>
      </c>
      <c r="I28" s="26">
        <v>2</v>
      </c>
      <c r="J28" s="26">
        <v>2</v>
      </c>
      <c r="K28" s="94"/>
      <c r="L28" s="94"/>
      <c r="M28" s="97"/>
      <c r="N28" s="42" t="s">
        <v>322</v>
      </c>
      <c r="O28" s="43" t="s">
        <v>322</v>
      </c>
      <c r="P28" s="44" t="s">
        <v>322</v>
      </c>
    </row>
    <row r="29" spans="1:16" ht="15.6">
      <c r="G29" s="69">
        <v>1</v>
      </c>
      <c r="H29" s="70"/>
      <c r="I29" s="70"/>
      <c r="J29" s="70"/>
      <c r="K29" s="71">
        <f>SUM(K4:K28)</f>
        <v>0.75388888888888894</v>
      </c>
      <c r="L29" s="71">
        <f>SUM(L4:L28)</f>
        <v>0.80749999999999988</v>
      </c>
      <c r="M29" s="71">
        <f>SUM(M4:M28)</f>
        <v>0.72638888888888886</v>
      </c>
    </row>
  </sheetData>
  <mergeCells count="33">
    <mergeCell ref="N2:P2"/>
    <mergeCell ref="K19:K22"/>
    <mergeCell ref="L19:L22"/>
    <mergeCell ref="M19:M22"/>
    <mergeCell ref="K23:K25"/>
    <mergeCell ref="L23:L25"/>
    <mergeCell ref="M23:M25"/>
    <mergeCell ref="K2:M2"/>
    <mergeCell ref="K4:K9"/>
    <mergeCell ref="L4:L9"/>
    <mergeCell ref="M4:M9"/>
    <mergeCell ref="K10:K14"/>
    <mergeCell ref="L10:L14"/>
    <mergeCell ref="G4:G9"/>
    <mergeCell ref="G10:G14"/>
    <mergeCell ref="G15:G18"/>
    <mergeCell ref="G19:G22"/>
    <mergeCell ref="H2:J2"/>
    <mergeCell ref="M10:M14"/>
    <mergeCell ref="K15:K18"/>
    <mergeCell ref="L15:L18"/>
    <mergeCell ref="M15:M18"/>
    <mergeCell ref="A26:A28"/>
    <mergeCell ref="G23:G25"/>
    <mergeCell ref="G26:G28"/>
    <mergeCell ref="K26:K28"/>
    <mergeCell ref="L26:L28"/>
    <mergeCell ref="M26:M28"/>
    <mergeCell ref="A4:A9"/>
    <mergeCell ref="A10:A14"/>
    <mergeCell ref="A15:A18"/>
    <mergeCell ref="A19:A22"/>
    <mergeCell ref="A23:A25"/>
  </mergeCells>
  <pageMargins left="0.7" right="0.7" top="0.75" bottom="0.75" header="0.3" footer="0.3"/>
  <pageSetup paperSize="0" orientation="portrait" r:id="rId1"/>
  <ignoredErrors>
    <ignoredError sqref="K10:M14 K15:M18 K19:M22 K23:M25 K26:M28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c91a34b-519e-4238-bf17-cf705f0d333a" xsi:nil="true"/>
    <lcf76f155ced4ddcb4097134ff3c332f xmlns="d2484aec-7bf8-4318-a54c-00469fe9dc8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8BB8DAD3902340B33C84D8265763D8" ma:contentTypeVersion="10" ma:contentTypeDescription="Create a new document." ma:contentTypeScope="" ma:versionID="ba6a62bc69e7d07b6b018101405b25d0">
  <xsd:schema xmlns:xsd="http://www.w3.org/2001/XMLSchema" xmlns:xs="http://www.w3.org/2001/XMLSchema" xmlns:p="http://schemas.microsoft.com/office/2006/metadata/properties" xmlns:ns2="d2484aec-7bf8-4318-a54c-00469fe9dc89" xmlns:ns3="3c91a34b-519e-4238-bf17-cf705f0d333a" targetNamespace="http://schemas.microsoft.com/office/2006/metadata/properties" ma:root="true" ma:fieldsID="a2cc80b8ca598ff3c50f303f89fd4eb6" ns2:_="" ns3:_="">
    <xsd:import namespace="d2484aec-7bf8-4318-a54c-00469fe9dc89"/>
    <xsd:import namespace="3c91a34b-519e-4238-bf17-cf705f0d33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484aec-7bf8-4318-a54c-00469fe9dc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e5558df-1c29-4ec6-bb54-090fce94d50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91a34b-519e-4238-bf17-cf705f0d333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77afee93-9eff-426a-b151-6b839e4a332b}" ma:internalName="TaxCatchAll" ma:showField="CatchAllData" ma:web="3c91a34b-519e-4238-bf17-cf705f0d33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61AE6C-5470-406A-B4A8-146E017BA519}"/>
</file>

<file path=customXml/itemProps2.xml><?xml version="1.0" encoding="utf-8"?>
<ds:datastoreItem xmlns:ds="http://schemas.openxmlformats.org/officeDocument/2006/customXml" ds:itemID="{26D5168D-D0EF-4AA9-ADCB-13F706014D04}"/>
</file>

<file path=customXml/itemProps3.xml><?xml version="1.0" encoding="utf-8"?>
<ds:datastoreItem xmlns:ds="http://schemas.openxmlformats.org/officeDocument/2006/customXml" ds:itemID="{E0460889-DCD2-4DAE-B1F0-EF718C29DF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Rohit Agnihotri (Digital,ISC)(X-IGT Solutions)</dc:creator>
  <cp:keywords/>
  <dc:description/>
  <cp:lastModifiedBy>Rohit Agnihotri (Digital,ISC)(X-IGT Solutions)</cp:lastModifiedBy>
  <cp:revision/>
  <dcterms:created xsi:type="dcterms:W3CDTF">2026-04-06T07:27:53Z</dcterms:created>
  <dcterms:modified xsi:type="dcterms:W3CDTF">2026-05-11T09:04:47Z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0x010100D88BB8DAD3902340B33C84D8265763D8</vt:lpwstr>
  </property>
  <property fmtid="{D5CDD505-2E9C-101B-9397-08002B2CF9AE}" pid="3" name="MSIP_Label_c5616f8d-06f9-41da-a1a3-92ca0c5ba98a_Enabled">
    <vt:lpwstr>true</vt:lpwstr>
  </property>
  <property fmtid="{D5CDD505-2E9C-101B-9397-08002B2CF9AE}" pid="4" name="MSIP_Label_c5616f8d-06f9-41da-a1a3-92ca0c5ba98a_SetDate">
    <vt:lpwstr>2026-04-09T12:55:52Z</vt:lpwstr>
  </property>
  <property fmtid="{D5CDD505-2E9C-101B-9397-08002B2CF9AE}" pid="5" name="MSIP_Label_c5616f8d-06f9-41da-a1a3-92ca0c5ba98a_Method">
    <vt:lpwstr>Standard</vt:lpwstr>
  </property>
  <property fmtid="{D5CDD505-2E9C-101B-9397-08002B2CF9AE}" pid="6" name="MSIP_Label_c5616f8d-06f9-41da-a1a3-92ca0c5ba98a_Name">
    <vt:lpwstr>Internal</vt:lpwstr>
  </property>
  <property fmtid="{D5CDD505-2E9C-101B-9397-08002B2CF9AE}" pid="7" name="MSIP_Label_c5616f8d-06f9-41da-a1a3-92ca0c5ba98a_SiteId">
    <vt:lpwstr>73f2e714-a32e-4697-9449-dffe1df8a5d5</vt:lpwstr>
  </property>
  <property fmtid="{D5CDD505-2E9C-101B-9397-08002B2CF9AE}" pid="8" name="MSIP_Label_c5616f8d-06f9-41da-a1a3-92ca0c5ba98a_ActionId">
    <vt:lpwstr>230cd012-65e7-4e60-9328-a11446664c92</vt:lpwstr>
  </property>
  <property fmtid="{D5CDD505-2E9C-101B-9397-08002B2CF9AE}" pid="9" name="MSIP_Label_c5616f8d-06f9-41da-a1a3-92ca0c5ba98a_ContentBits">
    <vt:lpwstr>0</vt:lpwstr>
  </property>
  <property fmtid="{D5CDD505-2E9C-101B-9397-08002B2CF9AE}" pid="10" name="MSIP_Label_c5616f8d-06f9-41da-a1a3-92ca0c5ba98a_Tag">
    <vt:lpwstr>10, 3, 0, 1</vt:lpwstr>
  </property>
  <property fmtid="{D5CDD505-2E9C-101B-9397-08002B2CF9AE}" pid="11" name="MediaServiceImageTags">
    <vt:lpwstr/>
  </property>
</Properties>
</file>