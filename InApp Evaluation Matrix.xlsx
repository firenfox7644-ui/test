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hit.x.agnihotri\OneDrive - InterGlobe Aviation Limited\Desktop\"/>
    </mc:Choice>
  </mc:AlternateContent>
  <xr:revisionPtr revIDLastSave="12" documentId="8_{B712B7DE-51C2-4A6F-9723-2CFB2E6AC069}" xr6:coauthVersionLast="36" xr6:coauthVersionMax="47" xr10:uidLastSave="{16E76304-FD98-4EE6-9B7B-207AF30A4F67}"/>
  <bookViews>
    <workbookView xWindow="0" yWindow="780" windowWidth="27816" windowHeight="21360" activeTab="1" xr2:uid="{00000000-000D-0000-FFFF-FFFF00000000}"/>
  </bookViews>
  <sheets>
    <sheet name="Technical Matrix" sheetId="4" r:id="rId1"/>
    <sheet name="Functional Matrix" sheetId="3" r:id="rId2"/>
  </sheets>
  <definedNames>
    <definedName name="_xlnm._FilterDatabase" localSheetId="1" hidden="1">'Functional Matrix'!$A$3:$Q$69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ARRAYTEXT_WF"/>
        <xcalcf:feature name="microsoft.com:CNMTM"/>
        <xcalcf:feature name="microsoft.com:LAMBDA_WF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4" i="4" l="1"/>
  <c r="H24" i="4"/>
  <c r="I24" i="4"/>
  <c r="J24" i="4"/>
  <c r="G4" i="3" l="1"/>
  <c r="I4" i="3"/>
  <c r="K4" i="3"/>
  <c r="G5" i="3"/>
  <c r="I5" i="3"/>
  <c r="K5" i="3"/>
  <c r="G6" i="3"/>
  <c r="I6" i="3"/>
  <c r="K6" i="3"/>
  <c r="G7" i="3"/>
  <c r="I7" i="3"/>
  <c r="K7" i="3"/>
  <c r="G8" i="3"/>
  <c r="I8" i="3"/>
  <c r="K8" i="3"/>
  <c r="G9" i="3"/>
  <c r="I9" i="3"/>
  <c r="K9" i="3"/>
  <c r="G10" i="3"/>
  <c r="I10" i="3"/>
  <c r="K10" i="3"/>
  <c r="G11" i="3"/>
  <c r="I11" i="3"/>
  <c r="K11" i="3"/>
  <c r="G12" i="3"/>
  <c r="I12" i="3"/>
  <c r="K12" i="3"/>
  <c r="I13" i="3"/>
  <c r="I14" i="3"/>
  <c r="K14" i="3"/>
  <c r="I15" i="3"/>
  <c r="K15" i="3"/>
  <c r="G16" i="3"/>
  <c r="I16" i="3"/>
  <c r="G17" i="3"/>
  <c r="L13" i="3" s="1"/>
  <c r="I17" i="3"/>
  <c r="K17" i="3"/>
  <c r="G18" i="3"/>
  <c r="I18" i="3"/>
  <c r="G19" i="3"/>
  <c r="I19" i="3"/>
  <c r="K19" i="3"/>
  <c r="G20" i="3"/>
  <c r="I20" i="3"/>
  <c r="K20" i="3"/>
  <c r="G21" i="3"/>
  <c r="I21" i="3"/>
  <c r="K21" i="3"/>
  <c r="G22" i="3"/>
  <c r="K22" i="3"/>
  <c r="I23" i="3"/>
  <c r="G24" i="3"/>
  <c r="L23" i="3" s="1"/>
  <c r="I24" i="3"/>
  <c r="K24" i="3"/>
  <c r="I25" i="3"/>
  <c r="K25" i="3"/>
  <c r="G26" i="3"/>
  <c r="I26" i="3"/>
  <c r="K26" i="3"/>
  <c r="G27" i="3"/>
  <c r="I27" i="3"/>
  <c r="K27" i="3"/>
  <c r="G28" i="3"/>
  <c r="I28" i="3"/>
  <c r="K28" i="3"/>
  <c r="G29" i="3"/>
  <c r="I29" i="3"/>
  <c r="K29" i="3"/>
  <c r="G30" i="3"/>
  <c r="I30" i="3"/>
  <c r="K30" i="3"/>
  <c r="G31" i="3"/>
  <c r="I31" i="3"/>
  <c r="K31" i="3"/>
  <c r="G32" i="3"/>
  <c r="I32" i="3"/>
  <c r="K32" i="3"/>
  <c r="G33" i="3"/>
  <c r="I33" i="3"/>
  <c r="K33" i="3"/>
  <c r="G34" i="3"/>
  <c r="I34" i="3"/>
  <c r="K34" i="3"/>
  <c r="G35" i="3"/>
  <c r="I35" i="3"/>
  <c r="K35" i="3"/>
  <c r="G36" i="3"/>
  <c r="I36" i="3"/>
  <c r="K36" i="3"/>
  <c r="G37" i="3"/>
  <c r="I37" i="3"/>
  <c r="K37" i="3"/>
  <c r="G38" i="3"/>
  <c r="I38" i="3"/>
  <c r="G39" i="3"/>
  <c r="I39" i="3"/>
  <c r="G40" i="3"/>
  <c r="I40" i="3"/>
  <c r="K40" i="3"/>
  <c r="G41" i="3"/>
  <c r="I41" i="3"/>
  <c r="K41" i="3"/>
  <c r="N38" i="3" s="1"/>
  <c r="I42" i="3"/>
  <c r="K42" i="3"/>
  <c r="I43" i="3"/>
  <c r="K43" i="3"/>
  <c r="G44" i="3"/>
  <c r="I44" i="3"/>
  <c r="K44" i="3"/>
  <c r="G45" i="3"/>
  <c r="I45" i="3"/>
  <c r="K45" i="3"/>
  <c r="G46" i="3"/>
  <c r="I46" i="3"/>
  <c r="K46" i="3"/>
  <c r="N46" i="3" s="1"/>
  <c r="L46" i="3"/>
  <c r="M46" i="3"/>
  <c r="G47" i="3"/>
  <c r="I47" i="3"/>
  <c r="K47" i="3"/>
  <c r="G48" i="3"/>
  <c r="I48" i="3"/>
  <c r="K48" i="3"/>
  <c r="G49" i="3"/>
  <c r="I49" i="3"/>
  <c r="K49" i="3"/>
  <c r="G50" i="3"/>
  <c r="I50" i="3"/>
  <c r="K50" i="3"/>
  <c r="G51" i="3"/>
  <c r="I51" i="3"/>
  <c r="K51" i="3"/>
  <c r="G52" i="3"/>
  <c r="I52" i="3"/>
  <c r="K52" i="3"/>
  <c r="G53" i="3"/>
  <c r="I53" i="3"/>
  <c r="K53" i="3"/>
  <c r="G54" i="3"/>
  <c r="I54" i="3"/>
  <c r="K54" i="3"/>
  <c r="G55" i="3"/>
  <c r="I55" i="3"/>
  <c r="K55" i="3"/>
  <c r="G56" i="3"/>
  <c r="I56" i="3"/>
  <c r="K56" i="3"/>
  <c r="G57" i="3"/>
  <c r="I57" i="3"/>
  <c r="K57" i="3"/>
  <c r="G58" i="3"/>
  <c r="I58" i="3"/>
  <c r="K58" i="3"/>
  <c r="G59" i="3"/>
  <c r="I59" i="3"/>
  <c r="K59" i="3"/>
  <c r="G60" i="3"/>
  <c r="I60" i="3"/>
  <c r="K60" i="3"/>
  <c r="G61" i="3"/>
  <c r="L58" i="3" s="1"/>
  <c r="I61" i="3"/>
  <c r="K61" i="3"/>
  <c r="G62" i="3"/>
  <c r="I62" i="3"/>
  <c r="K62" i="3"/>
  <c r="G63" i="3"/>
  <c r="I63" i="3"/>
  <c r="K63" i="3"/>
  <c r="G64" i="3"/>
  <c r="I64" i="3"/>
  <c r="K64" i="3"/>
  <c r="G65" i="3"/>
  <c r="I65" i="3"/>
  <c r="K65" i="3"/>
  <c r="G66" i="3"/>
  <c r="I66" i="3"/>
  <c r="K66" i="3"/>
  <c r="G67" i="3"/>
  <c r="I67" i="3"/>
  <c r="K67" i="3"/>
  <c r="G68" i="3"/>
  <c r="I68" i="3"/>
  <c r="K68" i="3"/>
  <c r="D69" i="3"/>
  <c r="N65" i="3" l="1"/>
  <c r="M65" i="3"/>
  <c r="L65" i="3"/>
  <c r="N62" i="3"/>
  <c r="M62" i="3"/>
  <c r="L62" i="3"/>
  <c r="M58" i="3"/>
  <c r="N58" i="3"/>
  <c r="N55" i="3"/>
  <c r="M55" i="3"/>
  <c r="L55" i="3"/>
  <c r="N50" i="3"/>
  <c r="M50" i="3"/>
  <c r="L50" i="3"/>
  <c r="N47" i="3"/>
  <c r="M47" i="3"/>
  <c r="L47" i="3"/>
  <c r="L42" i="3"/>
  <c r="N42" i="3"/>
  <c r="M42" i="3"/>
  <c r="M38" i="3"/>
  <c r="L38" i="3"/>
  <c r="N33" i="3"/>
  <c r="M33" i="3"/>
  <c r="L33" i="3"/>
  <c r="N26" i="3"/>
  <c r="M26" i="3"/>
  <c r="L26" i="3"/>
  <c r="N23" i="3"/>
  <c r="M23" i="3"/>
  <c r="N18" i="3"/>
  <c r="M18" i="3"/>
  <c r="L18" i="3"/>
  <c r="M13" i="3"/>
  <c r="N13" i="3"/>
  <c r="M4" i="3"/>
  <c r="L4" i="3"/>
  <c r="N4" i="3"/>
  <c r="L69" i="3"/>
  <c r="M69" i="3"/>
  <c r="N69" i="3"/>
</calcChain>
</file>

<file path=xl/sharedStrings.xml><?xml version="1.0" encoding="utf-8"?>
<sst xmlns="http://schemas.openxmlformats.org/spreadsheetml/2006/main" count="606" uniqueCount="405">
  <si>
    <t>Pushwoosh</t>
  </si>
  <si>
    <t>Plotline</t>
  </si>
  <si>
    <t>Upshot</t>
  </si>
  <si>
    <t>S.NO</t>
  </si>
  <si>
    <t>Heading</t>
  </si>
  <si>
    <t>Requirement</t>
  </si>
  <si>
    <t>Overall weight</t>
  </si>
  <si>
    <t>Weight</t>
  </si>
  <si>
    <t>Self Rating</t>
  </si>
  <si>
    <t>IndiGo Score</t>
  </si>
  <si>
    <t>Pushwoosh Score</t>
  </si>
  <si>
    <t>Plotline Score</t>
  </si>
  <si>
    <t>Upshot Status</t>
  </si>
  <si>
    <t>Pushwoosh Comment</t>
  </si>
  <si>
    <t>Plotline Comment</t>
  </si>
  <si>
    <t>Upshot Comment</t>
  </si>
  <si>
    <t>In-app Engagement &amp; Experience Delivery</t>
  </si>
  <si>
    <t>Multiple in-app surfaces (banners, modals, tooltips, carousels, bottom sheets, fullscreen)</t>
  </si>
  <si>
    <t>PC</t>
  </si>
  <si>
    <t>C</t>
  </si>
  <si>
    <t>Full/part-screen supported; carousels/tooltips via custom HTML/JS; no native templates.</t>
  </si>
  <si>
    <t>All formats supported in WYSIWYG builder.</t>
  </si>
  <si>
    <t>Configurable in-app UI surfaces via campaigns.</t>
  </si>
  <si>
    <t>In-app engagement across search → fare → add-ons → payment</t>
  </si>
  <si>
    <t>Trigger via SDK events at any funnel stage (requires event setup).</t>
  </si>
  <si>
    <t>Trigger on specific pages/events across funnel.</t>
  </si>
  <si>
    <t>Event-based triggers allow engagement across any stage.</t>
  </si>
  <si>
    <t>Dynamic in-app surfaces adapting to user context</t>
  </si>
  <si>
    <t>Time-based conditions + Liquid; attribute filters.</t>
  </si>
  <si>
    <t>Audience targeting + Liquid personalization.</t>
  </si>
  <si>
    <t>Targeting rules support contextual triggers.</t>
  </si>
  <si>
    <t>Dynamic rendering based on CDP attributes &amp; real-time behavior</t>
  </si>
  <si>
    <t>Ingest tags/events from CDP; Liquid for conditional content.</t>
  </si>
  <si>
    <t>Native CDP integrations + Liquid + Content API.</t>
  </si>
  <si>
    <t>Integrates with CDP attributes &amp; event streams.</t>
  </si>
  <si>
    <t>Real-time detection of drop-off intent (idle, back, exit)</t>
  </si>
  <si>
    <t>NC</t>
  </si>
  <si>
    <t>No native idle/exit detection; workaround via custom events.</t>
  </si>
  <si>
    <t>SDK supports back/idle/app background triggers.</t>
  </si>
  <si>
    <t>Drop-Off Tag triggers recovery campaigns.</t>
  </si>
  <si>
    <t>Trigger contextual interventions within milliseconds</t>
  </si>
  <si>
    <t>Near real-time; network dependent; prefetch helps.</t>
  </si>
  <si>
    <t>Client-side eval; sub-2s render; pre-cache.</t>
  </si>
  <si>
    <t>Immediate triggers via real-time events.</t>
  </si>
  <si>
    <t>Smart upsell/cross-sell modules (seats, meals, baggage)</t>
  </si>
  <si>
    <t>Achievable with personalized in-app; no pre-packaged module.</t>
  </si>
  <si>
    <t>Renders upsell via widgets/modals; IndiGo supplies data.</t>
  </si>
  <si>
    <t>Dynamic promotional units via targeting rules.</t>
  </si>
  <si>
    <t>Offers based on behavior &amp; route affinity</t>
  </si>
  <si>
    <t>Segments via tags/events; Liquid personalization.</t>
  </si>
  <si>
    <t>Behavioral segments + Content API + Liquid.</t>
  </si>
  <si>
    <t>Behavioral segmentation and attributes supported.</t>
  </si>
  <si>
    <t>Personalizing home screen without engineering</t>
  </si>
  <si>
    <t>Content overlays no-code; native layout changes need app work.</t>
  </si>
  <si>
    <t>Widgets managed from dashboard; no app releases.</t>
  </si>
  <si>
    <t>Home/On-Launch tags can personalize without engg.</t>
  </si>
  <si>
    <t>No Code / Low Code Experience Management</t>
  </si>
  <si>
    <t>No-code interface for designing/deploying experiences</t>
  </si>
  <si>
    <t>Drag-and-drop in-app editor + visual Journeys.</t>
  </si>
  <si>
    <t>WYSIWYG builder; zero code.</t>
  </si>
  <si>
    <t>Campaign console for configuration.</t>
  </si>
  <si>
    <t>Modify native UI components dynamically (key-value / server-driven UI)</t>
  </si>
  <si>
    <t>Structural home changes need app engineering; workarounds via Custom Data.</t>
  </si>
  <si>
    <t>Server-side publish; SDK fetches live updates.</t>
  </si>
  <si>
    <t>Dynamic content in Upshot surfaces; native UI config not supported yet.</t>
  </si>
  <si>
    <t>Real-time preview / QA</t>
  </si>
  <si>
    <t>Preview &amp; test devices supported.</t>
  </si>
  <si>
    <t>Device preview (QR), test users; schedule/publish.</t>
  </si>
  <si>
    <t>Preview available; final QA often in staging.</t>
  </si>
  <si>
    <t>One-click publish with rollback</t>
  </si>
  <si>
    <t>Single-click publish; structural layout changes need dev.</t>
  </si>
  <si>
    <t>Instant publish; pause/archive to roll back; versioning.</t>
  </si>
  <si>
    <t>Activation/deactivation via console.</t>
  </si>
  <si>
    <t>RBAC / versioning / audit logs</t>
  </si>
  <si>
    <t>RBAC available; granular version/audit limited.</t>
  </si>
  <si>
    <t>Roles + versioning; audit logs partial.</t>
  </si>
  <si>
    <t>RBAC supported for campaign ops.</t>
  </si>
  <si>
    <t>Usability</t>
  </si>
  <si>
    <t>Figma design ingestion</t>
  </si>
  <si>
    <t>No native Figma import; upload assets or custom HTML/JS.</t>
  </si>
  <si>
    <t>Import Figma frames directly.</t>
  </si>
  <si>
    <t>Build custom UI via HTML/React component.</t>
  </si>
  <si>
    <t>Intuitive UI for PMs/Growth</t>
  </si>
  <si>
    <t>Purpose-built, highly rated UX.</t>
  </si>
  <si>
    <t>Guided wizard; non-technical friendly.</t>
  </si>
  <si>
    <t>Console designed for non-technical teams.</t>
  </si>
  <si>
    <t>Create/manage notifications easily</t>
  </si>
  <si>
    <t>Push &amp; in-app creation/scheduling self-serve.</t>
  </si>
  <si>
    <t>Unified dashboard for push + in-app.</t>
  </si>
  <si>
    <t>Push and in-app managed via console.</t>
  </si>
  <si>
    <t>Notification performance visibility</t>
  </si>
  <si>
    <t>Real-time stats, delivery errors, CTR, conversions.</t>
  </si>
  <si>
    <t>Impressions, CTR, conversions; exportable.</t>
  </si>
  <si>
    <t>Dashboard provides campaign performance.</t>
  </si>
  <si>
    <t>QA approvals / publishing workflow</t>
  </si>
  <si>
    <t>Test devices &amp; previews; no formal multi-step approvals.</t>
  </si>
  <si>
    <t>Editors vs Publishers; formal chains on roadmap.</t>
  </si>
  <si>
    <t>Operationally achievable; limited native workflow.</t>
  </si>
  <si>
    <t>CDP Driven Personalization</t>
  </si>
  <si>
    <t>Ingest attributes/events from CDP</t>
  </si>
  <si>
    <t>Tags/Events APIs + integrations.</t>
  </si>
  <si>
    <t>Native connectors (Segment, RudderStack, Snowflake).</t>
  </si>
  <si>
    <t>Attributes &amp; events via APIs/event ingestion.</t>
  </si>
  <si>
    <t>Personalize home surfaces with CDP data</t>
  </si>
  <si>
    <t>Liquid on synced tags; native layout needs app.</t>
  </si>
  <si>
    <t>Widgets/campaigns use CDP attributes + Liquid.</t>
  </si>
  <si>
    <t>Targeting rules enable personalization.</t>
  </si>
  <si>
    <t>Conditional rendering of native UI</t>
  </si>
  <si>
    <t>Liquid conditionals for content; native UI changes app-side.</t>
  </si>
  <si>
    <t>Boolean logic + Liquid show/hide in content.</t>
  </si>
  <si>
    <t>No conditional native UI rendering today.</t>
  </si>
  <si>
    <t>Journey Orchestration &amp; Automation</t>
  </si>
  <si>
    <t>Automated journey orchestration</t>
  </si>
  <si>
    <t>Omnichannel flows with triggers/delays/splits.</t>
  </si>
  <si>
    <t>Journeys across platforms; cross-channel via MA tool.</t>
  </si>
  <si>
    <t>Campaign workflows triggered on events.</t>
  </si>
  <si>
    <t>Visual journey builder</t>
  </si>
  <si>
    <t>Drag-and-drop canvas.</t>
  </si>
  <si>
    <t>Node-based canvas with delays/branches.</t>
  </si>
  <si>
    <t>Visual campaign journey builder.</t>
  </si>
  <si>
    <t>Trigger journeys from CDP segments/events</t>
  </si>
  <si>
    <t>Entry via triggers/segments/API.</t>
  </si>
  <si>
    <t>External events &amp; segments supported.</t>
  </si>
  <si>
    <t>Event-based reminders for incomplete bookings</t>
  </si>
  <si>
    <t>Abandon events trigger journeys/push.</t>
  </si>
  <si>
    <t>Abandon triggers fully supported.</t>
  </si>
  <si>
    <t>Abandonment triggers supported.</t>
  </si>
  <si>
    <t>Branching logic (behavior &amp; attributes)</t>
  </si>
  <si>
    <t>Condition Split/Wait for Trigger; predictive scores via tags.</t>
  </si>
  <si>
    <t>Branching on events/attributes; A/B split at journey level.</t>
  </si>
  <si>
    <t>Conditional targeting rules.</t>
  </si>
  <si>
    <t>Frequency capping &amp; priority rules</t>
  </si>
  <si>
    <t>Global/per-message caps; critical bypass.</t>
  </si>
  <si>
    <t>Campaign frequency controls available.</t>
  </si>
  <si>
    <t>Frequency controls available.</t>
  </si>
  <si>
    <t>Orchestrate in-app + push</t>
  </si>
  <si>
    <t>Both channels in one journey.</t>
  </si>
  <si>
    <t>Both channels supported; cross-channel extensible.</t>
  </si>
  <si>
    <t>Both channels supported.</t>
  </si>
  <si>
    <t>Experimentation &amp; Optimization</t>
  </si>
  <si>
    <t>A/B testing for UI/messaging</t>
  </si>
  <si>
    <t>A/B/n in Journeys; no UI-component tests.</t>
  </si>
  <si>
    <t>Built-in A/B/MVT + auto-winner.</t>
  </si>
  <si>
    <t>Separate campaigns for variants; compare manually.</t>
  </si>
  <si>
    <t>Multivariate testing</t>
  </si>
  <si>
    <t>Message variants via A/B/n split; UI tests not supported.</t>
  </si>
  <si>
    <t>MVT with significance calculation.</t>
  </si>
  <si>
    <t>No automated MVT; manual comparison.</t>
  </si>
  <si>
    <t>Automated significance &amp; auto-winner</t>
  </si>
  <si>
    <t>No built-in significance/auto-winner; manual today.</t>
  </si>
  <si>
    <t>Auto-winner selection available.</t>
  </si>
  <si>
    <t>Use external analytics for significance.</t>
  </si>
  <si>
    <t>Holdout groups</t>
  </si>
  <si>
    <t>Global Control Group to measure lift.</t>
  </si>
  <si>
    <t>Control group support.</t>
  </si>
  <si>
    <t>Holdout segments configurable.</t>
  </si>
  <si>
    <t>Test pricing/bundles</t>
  </si>
  <si>
    <t>Values from IndiGo; PW delivers variants.</t>
  </si>
  <si>
    <t>Goal-based attribution of variant impact.</t>
  </si>
  <si>
    <t>Separate campaigns/segments.</t>
  </si>
  <si>
    <t>Context Aware UI Personalization</t>
  </si>
  <si>
    <t>Time-of-day personalization</t>
  </si>
  <si>
    <t>Personalize via journey timing &amp; Liquid.</t>
  </si>
  <si>
    <t>Supported natively.</t>
  </si>
  <si>
    <t>Time-based targeting supported.</t>
  </si>
  <si>
    <t>Adapt home screen based on upcoming trip</t>
  </si>
  <si>
    <t>Can send signal via Custom Data; app must change UI.</t>
  </si>
  <si>
    <t>Use attributes/triggers to adapt widgets.</t>
  </si>
  <si>
    <t>Travel attributes/triggers supported.</t>
  </si>
  <si>
    <t>Dynamically reorder app sections</t>
  </si>
  <si>
    <t>Out of scope; can pass preferences to app.</t>
  </si>
  <si>
    <t>Partial support if host UI allows.</t>
  </si>
  <si>
    <t>Partial support depending on host app.</t>
  </si>
  <si>
    <t>Contextual nudges when booking incomplete</t>
  </si>
  <si>
    <t>Abandonment journeys/push.</t>
  </si>
  <si>
    <t>Event triggers support abandonment nudges.</t>
  </si>
  <si>
    <t>Event triggers support nudges.</t>
  </si>
  <si>
    <t>Real Time Operational Personalization (Day of Travel)</t>
  </si>
  <si>
    <t>Flight event alerts (gate changes, delays)</t>
  </si>
  <si>
    <t>Real-time via IndiGo operational data.</t>
  </si>
  <si>
    <t>Supported; requires IndiGo flight data feed.</t>
  </si>
  <si>
    <t>API-triggered alerts supported.</t>
  </si>
  <si>
    <t>Location-based contextual messages (airport)</t>
  </si>
  <si>
    <t>Geozones / geofences.</t>
  </si>
  <si>
    <t>Enabled via location or event triggers.</t>
  </si>
  <si>
    <t>Requires host app location data.</t>
  </si>
  <si>
    <t>Day-of-travel: Google Maps travel time integration</t>
  </si>
  <si>
    <t>Not native; IndiGo backend must compute &amp; pass ETA.</t>
  </si>
  <si>
    <t>Custom WebView/deeplink; medium effort.</t>
  </si>
  <si>
    <t>Contextual triggers; maps ETA not native.</t>
  </si>
  <si>
    <t>Smart check-in prompts</t>
  </si>
  <si>
    <t>Time-relative to next_flight_date.</t>
  </si>
  <si>
    <t>Scheduled by departure attribute.</t>
  </si>
  <si>
    <t>Smart prompts supported.</t>
  </si>
  <si>
    <t xml:space="preserve"> Gamification</t>
  </si>
  <si>
    <t>Gamification: scratch cards / spin wheel / streaks</t>
  </si>
  <si>
    <t>Custom HTML/JS; not native.</t>
  </si>
  <si>
    <t>Native formats + probability control.</t>
  </si>
  <si>
    <t>Gamified templates supported; some client UI needs.</t>
  </si>
  <si>
    <t xml:space="preserve">Offline &amp; Connectivity Handling                                                                                          </t>
  </si>
  <si>
    <t>Offline handling (no crashes; queue events)</t>
  </si>
  <si>
    <t>Works offline; queue sync; force-kill persistence varies.</t>
  </si>
  <si>
    <t>Caching, isolation, kill switch.</t>
  </si>
  <si>
    <t>Offline caching and event queue.</t>
  </si>
  <si>
    <t>Campaign content cached locally</t>
  </si>
  <si>
    <t>Prefetch and cache; limited marketer control.</t>
  </si>
  <si>
    <t>Assets pre-cached for instant render.</t>
  </si>
  <si>
    <t>Campaign content cached locally.</t>
  </si>
  <si>
    <t>Airplane mode &amp; smooth transitions</t>
  </si>
  <si>
    <t>Operates gracefully; queues events.</t>
  </si>
  <si>
    <t>Offline fallback and graceful degradation.</t>
  </si>
  <si>
    <t>Handles transitions without breaking.</t>
  </si>
  <si>
    <t>Campaign Analytics</t>
  </si>
  <si>
    <t>Real-time campaign metrics</t>
  </si>
  <si>
    <t>Real-time dashboards for push/in-app.</t>
  </si>
  <si>
    <t>Real-time metrics; revenue attribution view.</t>
  </si>
  <si>
    <t>Campaign dashboard metrics.</t>
  </si>
  <si>
    <t>Segment-level breakdowns</t>
  </si>
  <si>
    <t>Breakdowns by platform/segment/filters.</t>
  </si>
  <si>
    <t>Filterable by segment.</t>
  </si>
  <si>
    <t>Segmentation analysis supported.</t>
  </si>
  <si>
    <t>Journey funnel visualization</t>
  </si>
  <si>
    <t>Visual per-step delivery/engagement/drop-off.</t>
  </si>
  <si>
    <t>Funnels &amp; goal tracking included.</t>
  </si>
  <si>
    <t>Basic analytics; advanced funnels externally.</t>
  </si>
  <si>
    <t>Revenue attribution</t>
  </si>
  <si>
    <t>Requires revenue value in events; not a full engine.</t>
  </si>
  <si>
    <t>Attributed to downstream goals.</t>
  </si>
  <si>
    <t>Conversion events; advanced via external analytics.</t>
  </si>
  <si>
    <t>Export reports / Analytics API</t>
  </si>
  <si>
    <t>Export &amp; Statistics API.</t>
  </si>
  <si>
    <t>Webhooks + warehouse integrations.</t>
  </si>
  <si>
    <t>Reports export &amp; analytics APIs.</t>
  </si>
  <si>
    <t>Micro‑Interactions &amp; Micro‑Animations</t>
  </si>
  <si>
    <t>Animated transitions for in‑app surfaces.</t>
  </si>
  <si>
    <t>Supported via custom HTML/CSS animations within Pushwoosh in‑app templates; no native transition presets.</t>
  </si>
  <si>
    <t>Fully supported via native animations and styling controls in Plotline’s WYSIWYG in‑app builder.</t>
  </si>
  <si>
    <t>Supports animated in‑app UI surfaces through configurable engagement templates.</t>
  </si>
  <si>
    <t>Micro‑animations for confirmations, errors, and nudges.</t>
  </si>
  <si>
    <t>Can be implemented using custom HTML/JS or Lottie animations embedded in in‑app messages.</t>
  </si>
  <si>
    <t>Supported out‑of‑the‑box through animated widgets, modals, banners, and interactive nudges.</t>
  </si>
  <si>
    <t>Confirmation and nudge animations are supported within native in‑app messaging formats.</t>
  </si>
  <si>
    <t>Personalized animations for milestones such as trip counts or loyalty achievements.</t>
  </si>
  <si>
    <t>Milestone-triggered events can invoke personalized animated in‑app messages built using custom templates.</t>
  </si>
  <si>
    <t>Milestone‑based animations are supported using streak widgets, reward reveals, and event‑triggered campaigns.</t>
  </si>
  <si>
    <t>Milestone‑based animations can be triggered using behavioral and loyalty events.</t>
  </si>
  <si>
    <t>Personalized Loyalty Experience</t>
  </si>
  <si>
    <t>Personalized tier progress indicators.</t>
  </si>
  <si>
    <t>Tier and points data can be displayed using custom HTML/CSS progress indicators within in‑app messages.</t>
  </si>
  <si>
    <t>Loyalty progress, points, and rewards can be displayed via native widgets powered by CDP or API data.</t>
  </si>
  <si>
    <t>Loyalty milestones are supported, but visual progress bars may need app‑side rendering.</t>
  </si>
  <si>
    <t>Tailored offers based on loyalty tier.</t>
  </si>
  <si>
    <t>Loyalty tier tags enable segment-based targeting and dynamic tier‑specific offers via Liquid templates.</t>
  </si>
  <si>
    <t>Fully supported through audience segmentation by loyalty tier and dynamic content personalization.</t>
  </si>
  <si>
    <t>Loyalty tier attributes can be used for targeted offers and campaign personalization.</t>
  </si>
  <si>
    <t>Personalized nudges to earn or redeem IndiGo BluChip Points.</t>
  </si>
  <si>
    <t>Automated journeys trigger personalized nudges based on points balance, expiry, or redemption behavior.</t>
  </si>
  <si>
    <t>Event‑ and attribute‑based triggers enable contextual nudges for earning or redeeming points.</t>
  </si>
  <si>
    <t>Points balance and redemption nudges can be triggered via loyalty and behavioral events.</t>
  </si>
  <si>
    <t>Gamifications to be used here as well for encouraging member engagement and stickiness (Use leaderboard, badges, add streaks etc)</t>
  </si>
  <si>
    <t>Pushwoosh supports gamification messaging, while core leaderboard, badge, and streak logic is handled externally.</t>
  </si>
  <si>
    <t>Native gamification formats include streaks, scratch cards, spin‑the‑wheel, and reward counters; leaderboards require custom development.</t>
  </si>
  <si>
    <t>Badges, streaks, spin‑the‑wheel supported; leaderboards require backend integration.</t>
  </si>
  <si>
    <t>Relevant Clientele &amp; Reference Checks</t>
  </si>
  <si>
    <t>Provide a list of major clients.</t>
  </si>
  <si>
    <t>Pushwoosh serves 80,000+ global customers including McDonald’s, Telepizza, Avianca, FIBA, and others.</t>
  </si>
  <si>
    <t>Plotline serves 300M+ MAU across leading brands such as Airtel, Flipkart, Zepto, and Upstox.</t>
  </si>
  <si>
    <t>Trusted by large enterprises including Amway, ITC, Sony, Puma, SBI Life, and others.</t>
  </si>
  <si>
    <t>Specifically highlight any e-commerce client.</t>
  </si>
  <si>
    <t>E‑commerce clients include Telepizza and multiple global food and fashion commerce brands.</t>
  </si>
  <si>
    <t>E‑commerce and consumer internet clients include Flipkart, Zepto, and large-scale transactional apps.</t>
  </si>
  <si>
    <t>Includes retail and e‑commerce brands such as ITC, Puma, and Panini America.</t>
  </si>
  <si>
    <t>Confirm willingness to support reference checks and arrange them upon request.</t>
  </si>
  <si>
    <t>Reference checks can be supported upon request, subject to client approval and context.</t>
  </si>
  <si>
    <t>Reference checks can be supported upon request, subject to client consent and NDA.</t>
  </si>
  <si>
    <t>Reference checks can be supported on request through Upshot enterprise customers.</t>
  </si>
  <si>
    <t>Personalized Content Hub</t>
  </si>
  <si>
    <t>A ready‑to‑use library of content that can be modified as per IndiGo’s requirements.</t>
  </si>
  <si>
    <t>Pushwoosh provides a customizable library of in‑app templates editable via a no‑code editor.</t>
  </si>
  <si>
    <t>Plotline offers a reusable template library and media asset manager configurable via no‑code tools.</t>
  </si>
  <si>
    <t>Campaign templates and reusable assets are available, but no full CMS capability.</t>
  </si>
  <si>
    <t>Travel inspiration personalized by past routes and preferences.</t>
  </si>
  <si>
    <t>Route history and preference attributes enable delivery of personalized travel inspiration content.</t>
  </si>
  <si>
    <t>Personalized content can be rendered using CDP attributes such as route history and user preferences.</t>
  </si>
  <si>
    <t>Route history and booking behavior enable personalized destination inspiration.</t>
  </si>
  <si>
    <t>Destination‑specific content such as weather, airport tips, and visa information.</t>
  </si>
  <si>
    <t>Destination-based personalization is supported; external data (weather, visa) must be passed as attributes.</t>
  </si>
  <si>
    <t>Destination content can be displayed via Content API feeds provided by IndiGo’s backend or CMS.</t>
  </si>
  <si>
    <t>Destination content can be surfaced dynamically using contextual and CDP attributes.</t>
  </si>
  <si>
    <t>Personalized offers for frequently visited cities.</t>
  </si>
  <si>
    <t>Frequent city and route tags enable targeted, city‑specific offers via push or in‑app messaging.</t>
  </si>
  <si>
    <t>Behavioral and route‑based segmentation enables city‑specific offers and campaigns.</t>
  </si>
  <si>
    <t>Frequent route and city data support targeted city‑specific offers and promotions.</t>
  </si>
  <si>
    <t>Final Score</t>
  </si>
  <si>
    <t>S.No</t>
  </si>
  <si>
    <t>Requirements</t>
  </si>
  <si>
    <t>Pushwoosh Remarks</t>
  </si>
  <si>
    <t>Plotline Remarks</t>
  </si>
  <si>
    <t>Upshot Remarks</t>
  </si>
  <si>
    <t>IndiGo
Weight</t>
  </si>
  <si>
    <t xml:space="preserve">Product High Level Architecture (HLA): </t>
  </si>
  <si>
    <t>Provide a HLA diagram of the proposed solution including data flows between various systems involved.</t>
  </si>
  <si>
    <t>Available. Pushwoosh provides a detailed HLA showing Mobile SDK → API Gateway → Microservices (Delivery In-App Journeys Segmentation Analytics) → Kafka event backbone → Datastores (PostgreSQL ClickHouse Redis Object Storage). Data flows for inbound events outbound delivery events analytics webhooks and CDP integrations are ed.</t>
  </si>
  <si>
    <t>Available. HLA diagram provided showing SDK → ELB → EC2 (autoscaling) → MongoDB Kafka ClickHouse. Data flows for campaign config events/attributes and non-PII logging covered. Hosted on AWS Mumbai (ap-south-1).</t>
  </si>
  <si>
    <t>Available. The  includes a High-Level Architecture diagram showing IndiGo Mobile App → Upshot Mobile SDK → Event Gateway &amp; Real-Time Decision Engine → Campaign Services → Analytics &amp; Integrations. Data flows cover event ingestion decisioning engagement delivery analytics export and CDP/Adobe integrations.</t>
  </si>
  <si>
    <t>Application Development Environment:</t>
  </si>
  <si>
    <t>Provide details of how changes to product offerings are tested, deployed, monitored, and analyzed?</t>
  </si>
  <si>
    <t>Available. GitOps-based CI/CD with GitLab. Automated testing (unit integration SAST) staging → production promotion blue-green/canary deployments. Monitoring via Grafana Prometheus ClickHouse logs Sentry. Analytics via Control Panel reports and external exports.</t>
  </si>
  <si>
    <t>Available. Server-side campaign changes require no app releases. SDK pre-caches assets. QA via test-user targeting. No-code publishing model reduces deployment risk. Monitoring via dashboard analytics real-time metrics and exports to BI tools.</t>
  </si>
  <si>
    <t>Available. Changes are configured via the campaign console and tested in staging environments. Deployment is no-code campaign publishing. Monitoring is via real-time dashboards logs and alerts. Analysis is available through campaign analytics and exports to external analytics tools (Adobe Analytics).</t>
  </si>
  <si>
    <t xml:space="preserve">Product configuration: </t>
  </si>
  <si>
    <t>What limits are there on the configurability of the system across your solution? Where a client requirement cannot be met by configuration how would you advise them – e.g., custom extension to the system, additional module, separate best-of-breed niche application etc. Please provide case studies if possible</t>
  </si>
  <si>
    <t>Available. Highly configuration-driven via UI/API (campaigns journeys segmentation throttles priorities). Feature flags supported at account/app/SDK level. When configuration is insufficient API extensions custom integrations or dedicated deployments are recommended. Case studies not explicitly provided.</t>
  </si>
  <si>
    <t>Available. Highly configurable via no‑code dashboard (campaigns widgets journeys targeting). Where needs exceed configuration (e.g. leaderboards Google Maps) custom development using Content API + IndiGo backend is recommended. No case studies included.</t>
  </si>
  <si>
    <t>Available. Upshot supports extensive no-code configuration for campaigns targeting journeys and UI engagement surfaces. Native UI modification is not supported out-of-the-box: enhancements can be handled via Custom Web Components SDK extensions or roadmap features. Case studies are referenced at a high level only (no deep examples).</t>
  </si>
  <si>
    <t>Information Security</t>
  </si>
  <si>
    <t xml:space="preserve">Certifications  
• The vendor should hold SOC 2 Type II certification with a recent audit report
  • ISO 27001 certification is preferred  
  • The vendor should demonstrate GDPR compliance  
  • The vendor should confirm readiness for India's Digital Personal Data Protection Act 2023
Encryption
• Data at rest should be encrypted using industry-standard methods 
  • Data in transit should be protected using TLS 1.2 or higher
  • The vendor should have a defined approach to encryption key management 
Access Controls 
• Multi-factor authentication should be available for admin console access  
  • The platform should support role-based access control
  • IP whitelisting should be available as an option  
  • Audit logs should be retained for a reasonable period (minimum 12 months preferred)
SSO 
The platform should support SAML 2.0 or OIDC for single sign-on integration  </t>
  </si>
  <si>
    <t>Fully Available. SOC 2 Type II – Certified ISO 27001:2022 – Certified GDPR compliant DPDP 2023 readiness via India (GCP asia-south1) deployment. Encryption: AES‑256 at rest TLS 1.2+/1.3 in transit OpenBao key management. Access Controls: MFA via IdP RBAC IP allowlisting 12‑month audit logs. SSO: SAML 2.0 &amp; OIDC.</t>
  </si>
  <si>
    <t>Fully Available. SOC 2 Type II (Dec 2024–Nov 2025) audited by Accorp Partners. ISO 27001:2022 certified by InterCert (valid until Dec 2026). GDPR audit by Scrut (Dec 2025). DPDP 2023 supported with India hosting. Encryption: AES-256 at rest TLS 1.2+ in transit AWS KMS. MFA enforced (Google 2-Step). RBAC IP whitelisting audit logs. SSO via SAML 2.0. 38 ISMS policies documented. Cloudflare WAF active. Full VAPT coverage (API Web iOS Android Infrastructure) by CyRAACS.</t>
  </si>
  <si>
    <t>Partially Available. SOC 2 Type II – Not held currently. ISO 27001 – Aligned practices but not formally certified. GDPR – Supported. DPDP 2023 – Aligned &amp; supported. Encryption: AES-256 at rest TLS 1.2+ in transit managed KMS. Access: RBAC MFA IP whitelisting Audit logs available. SSO: SAML 2.0 &amp; OIDC supported.</t>
  </si>
  <si>
    <t>Real Time Monitoring and reporting</t>
  </si>
  <si>
    <t>Please explain how the system will be monitored 24x7 real time. Please detail the out-of-the-box reporting solutions provided by your solution for service reports.</t>
  </si>
  <si>
    <t>Available. 24×7 monitoring via Grafana + Prometheus. Real-time dashboards delivery funnels logs alerting ServiceNow integration SIEM forwarding. Out-of-box campaign analytics delivery reports and real-time dashboards provided.</t>
  </si>
  <si>
    <t>Available. Real‑time campaign dashboards (impressions clicks conversions) funnel analysis A/B test metrics. Event webhooks and data warehouse exports supported for custom monitoring.</t>
  </si>
  <si>
    <t>Available. Platform supports 24×7 centralized monitoring real-time dashboards alerting campaign delivery metrics event processing visibility and exportable reports via APIs.</t>
  </si>
  <si>
    <t xml:space="preserve">System Availability %: </t>
  </si>
  <si>
    <t>Please mention the system availability %. Also,
•	Fail safe mechanisms to ensure app flows continue even if the vendor SDK fails.
•	Graceful degradation in offline or poor network scenarios.
•	Automatic retry and fallback logic for critical events.</t>
  </si>
  <si>
    <t>Available. 99.95% monthly uptime SLA. SDK fail-safe mechanisms retry with backoff circuit breakers graceful degradation offline handling via cached config.</t>
  </si>
  <si>
    <t>Available. 99.9% uptime SLA. SDK supports offline caching graceful degradation retry with exponential backoff event queueing and local rendering when backend unavailable.</t>
  </si>
  <si>
    <t>Available. Platform designed for 99.9%+ availability. SDK includes non-blocking init offline-first handling retry with backoff cached content fallback graceful degradation and does not block host app flows.</t>
  </si>
  <si>
    <t xml:space="preserve">Incident Acknowledgement &amp; Resolution Time: </t>
  </si>
  <si>
    <t xml:space="preserve">•	Please mention the Incident Acknowledgement &amp; Resolution Time detailing it out for each Incident type.
•	Define Incident as well with its different severity levels.
•	The vendor should have a documented incident response plan 
•	Breach notification should be provided to IndiGo promptly  
•	A dedicated security contact should be available for escalations </t>
  </si>
  <si>
    <t>Available. Incident severity levels (P1–P4) defined. P1 acknowledged within 5 minutes automated incident creation breach notification dedicated SRE on-call ed incident response and escalation model.</t>
  </si>
  <si>
    <t>Available. SLA-backed support with severity-based response times (Critical: 1 hr). SOC 2 Type II audit confirms incident response controls with zero exceptions. Formal Incident Management Policy (v3.0, Jan 2026) in place.</t>
  </si>
  <si>
    <t>N/A. The  mentions incident response capability and monitoring but does not define incident severity levels SLAs or acknowledgement/resolution timelines.</t>
  </si>
  <si>
    <t xml:space="preserve">System Integration: </t>
  </si>
  <si>
    <t>•	How will the system integrate with IndiGo’s CDP and Adobe Stack (AEM, Analytics, Target, Campaign). 
•	Would you need to integrate with any other system within IndiGo?
•	Support for standardized APIs, webhooks, and event schemas.
•	What will be the communication channel used for interacting between the 2 systems.
•	Please share the product integration capabilities to communicate with 6E's upline and downstream systems. 
•	Google Maps Integration
Note: Above Systems should find a place in the HLA provided in pt.1 above</t>
  </si>
  <si>
    <t>Partially Available. Extensive REST APIs webhooks Kafka event streams. Pre-built CDP/analytics integrations (Segment Amplitude AppsFlyer etc.). Adobe Stack and Google Maps are not explicitly called out. Communication via HTTPS APIs Kafka webhooks.</t>
  </si>
  <si>
    <t>Partially Available. Extensive REST APIs webhooks Content API CDP integrations (Segment CleverTap MoEngage etc.). Adobe stack integration not explicitly listed. Google Maps requires custom deep-link or WebView.</t>
  </si>
  <si>
    <t>Available. Integrates with IndiGo CDP and Adobe Analytics via APIs webhooks event streams. Supports external operational systems. Google Maps integration is not explicitly mentioned. Communication via secure APIs and event gateways.</t>
  </si>
  <si>
    <t xml:space="preserve">Data Prerequisites: </t>
  </si>
  <si>
    <t>Please share details of data set requirements from Indigo for functionality of the product</t>
  </si>
  <si>
    <t>Available. Requires device identifiers user attributes behavioral events booking lifecycle events campaign triggers CDP identifiers. Event schemas are defined and versioned.</t>
  </si>
  <si>
    <t>Available. Requires user identifiers behavioral events booking lifecycle data loyalty attributes flight timestamps and CDP attributes supplied by IndiGo.</t>
  </si>
  <si>
    <t>Available. Requires event schema user attributes booking funnel events travel attributes CDP identifiers and operational triggers. Exact schema is co-defined during integration.</t>
  </si>
  <si>
    <t>User Management: Provide the below details:</t>
  </si>
  <si>
    <t>•	Possible to modify a user's details, once created - Provide user-friendly interface to administrate and maintain user profile and group of users.
•	Provide a set of user profiles to distinguish between RBAC (Role Based access control) roles.
•	Provide product's capability to integrate with Single sign on
•	Provide an audit trail containing the actions performed by each user.
•	Provide product's capability to integrate with Single sign on</t>
  </si>
  <si>
    <t>Available. Full user management via Control Panel RBAC roles Azure AD/SAML/OIDC SSO MFA via IdP 12‑month immutable audit logs.</t>
  </si>
  <si>
    <t>Available. Dashboard supports user profile management RBAC roles (Admin Publisher Editor Viewer) SSO (SAML) and campaign-level audit logs. Full audit coverage is partially available and on roadmap.</t>
  </si>
  <si>
    <t>Available. Admin console supports user management RBAC roles SSO (SAML/OIDC) MFA and audit logs for platform actions.</t>
  </si>
  <si>
    <t>System Management: Provide the below details:</t>
  </si>
  <si>
    <t>•	Purge function / Historical database / Archiving
•	Back-up &amp; restore function and procedures.
•	Recovery procedures (after shutting down unexpected during a transaction)
•	Should be able to adapt to new technologies and requirements.</t>
  </si>
  <si>
    <t>Available. Automated backups (PITR) archival to object storage transactional recovery replay via Kafka adaptable architecture using Kubernetes and Terraform.</t>
  </si>
  <si>
    <t>Available. Data retention and deletion supported backups handled at infrastructure level (AWS) recovery through backend services. Adaptable architecture via APIs and modular SDK.</t>
  </si>
  <si>
    <t>Available. Supports data lifecycle management backups retention policies automated recovery and platform evolution through modular microservices architecture.</t>
  </si>
  <si>
    <t>BC/DR Plans</t>
  </si>
  <si>
    <t>Kindly provide the Business Continuity and Disaster Recovery plans.</t>
  </si>
  <si>
    <t>Available. Multi-AZ active-active architecture optional cross-region DR RTO &lt; 60 mins RPO &lt; 60 mins quarterly DR tests ed runbooks.</t>
  </si>
  <si>
    <t>Available. BCP testing report v4.0 (Dec 2025) with annual testing since 2022. BC/DR procedure defines RTO=180min, RPO=56min; actual recovery achieved in 45 minutes. Multi-AZ AWS deployment with automated failover.</t>
  </si>
  <si>
    <t>Available. Includes multi-zone AWS deployment automated backups defined RTO/RPO restoration procedures and disaster recovery strategy.</t>
  </si>
  <si>
    <t xml:space="preserve">Data Residency: </t>
  </si>
  <si>
    <t xml:space="preserve">  • The vendor should clarify where data is hosted and whether India-based hosting is available 
  • Backup and replication locations should be disclosed 
  • Any cross-border data transfers should be documented with appropriate legal basis  </t>
  </si>
  <si>
    <t>Available. Default hosting in US/EU private DC. India residency supported via dedicated GCP Mumbai region. Backup locations disclosed: cross-border transfers ed contractually.</t>
  </si>
  <si>
    <t>Available. India data residency supported via AWS Mumbai (ap-south-1). Data remains within India for Indian deployment. Backup and replication remain within region.</t>
  </si>
  <si>
    <t>Available. Hosted on AWS with India-region deployment supported. Backup locations disclosed via AWS regions. Cross-border transfers configurable per deployment and compliant with regulations.</t>
  </si>
  <si>
    <t xml:space="preserve">Observability &amp; Performance: </t>
  </si>
  <si>
    <t>In case of any exception/errors, how will 6E be able to access the application monitoring/performance logs.</t>
  </si>
  <si>
    <t>Available. Structured logs distributed traces SIEM export ServiceNow integration read-only Grafana dashboards for IndiGo trace correlation via X-Trace-ID.</t>
  </si>
  <si>
    <t>Available. Real-time campaign dashboards and analytics. Datadog integrated for non-PII debugging logs. Raw event exports supported for custom monitoring.</t>
  </si>
  <si>
    <t>Available. Centralized logs performance dashboards audit logs system health indicators and operational alerts accessible to operations teams.</t>
  </si>
  <si>
    <t>Performance</t>
  </si>
  <si>
    <t>•  	Low latency rendering of in app experiences.
•	Response Time/Latency issue: Please mention the maximum time taken by the system for any action/request by the user
•	High throughput for real time event ingestion and personalization calls.</t>
  </si>
  <si>
    <t>Available (Quantified). API p95 &lt; 200 ms in-app delivery &lt; 3s p95 webhook &lt; 2s high-throughput ingestion via Kafka.</t>
  </si>
  <si>
    <t>Available. Sub-2-second campaign rendering via SDK pre-caching. Real-time event ingestion supported. VAPT reports (CyRAACS) show 0 vulnerabilities across all severities. Qualys SSL Labs Rating A (TLS 1.3+1.2). Cloudflare WAF in place.</t>
  </si>
  <si>
    <t>Available (Qualitative). Designed for low-latency real-time decisioning millisecond-level trigger execution and millions of events processing though no numeric SLA is stated.</t>
  </si>
  <si>
    <t>Concurrent users support</t>
  </si>
  <si>
    <t>Please share the number of concurrent users supported by the product without any performance issues</t>
  </si>
  <si>
    <t>Available. Supports 100000+ concurrent SDK sessions per account 1M+ users in journeys 50K API RPS 10M messages/min burst.</t>
  </si>
  <si>
    <t>Available (Indirect). Platform operates at 300M+ MAU scale across customers (Dream11 Upstox Kredivo). Specific concurrent session limits not stated.</t>
  </si>
  <si>
    <t>N/A.  mentions support for large-scale consumer apps but does not specify concurrent user numbers.</t>
  </si>
  <si>
    <t xml:space="preserve">Data Loading speed: </t>
  </si>
  <si>
    <t>Please share the data retrieval and display for the large datasets</t>
  </si>
  <si>
    <t>Available. ClickHouse supports billion-row datasets with &lt; 5s p95 queries. PostgreSQL OLTP p95 &lt; 100 ms.</t>
  </si>
  <si>
    <t>N/A. No explicit metrics for large dataset retrieval or dashboard load times.</t>
  </si>
  <si>
    <t>N/A. No explicit metrics or benchmarks for data load or retrieval speeds are provided.</t>
  </si>
  <si>
    <t>Scalability</t>
  </si>
  <si>
    <t>•	Ability to handle peak loads during sale periods, festivals, and travel spikes.
•	Horizontal scaling for events, segmentation updates, and personalization workloads.
•	Support for millions of active users with consistent performance.</t>
  </si>
  <si>
    <t>Available. Horizontally scalable microservices Kafka-driven backpressure handling autoscaling proven handling of 30B+ messages/month.</t>
  </si>
  <si>
    <t>Available. Platform supports scale to 50M+ MAU per customer. Auto-scales during sales and travel spikes. Proven at Dream11 scale with high event throughput.</t>
  </si>
  <si>
    <t>Available. Event-driven microservices with auto-scaling infrastructure designed to handle peak travel periods sale events and millions of active users.</t>
  </si>
  <si>
    <t>Maintainability</t>
  </si>
  <si>
    <t>•	Clear documentation for SDK integration, APIs, and event schemas.
•	Backward compatible updates to avoid breaking app releases.
•	Minimal engineering dependency for ongoing operations.
•	Regular updates with predictable release cycles.</t>
  </si>
  <si>
    <t>Available. Extensive API &amp; SDK ation semantic versioning backward compatibility guarantees minimal engineering dependency frequent safe releases.</t>
  </si>
  <si>
    <t>Available. Comprehensive SDK/API ation backward‑compatible SDK updates minimal engineering dependency post‑integration frequent feature releases.</t>
  </si>
  <si>
    <t>Available. Provides SDK ation APIs event schemas backward-compatible updates minimal engineering dependency and regular feature releases.</t>
  </si>
  <si>
    <t>SDK Performance:</t>
  </si>
  <si>
    <t>•	The SDK should initialise quickly and should not block app launch or delay the main thread  
•	SDK binary size should be reasonable and not significantly increase app download size
•	Runtime memory usage should be optimised and should not impact app performance  
•	The SDK should not cause noticeable impact on app cold start time
•	Campaign rendering should feel instantaneous to users
•	Background SDK operations should have minimal impact on battery consumption
•	SDK must not degrade app performance, load time, responsiveness, battery life, avoid bloated app size etc</t>
  </si>
  <si>
    <t>Available. Lightweight SDK non-blocking init optimized memory/network usage CDN-based config fetch negligible cold start impact.</t>
  </si>
  <si>
    <t>Available. Lightweight SDK (Android ~800KB iOS ~1.2MB) non‑blocking init client‑side rendering minimal battery/network impact isolated crash handling.</t>
  </si>
  <si>
    <t>Available. SDK is lightweight non-blocking optimized for memory battery network usage minimal binary size and no noticeable cold start impact.</t>
  </si>
  <si>
    <t>Emergency Controls &amp; Failsafe Mechanisms:</t>
  </si>
  <si>
    <t>•	The platform should provide a remote kill switch to disable the SDK without requiring an app update
•	Individual campaigns should be stoppable immediately if issues are detected
•	The SDK should implement sensible retry logic with backoff to avoid excessive network calls during failures
•	Network operations should have configurable timeouts 
•	SDK errors should be isolated and should never cause the host app to crash
•	The platform should offer rollback capability to revert to previous configurations if needed
•	If the vendor backend is unreachable, the SDK should fall back to cached content or remain silent — users should not see error states</t>
  </si>
  <si>
    <t>Available. Feature flags remote SDK configuration immediate campaign stop retry logic with backoff isolation from host app crashes cached fallback silent failure mode.</t>
  </si>
  <si>
    <t>Available. Remote SDK kill switch instant campaign stop retry with backoff cached fallback silent failure behavior crash isolation from host app.</t>
  </si>
  <si>
    <t>Available. Includes remote kill switch immediate campaign stop retry with backoff cached fallback silent fail mode rollback via campaign deactivation and crash isolation safeguards.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</si>
</sst>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1"/>
      <name val="Calibri"/>
      <family val="2"/>
    </font>
    <font>
      <b/>
      <sz val="12"/>
      <color rgb="FFFFFFFF"/>
      <name val="Calibri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44546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6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rgb="FFE6E6E6"/>
      </left>
      <right style="medium">
        <color rgb="FFE6E6E6"/>
      </right>
      <top/>
      <bottom style="medium">
        <color rgb="FFE6E6E6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indexed="64"/>
      </right>
      <top/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/>
      <bottom/>
      <diagonal/>
    </border>
    <border>
      <left style="thin">
        <color auto="1"/>
      </left>
      <right style="medium">
        <color rgb="FF000000"/>
      </right>
      <top style="medium">
        <color rgb="FF000000"/>
      </top>
      <bottom style="thin">
        <color auto="1"/>
      </bottom>
      <diagonal/>
    </border>
    <border>
      <left/>
      <right style="thin">
        <color auto="1"/>
      </right>
      <top style="medium">
        <color rgb="FF000000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rgb="FF000000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medium">
        <color rgb="FF000000"/>
      </top>
      <bottom/>
      <diagonal/>
    </border>
    <border>
      <left style="thin">
        <color auto="1"/>
      </left>
      <right style="medium">
        <color rgb="FF000000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/>
      <right style="thin">
        <color auto="1"/>
      </right>
      <top style="thin">
        <color auto="1"/>
      </top>
      <bottom style="medium">
        <color rgb="FF000000"/>
      </bottom>
      <diagonal/>
    </border>
    <border>
      <left style="thin">
        <color auto="1"/>
      </left>
      <right style="thin">
        <color auto="1"/>
      </right>
      <top/>
      <bottom style="medium">
        <color rgb="FF000000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medium">
        <color rgb="FF000000"/>
      </bottom>
      <diagonal/>
    </border>
    <border>
      <left style="medium">
        <color indexed="64"/>
      </left>
      <right/>
      <top style="thin">
        <color auto="1"/>
      </top>
      <bottom style="medium">
        <color indexed="64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auto="1"/>
      </right>
      <top style="medium">
        <color rgb="FF000000"/>
      </top>
      <bottom style="thin">
        <color auto="1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 style="medium">
        <color rgb="FF000000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rgb="FF000000"/>
      </right>
      <top/>
      <bottom style="thin">
        <color auto="1"/>
      </bottom>
      <diagonal/>
    </border>
    <border>
      <left style="medium">
        <color rgb="FF000000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164">
    <xf numFmtId="0" fontId="0" fillId="0" borderId="0" xfId="0"/>
    <xf numFmtId="0" fontId="0" fillId="0" borderId="0" xfId="0" applyAlignment="1">
      <alignment horizontal="center" vertical="center"/>
    </xf>
    <xf numFmtId="0" fontId="3" fillId="2" borderId="2" xfId="0" applyFont="1" applyFill="1" applyBorder="1" applyAlignment="1">
      <alignment horizontal="center" vertical="top"/>
    </xf>
    <xf numFmtId="0" fontId="4" fillId="3" borderId="3" xfId="0" applyFont="1" applyFill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 wrapText="1"/>
    </xf>
    <xf numFmtId="0" fontId="0" fillId="0" borderId="4" xfId="0" applyBorder="1" applyAlignment="1">
      <alignment vertical="center"/>
    </xf>
    <xf numFmtId="0" fontId="0" fillId="0" borderId="4" xfId="0" applyBorder="1" applyAlignment="1">
      <alignment vertical="top" wrapText="1"/>
    </xf>
    <xf numFmtId="0" fontId="3" fillId="2" borderId="4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vertical="top" wrapText="1"/>
    </xf>
    <xf numFmtId="9" fontId="5" fillId="0" borderId="4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0" fillId="0" borderId="0" xfId="0" applyAlignment="1">
      <alignment wrapText="1"/>
    </xf>
    <xf numFmtId="0" fontId="0" fillId="0" borderId="0" xfId="0" applyAlignment="1">
      <alignment horizontal="center"/>
    </xf>
    <xf numFmtId="9" fontId="0" fillId="0" borderId="0" xfId="1" applyFont="1" applyAlignment="1">
      <alignment horizontal="center"/>
    </xf>
    <xf numFmtId="0" fontId="0" fillId="0" borderId="15" xfId="0" applyBorder="1" applyAlignment="1">
      <alignment wrapText="1"/>
    </xf>
    <xf numFmtId="0" fontId="0" fillId="0" borderId="16" xfId="0" applyBorder="1" applyAlignment="1">
      <alignment wrapText="1"/>
    </xf>
    <xf numFmtId="0" fontId="0" fillId="0" borderId="18" xfId="0" applyBorder="1" applyAlignment="1">
      <alignment horizontal="center"/>
    </xf>
    <xf numFmtId="0" fontId="0" fillId="0" borderId="16" xfId="0" applyBorder="1" applyAlignment="1">
      <alignment horizontal="center" vertical="center"/>
    </xf>
    <xf numFmtId="0" fontId="0" fillId="0" borderId="19" xfId="0" applyBorder="1" applyAlignment="1">
      <alignment horizontal="center"/>
    </xf>
    <xf numFmtId="0" fontId="0" fillId="0" borderId="16" xfId="0" applyBorder="1"/>
    <xf numFmtId="0" fontId="0" fillId="0" borderId="16" xfId="0" applyBorder="1" applyAlignment="1">
      <alignment horizontal="center"/>
    </xf>
    <xf numFmtId="0" fontId="0" fillId="0" borderId="23" xfId="0" applyBorder="1" applyAlignment="1">
      <alignment wrapText="1"/>
    </xf>
    <xf numFmtId="0" fontId="0" fillId="0" borderId="19" xfId="0" applyBorder="1" applyAlignment="1">
      <alignment wrapText="1"/>
    </xf>
    <xf numFmtId="0" fontId="0" fillId="0" borderId="19" xfId="0" applyBorder="1" applyAlignment="1">
      <alignment horizontal="center" vertical="center"/>
    </xf>
    <xf numFmtId="0" fontId="0" fillId="0" borderId="19" xfId="0" applyBorder="1"/>
    <xf numFmtId="0" fontId="0" fillId="0" borderId="25" xfId="0" applyBorder="1" applyAlignment="1">
      <alignment wrapText="1"/>
    </xf>
    <xf numFmtId="0" fontId="0" fillId="0" borderId="26" xfId="0" applyBorder="1" applyAlignment="1">
      <alignment wrapText="1"/>
    </xf>
    <xf numFmtId="0" fontId="0" fillId="0" borderId="26" xfId="0" applyBorder="1" applyAlignment="1">
      <alignment horizontal="center" vertical="center"/>
    </xf>
    <xf numFmtId="0" fontId="0" fillId="0" borderId="26" xfId="0" applyBorder="1"/>
    <xf numFmtId="0" fontId="0" fillId="0" borderId="29" xfId="0" applyBorder="1" applyAlignment="1">
      <alignment wrapText="1"/>
    </xf>
    <xf numFmtId="0" fontId="1" fillId="0" borderId="16" xfId="0" applyFont="1" applyBorder="1" applyAlignment="1">
      <alignment horizontal="center" vertical="center"/>
    </xf>
    <xf numFmtId="0" fontId="0" fillId="0" borderId="31" xfId="0" applyBorder="1" applyAlignment="1">
      <alignment wrapText="1"/>
    </xf>
    <xf numFmtId="0" fontId="0" fillId="0" borderId="33" xfId="0" applyBorder="1" applyAlignment="1">
      <alignment wrapText="1"/>
    </xf>
    <xf numFmtId="0" fontId="0" fillId="0" borderId="22" xfId="0" applyBorder="1" applyAlignment="1">
      <alignment wrapText="1"/>
    </xf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/>
    </xf>
    <xf numFmtId="0" fontId="0" fillId="0" borderId="22" xfId="0" applyBorder="1"/>
    <xf numFmtId="0" fontId="0" fillId="0" borderId="35" xfId="0" applyBorder="1" applyAlignment="1">
      <alignment wrapText="1"/>
    </xf>
    <xf numFmtId="0" fontId="0" fillId="0" borderId="4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4" xfId="0" applyBorder="1"/>
    <xf numFmtId="0" fontId="0" fillId="0" borderId="38" xfId="0" applyBorder="1" applyAlignment="1">
      <alignment wrapText="1"/>
    </xf>
    <xf numFmtId="0" fontId="0" fillId="0" borderId="18" xfId="0" applyBorder="1" applyAlignment="1">
      <alignment wrapText="1"/>
    </xf>
    <xf numFmtId="0" fontId="0" fillId="0" borderId="39" xfId="0" applyBorder="1" applyAlignment="1">
      <alignment wrapText="1"/>
    </xf>
    <xf numFmtId="0" fontId="0" fillId="0" borderId="18" xfId="0" applyBorder="1"/>
    <xf numFmtId="0" fontId="0" fillId="0" borderId="41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42" xfId="0" applyBorder="1" applyAlignment="1">
      <alignment wrapText="1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44" xfId="0" applyBorder="1" applyAlignment="1">
      <alignment wrapText="1"/>
    </xf>
    <xf numFmtId="0" fontId="0" fillId="0" borderId="6" xfId="0" applyBorder="1"/>
    <xf numFmtId="0" fontId="0" fillId="0" borderId="11" xfId="0" applyBorder="1" applyAlignment="1">
      <alignment horizontal="center"/>
    </xf>
    <xf numFmtId="9" fontId="0" fillId="0" borderId="11" xfId="0" applyNumberFormat="1" applyBorder="1" applyAlignment="1">
      <alignment horizontal="center" vertical="center"/>
    </xf>
    <xf numFmtId="0" fontId="0" fillId="0" borderId="11" xfId="0" applyBorder="1"/>
    <xf numFmtId="0" fontId="0" fillId="0" borderId="10" xfId="0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0" borderId="48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12" xfId="0" applyBorder="1" applyAlignment="1">
      <alignment wrapText="1"/>
    </xf>
    <xf numFmtId="0" fontId="0" fillId="0" borderId="50" xfId="0" applyBorder="1" applyAlignment="1">
      <alignment wrapText="1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52" xfId="0" applyBorder="1" applyAlignment="1">
      <alignment wrapText="1"/>
    </xf>
    <xf numFmtId="0" fontId="0" fillId="0" borderId="53" xfId="0" applyBorder="1" applyAlignment="1">
      <alignment wrapText="1"/>
    </xf>
    <xf numFmtId="0" fontId="0" fillId="0" borderId="54" xfId="0" applyBorder="1" applyAlignment="1">
      <alignment wrapText="1"/>
    </xf>
    <xf numFmtId="0" fontId="0" fillId="0" borderId="53" xfId="0" applyBorder="1" applyAlignment="1">
      <alignment horizontal="center"/>
    </xf>
    <xf numFmtId="0" fontId="0" fillId="0" borderId="53" xfId="0" applyBorder="1"/>
    <xf numFmtId="0" fontId="0" fillId="0" borderId="63" xfId="0" applyBorder="1" applyAlignment="1">
      <alignment wrapText="1"/>
    </xf>
    <xf numFmtId="0" fontId="0" fillId="4" borderId="3" xfId="0" applyFill="1" applyBorder="1" applyAlignment="1">
      <alignment horizontal="center"/>
    </xf>
    <xf numFmtId="0" fontId="0" fillId="4" borderId="18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3" fillId="0" borderId="41" xfId="0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2" borderId="2" xfId="0" applyFont="1" applyFill="1" applyBorder="1" applyAlignment="1">
      <alignment horizontal="center" vertical="top" wrapText="1"/>
    </xf>
    <xf numFmtId="0" fontId="0" fillId="0" borderId="0" xfId="0" applyAlignment="1">
      <alignment vertical="top"/>
    </xf>
    <xf numFmtId="9" fontId="8" fillId="0" borderId="0" xfId="0" applyNumberFormat="1" applyFont="1" applyAlignment="1">
      <alignment horizontal="center"/>
    </xf>
    <xf numFmtId="9" fontId="0" fillId="0" borderId="21" xfId="1" applyFont="1" applyBorder="1" applyAlignment="1">
      <alignment horizontal="center"/>
    </xf>
    <xf numFmtId="9" fontId="0" fillId="0" borderId="14" xfId="1" applyFont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17" xfId="0" applyBorder="1" applyAlignment="1">
      <alignment horizontal="center"/>
    </xf>
    <xf numFmtId="9" fontId="0" fillId="0" borderId="4" xfId="0" applyNumberFormat="1" applyBorder="1" applyAlignment="1">
      <alignment horizontal="center" vertical="center"/>
    </xf>
    <xf numFmtId="9" fontId="6" fillId="0" borderId="13" xfId="0" applyNumberFormat="1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0" fillId="0" borderId="66" xfId="0" applyBorder="1" applyAlignment="1">
      <alignment horizontal="center" vertical="center"/>
    </xf>
    <xf numFmtId="0" fontId="0" fillId="0" borderId="59" xfId="0" applyBorder="1" applyAlignment="1">
      <alignment horizontal="center" vertical="center"/>
    </xf>
    <xf numFmtId="0" fontId="0" fillId="0" borderId="57" xfId="0" applyBorder="1" applyAlignment="1">
      <alignment horizontal="center" vertical="center"/>
    </xf>
    <xf numFmtId="0" fontId="0" fillId="0" borderId="60" xfId="0" applyBorder="1" applyAlignment="1">
      <alignment horizontal="left" vertical="center" wrapText="1"/>
    </xf>
    <xf numFmtId="0" fontId="0" fillId="0" borderId="58" xfId="0" applyBorder="1" applyAlignment="1">
      <alignment horizontal="left" vertical="center" wrapText="1"/>
    </xf>
    <xf numFmtId="0" fontId="0" fillId="0" borderId="62" xfId="0" applyBorder="1" applyAlignment="1">
      <alignment horizontal="left" vertical="center" wrapText="1"/>
    </xf>
    <xf numFmtId="9" fontId="0" fillId="0" borderId="21" xfId="1" applyFont="1" applyFill="1" applyBorder="1" applyAlignment="1">
      <alignment horizontal="center" vertical="center"/>
    </xf>
    <xf numFmtId="9" fontId="0" fillId="0" borderId="14" xfId="1" applyFont="1" applyFill="1" applyBorder="1" applyAlignment="1">
      <alignment horizontal="center" vertical="center"/>
    </xf>
    <xf numFmtId="9" fontId="0" fillId="0" borderId="21" xfId="0" applyNumberFormat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66" xfId="0" applyBorder="1" applyAlignment="1">
      <alignment horizontal="center" vertical="center" wrapText="1"/>
    </xf>
    <xf numFmtId="0" fontId="0" fillId="0" borderId="59" xfId="0" applyBorder="1" applyAlignment="1">
      <alignment horizontal="center" vertical="center" wrapText="1"/>
    </xf>
    <xf numFmtId="0" fontId="0" fillId="0" borderId="65" xfId="0" applyBorder="1" applyAlignment="1">
      <alignment horizontal="center" vertical="center" wrapText="1"/>
    </xf>
    <xf numFmtId="0" fontId="0" fillId="0" borderId="67" xfId="0" applyBorder="1" applyAlignment="1">
      <alignment horizontal="center"/>
    </xf>
    <xf numFmtId="0" fontId="0" fillId="0" borderId="60" xfId="0" applyBorder="1" applyAlignment="1">
      <alignment horizontal="center" vertical="center" wrapText="1"/>
    </xf>
    <xf numFmtId="0" fontId="0" fillId="0" borderId="37" xfId="0" applyBorder="1" applyAlignment="1">
      <alignment horizontal="center" vertical="center" wrapText="1"/>
    </xf>
    <xf numFmtId="0" fontId="0" fillId="0" borderId="18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0" fontId="0" fillId="0" borderId="55" xfId="0" applyBorder="1" applyAlignment="1">
      <alignment horizontal="center" vertical="center"/>
    </xf>
    <xf numFmtId="0" fontId="0" fillId="0" borderId="60" xfId="0" applyBorder="1" applyAlignment="1">
      <alignment horizontal="center" vertical="center"/>
    </xf>
    <xf numFmtId="0" fontId="0" fillId="0" borderId="58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0" fontId="0" fillId="0" borderId="18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53" xfId="0" applyBorder="1" applyAlignment="1">
      <alignment horizontal="left" vertical="center"/>
    </xf>
    <xf numFmtId="0" fontId="0" fillId="0" borderId="51" xfId="0" applyBorder="1" applyAlignment="1">
      <alignment horizontal="center" vertical="center" wrapText="1"/>
    </xf>
    <xf numFmtId="0" fontId="0" fillId="0" borderId="49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9" fontId="0" fillId="0" borderId="51" xfId="0" applyNumberFormat="1" applyBorder="1" applyAlignment="1">
      <alignment horizontal="center" vertical="center" wrapText="1"/>
    </xf>
    <xf numFmtId="0" fontId="0" fillId="0" borderId="16" xfId="0" applyBorder="1" applyAlignment="1">
      <alignment horizontal="left" vertical="center"/>
    </xf>
    <xf numFmtId="9" fontId="0" fillId="0" borderId="24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9" fontId="0" fillId="0" borderId="22" xfId="0" applyNumberFormat="1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19" xfId="0" applyBorder="1" applyAlignment="1">
      <alignment vertical="center" wrapText="1"/>
    </xf>
    <xf numFmtId="0" fontId="0" fillId="0" borderId="16" xfId="0" applyBorder="1" applyAlignment="1">
      <alignment vertical="center" wrapText="1"/>
    </xf>
    <xf numFmtId="0" fontId="0" fillId="0" borderId="22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0" fillId="0" borderId="30" xfId="0" applyBorder="1" applyAlignment="1">
      <alignment vertical="center" wrapText="1"/>
    </xf>
    <xf numFmtId="0" fontId="0" fillId="0" borderId="34" xfId="0" applyBorder="1" applyAlignment="1">
      <alignment vertical="center" wrapText="1"/>
    </xf>
    <xf numFmtId="0" fontId="0" fillId="0" borderId="19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26" xfId="0" applyBorder="1" applyAlignment="1">
      <alignment horizontal="left" vertical="center" wrapText="1"/>
    </xf>
    <xf numFmtId="0" fontId="0" fillId="0" borderId="32" xfId="0" applyBorder="1" applyAlignment="1">
      <alignment horizontal="left" vertical="center" wrapText="1"/>
    </xf>
    <xf numFmtId="0" fontId="0" fillId="0" borderId="30" xfId="0" applyBorder="1" applyAlignment="1">
      <alignment horizontal="left" vertical="center" wrapText="1"/>
    </xf>
    <xf numFmtId="0" fontId="0" fillId="0" borderId="28" xfId="0" applyBorder="1" applyAlignment="1">
      <alignment horizontal="left" vertical="center" wrapText="1"/>
    </xf>
    <xf numFmtId="0" fontId="0" fillId="0" borderId="40" xfId="0" applyBorder="1" applyAlignment="1">
      <alignment horizontal="center" vertical="center" wrapText="1"/>
    </xf>
    <xf numFmtId="0" fontId="0" fillId="0" borderId="36" xfId="0" applyBorder="1" applyAlignment="1">
      <alignment horizontal="center" vertical="center" wrapText="1"/>
    </xf>
    <xf numFmtId="9" fontId="0" fillId="0" borderId="40" xfId="0" applyNumberFormat="1" applyBorder="1" applyAlignment="1">
      <alignment horizontal="center" vertical="center" wrapText="1"/>
    </xf>
    <xf numFmtId="9" fontId="0" fillId="0" borderId="14" xfId="0" applyNumberFormat="1" applyBorder="1" applyAlignment="1">
      <alignment horizontal="center" vertical="center"/>
    </xf>
    <xf numFmtId="0" fontId="0" fillId="0" borderId="58" xfId="0" applyBorder="1" applyAlignment="1">
      <alignment horizontal="center" vertical="center" wrapText="1"/>
    </xf>
    <xf numFmtId="0" fontId="0" fillId="0" borderId="56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44" xfId="0" applyBorder="1" applyAlignment="1">
      <alignment horizontal="center" vertical="center" wrapText="1"/>
    </xf>
    <xf numFmtId="0" fontId="0" fillId="0" borderId="41" xfId="0" applyBorder="1" applyAlignment="1">
      <alignment horizontal="center" vertical="center" wrapText="1"/>
    </xf>
    <xf numFmtId="0" fontId="0" fillId="0" borderId="64" xfId="0" applyBorder="1" applyAlignment="1">
      <alignment horizontal="left" vertical="center" wrapText="1"/>
    </xf>
    <xf numFmtId="0" fontId="0" fillId="0" borderId="61" xfId="0" applyBorder="1" applyAlignment="1">
      <alignment horizontal="center" vertical="center" wrapText="1"/>
    </xf>
    <xf numFmtId="0" fontId="0" fillId="0" borderId="57" xfId="0" applyBorder="1" applyAlignment="1">
      <alignment horizontal="center" vertical="center" wrapText="1"/>
    </xf>
    <xf numFmtId="0" fontId="0" fillId="0" borderId="56" xfId="0" applyBorder="1" applyAlignment="1">
      <alignment horizontal="left" vertical="center" wrapText="1"/>
    </xf>
    <xf numFmtId="0" fontId="0" fillId="0" borderId="5" xfId="0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3" xfId="0" applyBorder="1" applyAlignment="1">
      <alignment horizontal="center" vertical="center" wrapText="1"/>
    </xf>
    <xf numFmtId="0" fontId="0" fillId="0" borderId="6" xfId="0" applyBorder="1" applyAlignment="1">
      <alignment horizontal="left" wrapText="1"/>
    </xf>
    <xf numFmtId="0" fontId="0" fillId="0" borderId="4" xfId="0" applyBorder="1" applyAlignment="1">
      <alignment horizontal="left" wrapText="1"/>
    </xf>
    <xf numFmtId="0" fontId="0" fillId="0" borderId="2" xfId="0" applyBorder="1" applyAlignment="1">
      <alignment horizontal="left" wrapText="1"/>
    </xf>
    <xf numFmtId="9" fontId="0" fillId="0" borderId="3" xfId="0" applyNumberFormat="1" applyBorder="1" applyAlignment="1">
      <alignment horizontal="center" vertical="center"/>
    </xf>
    <xf numFmtId="0" fontId="2" fillId="5" borderId="0" xfId="0" applyFont="1" applyFill="1" applyAlignment="1">
      <alignment horizontal="center"/>
    </xf>
    <xf numFmtId="0" fontId="0" fillId="0" borderId="0" xfId="0" applyAlignment="1">
      <alignment vertical="top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9F1E-4DCB-4A78-9D2B-7DBB3CC2FCC9}">
  <dimension ref="A1:J24"/>
  <sheetViews>
    <sheetView topLeftCell="C24" zoomScale="84" workbookViewId="0">
      <selection activeCell="E4" sqref="E4"/>
    </sheetView>
  </sheetViews>
  <sheetFormatPr defaultColWidth="8.6640625" defaultRowHeight="14.4" x14ac:dyDescent="0.3"/>
  <cols>
    <col min="1" max="1" width="5" style="80" bestFit="1" customWidth="1"/>
    <col min="2" max="2" width="40.6640625" style="80" bestFit="1" customWidth="1"/>
    <col min="3" max="3" width="63.109375" style="80" customWidth="1"/>
    <col min="4" max="4" width="44.109375" style="80" customWidth="1"/>
    <col min="5" max="5" width="42.6640625" style="80" customWidth="1"/>
    <col min="6" max="6" width="44.44140625" style="80" customWidth="1"/>
    <col min="7" max="7" width="7.6640625" style="80" bestFit="1" customWidth="1"/>
    <col min="8" max="8" width="11.6640625" style="80" bestFit="1" customWidth="1"/>
    <col min="9" max="9" width="8.109375" style="80" bestFit="1" customWidth="1"/>
    <col min="10" max="10" width="7.6640625" style="80" bestFit="1" customWidth="1"/>
    <col min="11" max="12" width="8.6640625" style="80" customWidth="1"/>
    <col min="13" max="16384" width="8.6640625" style="80"/>
  </cols>
  <sheetData>
    <row r="1" spans="1:10" ht="21" customHeight="1" x14ac:dyDescent="0.4">
      <c r="G1" s="162" t="s">
        <v>293</v>
      </c>
      <c r="H1" s="163"/>
      <c r="I1" s="163"/>
      <c r="J1" s="163"/>
    </row>
    <row r="2" spans="1:10" s="1" customFormat="1" ht="31.2" customHeight="1" x14ac:dyDescent="0.3">
      <c r="A2" s="4" t="s">
        <v>294</v>
      </c>
      <c r="B2" s="4" t="s">
        <v>4</v>
      </c>
      <c r="C2" s="5" t="s">
        <v>295</v>
      </c>
      <c r="D2" s="8" t="s">
        <v>296</v>
      </c>
      <c r="E2" s="8" t="s">
        <v>297</v>
      </c>
      <c r="F2" s="8" t="s">
        <v>298</v>
      </c>
      <c r="G2" s="9" t="s">
        <v>299</v>
      </c>
      <c r="H2" s="9" t="s">
        <v>0</v>
      </c>
      <c r="I2" s="9" t="s">
        <v>1</v>
      </c>
      <c r="J2" s="9" t="s">
        <v>2</v>
      </c>
    </row>
    <row r="3" spans="1:10" ht="151.19999999999999" customHeight="1" x14ac:dyDescent="0.3">
      <c r="A3" s="4">
        <v>1</v>
      </c>
      <c r="B3" s="6" t="s">
        <v>300</v>
      </c>
      <c r="C3" s="7" t="s">
        <v>301</v>
      </c>
      <c r="D3" s="10" t="s">
        <v>302</v>
      </c>
      <c r="E3" s="10" t="s">
        <v>303</v>
      </c>
      <c r="F3" s="10" t="s">
        <v>304</v>
      </c>
      <c r="G3" s="11">
        <v>0.04</v>
      </c>
      <c r="H3" s="90">
        <v>0.03</v>
      </c>
      <c r="I3" s="90">
        <v>0.03</v>
      </c>
      <c r="J3" s="90">
        <v>0.03</v>
      </c>
    </row>
    <row r="4" spans="1:10" ht="117.45" customHeight="1" x14ac:dyDescent="0.3">
      <c r="A4" s="4">
        <v>2</v>
      </c>
      <c r="B4" s="6" t="s">
        <v>305</v>
      </c>
      <c r="C4" s="7" t="s">
        <v>306</v>
      </c>
      <c r="D4" s="10" t="s">
        <v>307</v>
      </c>
      <c r="E4" s="10" t="s">
        <v>308</v>
      </c>
      <c r="F4" s="10" t="s">
        <v>309</v>
      </c>
      <c r="G4" s="11">
        <v>0.04</v>
      </c>
      <c r="H4" s="90">
        <v>0.03</v>
      </c>
      <c r="I4" s="90">
        <v>0.04</v>
      </c>
      <c r="J4" s="90">
        <v>0.03</v>
      </c>
    </row>
    <row r="5" spans="1:10" ht="134.69999999999999" customHeight="1" x14ac:dyDescent="0.3">
      <c r="A5" s="4">
        <v>3</v>
      </c>
      <c r="B5" s="6" t="s">
        <v>310</v>
      </c>
      <c r="C5" s="7" t="s">
        <v>311</v>
      </c>
      <c r="D5" s="10" t="s">
        <v>312</v>
      </c>
      <c r="E5" s="10" t="s">
        <v>313</v>
      </c>
      <c r="F5" s="10" t="s">
        <v>314</v>
      </c>
      <c r="G5" s="11">
        <v>0.05</v>
      </c>
      <c r="H5" s="90">
        <v>0.04</v>
      </c>
      <c r="I5" s="90">
        <v>0.04</v>
      </c>
      <c r="J5" s="90">
        <v>0.04</v>
      </c>
    </row>
    <row r="6" spans="1:10" ht="302.7" customHeight="1" x14ac:dyDescent="0.3">
      <c r="A6" s="4">
        <v>4</v>
      </c>
      <c r="B6" s="6" t="s">
        <v>315</v>
      </c>
      <c r="C6" s="7" t="s">
        <v>316</v>
      </c>
      <c r="D6" s="10" t="s">
        <v>317</v>
      </c>
      <c r="E6" s="10" t="s">
        <v>318</v>
      </c>
      <c r="F6" s="10" t="s">
        <v>319</v>
      </c>
      <c r="G6" s="11">
        <v>0.11</v>
      </c>
      <c r="H6" s="90">
        <v>0.11</v>
      </c>
      <c r="I6" s="90">
        <v>0.11</v>
      </c>
      <c r="J6" s="90">
        <v>0.04</v>
      </c>
    </row>
    <row r="7" spans="1:10" ht="100.95" customHeight="1" x14ac:dyDescent="0.3">
      <c r="A7" s="4">
        <v>5</v>
      </c>
      <c r="B7" s="6" t="s">
        <v>320</v>
      </c>
      <c r="C7" s="7" t="s">
        <v>321</v>
      </c>
      <c r="D7" s="10" t="s">
        <v>322</v>
      </c>
      <c r="E7" s="10" t="s">
        <v>323</v>
      </c>
      <c r="F7" s="10" t="s">
        <v>324</v>
      </c>
      <c r="G7" s="11">
        <v>0.04</v>
      </c>
      <c r="H7" s="90">
        <v>0.03</v>
      </c>
      <c r="I7" s="90">
        <v>0.03</v>
      </c>
      <c r="J7" s="90">
        <v>0.03</v>
      </c>
    </row>
    <row r="8" spans="1:10" ht="84" customHeight="1" x14ac:dyDescent="0.3">
      <c r="A8" s="4">
        <v>6</v>
      </c>
      <c r="B8" s="6" t="s">
        <v>325</v>
      </c>
      <c r="C8" s="7" t="s">
        <v>326</v>
      </c>
      <c r="D8" s="10" t="s">
        <v>327</v>
      </c>
      <c r="E8" s="10" t="s">
        <v>328</v>
      </c>
      <c r="F8" s="10" t="s">
        <v>329</v>
      </c>
      <c r="G8" s="11">
        <v>7.0000000000000007E-2</v>
      </c>
      <c r="H8" s="90">
        <v>0.05</v>
      </c>
      <c r="I8" s="90">
        <v>0.05</v>
      </c>
      <c r="J8" s="90">
        <v>0.05</v>
      </c>
    </row>
    <row r="9" spans="1:10" ht="86.7" customHeight="1" x14ac:dyDescent="0.3">
      <c r="A9" s="4">
        <v>7</v>
      </c>
      <c r="B9" s="6" t="s">
        <v>330</v>
      </c>
      <c r="C9" s="7" t="s">
        <v>331</v>
      </c>
      <c r="D9" s="10" t="s">
        <v>332</v>
      </c>
      <c r="E9" s="10" t="s">
        <v>333</v>
      </c>
      <c r="F9" s="10" t="s">
        <v>334</v>
      </c>
      <c r="G9" s="11">
        <v>0.04</v>
      </c>
      <c r="H9" s="90">
        <v>0.03</v>
      </c>
      <c r="I9" s="90">
        <v>0.03</v>
      </c>
      <c r="J9" s="90">
        <v>0</v>
      </c>
    </row>
    <row r="10" spans="1:10" ht="144" customHeight="1" x14ac:dyDescent="0.3">
      <c r="A10" s="4">
        <v>8</v>
      </c>
      <c r="B10" s="6" t="s">
        <v>335</v>
      </c>
      <c r="C10" s="7" t="s">
        <v>336</v>
      </c>
      <c r="D10" s="10" t="s">
        <v>337</v>
      </c>
      <c r="E10" s="10" t="s">
        <v>338</v>
      </c>
      <c r="F10" s="10" t="s">
        <v>339</v>
      </c>
      <c r="G10" s="11">
        <v>0.09</v>
      </c>
      <c r="H10" s="90">
        <v>0.04</v>
      </c>
      <c r="I10" s="90">
        <v>0.04</v>
      </c>
      <c r="J10" s="90">
        <v>7.0000000000000007E-2</v>
      </c>
    </row>
    <row r="11" spans="1:10" ht="84" customHeight="1" x14ac:dyDescent="0.3">
      <c r="A11" s="4">
        <v>9</v>
      </c>
      <c r="B11" s="6" t="s">
        <v>340</v>
      </c>
      <c r="C11" s="7" t="s">
        <v>341</v>
      </c>
      <c r="D11" s="10" t="s">
        <v>342</v>
      </c>
      <c r="E11" s="10" t="s">
        <v>343</v>
      </c>
      <c r="F11" s="10" t="s">
        <v>344</v>
      </c>
      <c r="G11" s="11">
        <v>0.03</v>
      </c>
      <c r="H11" s="90">
        <v>0.02</v>
      </c>
      <c r="I11" s="90">
        <v>0.02</v>
      </c>
      <c r="J11" s="90">
        <v>0.02</v>
      </c>
    </row>
    <row r="12" spans="1:10" ht="100.95" customHeight="1" x14ac:dyDescent="0.3">
      <c r="A12" s="4">
        <v>10</v>
      </c>
      <c r="B12" s="6" t="s">
        <v>345</v>
      </c>
      <c r="C12" s="7" t="s">
        <v>346</v>
      </c>
      <c r="D12" s="10" t="s">
        <v>347</v>
      </c>
      <c r="E12" s="10" t="s">
        <v>348</v>
      </c>
      <c r="F12" s="10" t="s">
        <v>349</v>
      </c>
      <c r="G12" s="11">
        <v>0.04</v>
      </c>
      <c r="H12" s="90">
        <v>0.03</v>
      </c>
      <c r="I12" s="90">
        <v>0.03</v>
      </c>
      <c r="J12" s="90">
        <v>0.03</v>
      </c>
    </row>
    <row r="13" spans="1:10" ht="84" customHeight="1" x14ac:dyDescent="0.3">
      <c r="A13" s="4">
        <v>11</v>
      </c>
      <c r="B13" s="6" t="s">
        <v>350</v>
      </c>
      <c r="C13" s="7" t="s">
        <v>351</v>
      </c>
      <c r="D13" s="10" t="s">
        <v>352</v>
      </c>
      <c r="E13" s="10" t="s">
        <v>353</v>
      </c>
      <c r="F13" s="10" t="s">
        <v>354</v>
      </c>
      <c r="G13" s="11">
        <v>0.03</v>
      </c>
      <c r="H13" s="90">
        <v>0.02</v>
      </c>
      <c r="I13" s="90">
        <v>0.02</v>
      </c>
      <c r="J13" s="90">
        <v>0.02</v>
      </c>
    </row>
    <row r="14" spans="1:10" ht="67.2" customHeight="1" x14ac:dyDescent="0.3">
      <c r="A14" s="4">
        <v>12</v>
      </c>
      <c r="B14" s="6" t="s">
        <v>355</v>
      </c>
      <c r="C14" s="7" t="s">
        <v>356</v>
      </c>
      <c r="D14" s="10" t="s">
        <v>357</v>
      </c>
      <c r="E14" s="10" t="s">
        <v>358</v>
      </c>
      <c r="F14" s="10" t="s">
        <v>359</v>
      </c>
      <c r="G14" s="11">
        <v>0.06</v>
      </c>
      <c r="H14" s="90">
        <v>0.04</v>
      </c>
      <c r="I14" s="90">
        <v>0.05</v>
      </c>
      <c r="J14" s="90">
        <v>0.04</v>
      </c>
    </row>
    <row r="15" spans="1:10" ht="84" customHeight="1" x14ac:dyDescent="0.3">
      <c r="A15" s="4">
        <v>13</v>
      </c>
      <c r="B15" s="6" t="s">
        <v>360</v>
      </c>
      <c r="C15" s="7" t="s">
        <v>361</v>
      </c>
      <c r="D15" s="10" t="s">
        <v>362</v>
      </c>
      <c r="E15" s="10" t="s">
        <v>363</v>
      </c>
      <c r="F15" s="10" t="s">
        <v>364</v>
      </c>
      <c r="G15" s="11">
        <v>0.04</v>
      </c>
      <c r="H15" s="90">
        <v>0.03</v>
      </c>
      <c r="I15" s="90">
        <v>0.03</v>
      </c>
      <c r="J15" s="90">
        <v>0.03</v>
      </c>
    </row>
    <row r="16" spans="1:10" ht="84" customHeight="1" x14ac:dyDescent="0.3">
      <c r="A16" s="4">
        <v>14</v>
      </c>
      <c r="B16" s="6" t="s">
        <v>365</v>
      </c>
      <c r="C16" s="7" t="s">
        <v>366</v>
      </c>
      <c r="D16" s="10" t="s">
        <v>367</v>
      </c>
      <c r="E16" s="10" t="s">
        <v>368</v>
      </c>
      <c r="F16" s="10" t="s">
        <v>369</v>
      </c>
      <c r="G16" s="11">
        <v>0.03</v>
      </c>
      <c r="H16" s="90">
        <v>0.02</v>
      </c>
      <c r="I16" s="90">
        <v>0.02</v>
      </c>
      <c r="J16" s="90">
        <v>0.02</v>
      </c>
    </row>
    <row r="17" spans="1:10" ht="84" customHeight="1" x14ac:dyDescent="0.3">
      <c r="A17" s="4">
        <v>15</v>
      </c>
      <c r="B17" s="6" t="s">
        <v>370</v>
      </c>
      <c r="C17" s="7" t="s">
        <v>371</v>
      </c>
      <c r="D17" s="10" t="s">
        <v>372</v>
      </c>
      <c r="E17" s="10" t="s">
        <v>373</v>
      </c>
      <c r="F17" s="10" t="s">
        <v>374</v>
      </c>
      <c r="G17" s="11">
        <v>0.06</v>
      </c>
      <c r="H17" s="90">
        <v>0.06</v>
      </c>
      <c r="I17" s="90">
        <v>0.06</v>
      </c>
      <c r="J17" s="90">
        <v>0.04</v>
      </c>
    </row>
    <row r="18" spans="1:10" ht="50.7" customHeight="1" x14ac:dyDescent="0.3">
      <c r="A18" s="4">
        <v>16</v>
      </c>
      <c r="B18" s="6" t="s">
        <v>375</v>
      </c>
      <c r="C18" s="7" t="s">
        <v>376</v>
      </c>
      <c r="D18" s="10" t="s">
        <v>377</v>
      </c>
      <c r="E18" s="10" t="s">
        <v>378</v>
      </c>
      <c r="F18" s="10" t="s">
        <v>379</v>
      </c>
      <c r="G18" s="11">
        <v>0.03</v>
      </c>
      <c r="H18" s="90">
        <v>0.02</v>
      </c>
      <c r="I18" s="90">
        <v>0.02</v>
      </c>
      <c r="J18" s="90">
        <v>0.01</v>
      </c>
    </row>
    <row r="19" spans="1:10" ht="50.7" customHeight="1" x14ac:dyDescent="0.3">
      <c r="A19" s="4">
        <v>17</v>
      </c>
      <c r="B19" s="6" t="s">
        <v>380</v>
      </c>
      <c r="C19" s="7" t="s">
        <v>381</v>
      </c>
      <c r="D19" s="10" t="s">
        <v>382</v>
      </c>
      <c r="E19" s="10" t="s">
        <v>383</v>
      </c>
      <c r="F19" s="10" t="s">
        <v>384</v>
      </c>
      <c r="G19" s="11">
        <v>0.02</v>
      </c>
      <c r="H19" s="90">
        <v>0.01</v>
      </c>
      <c r="I19" s="90">
        <v>0</v>
      </c>
      <c r="J19" s="90">
        <v>0</v>
      </c>
    </row>
    <row r="20" spans="1:10" ht="72" customHeight="1" x14ac:dyDescent="0.3">
      <c r="A20" s="4">
        <v>18</v>
      </c>
      <c r="B20" s="6" t="s">
        <v>385</v>
      </c>
      <c r="C20" s="7" t="s">
        <v>386</v>
      </c>
      <c r="D20" s="10" t="s">
        <v>387</v>
      </c>
      <c r="E20" s="10" t="s">
        <v>388</v>
      </c>
      <c r="F20" s="10" t="s">
        <v>389</v>
      </c>
      <c r="G20" s="11">
        <v>0.06</v>
      </c>
      <c r="H20" s="90">
        <v>0.04</v>
      </c>
      <c r="I20" s="90">
        <v>0.05</v>
      </c>
      <c r="J20" s="90">
        <v>0.04</v>
      </c>
    </row>
    <row r="21" spans="1:10" ht="67.2" customHeight="1" x14ac:dyDescent="0.3">
      <c r="A21" s="4">
        <v>19</v>
      </c>
      <c r="B21" s="6" t="s">
        <v>390</v>
      </c>
      <c r="C21" s="7" t="s">
        <v>391</v>
      </c>
      <c r="D21" s="10" t="s">
        <v>392</v>
      </c>
      <c r="E21" s="10" t="s">
        <v>393</v>
      </c>
      <c r="F21" s="10" t="s">
        <v>394</v>
      </c>
      <c r="G21" s="11">
        <v>0.03</v>
      </c>
      <c r="H21" s="90">
        <v>0.02</v>
      </c>
      <c r="I21" s="90">
        <v>0.02</v>
      </c>
      <c r="J21" s="90">
        <v>0.02</v>
      </c>
    </row>
    <row r="22" spans="1:10" ht="172.95" customHeight="1" x14ac:dyDescent="0.3">
      <c r="A22" s="4">
        <v>20</v>
      </c>
      <c r="B22" s="6" t="s">
        <v>395</v>
      </c>
      <c r="C22" s="7" t="s">
        <v>396</v>
      </c>
      <c r="D22" s="10" t="s">
        <v>397</v>
      </c>
      <c r="E22" s="10" t="s">
        <v>398</v>
      </c>
      <c r="F22" s="10" t="s">
        <v>399</v>
      </c>
      <c r="G22" s="11">
        <v>0.06</v>
      </c>
      <c r="H22" s="90">
        <v>0.04</v>
      </c>
      <c r="I22" s="90">
        <v>0.05</v>
      </c>
      <c r="J22" s="90">
        <v>0.04</v>
      </c>
    </row>
    <row r="23" spans="1:10" ht="187.2" customHeight="1" x14ac:dyDescent="0.3">
      <c r="A23" s="4">
        <v>21</v>
      </c>
      <c r="B23" s="6" t="s">
        <v>400</v>
      </c>
      <c r="C23" s="7" t="s">
        <v>401</v>
      </c>
      <c r="D23" s="10" t="s">
        <v>402</v>
      </c>
      <c r="E23" s="10" t="s">
        <v>403</v>
      </c>
      <c r="F23" s="10" t="s">
        <v>404</v>
      </c>
      <c r="G23" s="11">
        <v>0.03</v>
      </c>
      <c r="H23" s="90">
        <v>0.02</v>
      </c>
      <c r="I23" s="90">
        <v>0.02</v>
      </c>
      <c r="J23" s="90">
        <v>0.02</v>
      </c>
    </row>
    <row r="24" spans="1:10" ht="17.7" customHeight="1" thickBot="1" x14ac:dyDescent="0.35">
      <c r="G24" s="91">
        <f>SUM(G3:G23)</f>
        <v>1.0000000000000004</v>
      </c>
      <c r="H24" s="91">
        <f>SUM(H3:H23)</f>
        <v>0.7300000000000002</v>
      </c>
      <c r="I24" s="91">
        <f>SUM(I3:I23)</f>
        <v>0.76</v>
      </c>
      <c r="J24" s="91">
        <f>SUM(J3:J23)</f>
        <v>0.62000000000000011</v>
      </c>
    </row>
  </sheetData>
  <mergeCells count="1">
    <mergeCell ref="G1:J1"/>
  </mergeCells>
  <pageMargins left="0.7" right="0.7" top="0.75" bottom="0.75" header="0.3" footer="0.3"/>
  <pageSetup paperSize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A7B38-1264-4023-B38C-C59D73CA8F70}">
  <dimension ref="A1:Q69"/>
  <sheetViews>
    <sheetView tabSelected="1" topLeftCell="A2" zoomScale="70" zoomScaleNormal="70" workbookViewId="0">
      <pane xSplit="3" ySplit="2" topLeftCell="E4" activePane="bottomRight" state="frozen"/>
      <selection pane="topRight" activeCell="D2" sqref="D2"/>
      <selection pane="bottomLeft" activeCell="A3" sqref="A3"/>
      <selection pane="bottomRight" activeCell="K76" sqref="K76"/>
    </sheetView>
  </sheetViews>
  <sheetFormatPr defaultColWidth="8.6640625" defaultRowHeight="14.4" x14ac:dyDescent="0.3"/>
  <cols>
    <col min="1" max="1" width="3.6640625" style="1" customWidth="1"/>
    <col min="2" max="2" width="15.5546875" customWidth="1"/>
    <col min="3" max="3" width="74" bestFit="1" customWidth="1"/>
    <col min="4" max="4" width="9.33203125" style="14" customWidth="1"/>
    <col min="5" max="5" width="7" bestFit="1" customWidth="1"/>
    <col min="6" max="6" width="16.44140625" bestFit="1" customWidth="1"/>
    <col min="7" max="7" width="16.44140625" customWidth="1"/>
    <col min="8" max="8" width="13.33203125" bestFit="1" customWidth="1"/>
    <col min="9" max="9" width="13.33203125" customWidth="1"/>
    <col min="10" max="10" width="12.6640625" bestFit="1" customWidth="1"/>
    <col min="11" max="11" width="12.6640625" customWidth="1"/>
    <col min="12" max="12" width="16.44140625" bestFit="1" customWidth="1"/>
    <col min="13" max="13" width="13.33203125" bestFit="1" customWidth="1"/>
    <col min="14" max="14" width="12.6640625" bestFit="1" customWidth="1"/>
    <col min="15" max="15" width="49.44140625" style="13" customWidth="1"/>
    <col min="16" max="16" width="45.33203125" style="13" customWidth="1"/>
    <col min="17" max="17" width="56.44140625" style="13" customWidth="1"/>
  </cols>
  <sheetData>
    <row r="1" spans="1:17" ht="21.6" thickBot="1" x14ac:dyDescent="0.45">
      <c r="L1" s="92"/>
      <c r="M1" s="92"/>
      <c r="N1" s="92"/>
    </row>
    <row r="2" spans="1:17" ht="21.6" thickBot="1" x14ac:dyDescent="0.45">
      <c r="F2" s="106" t="s">
        <v>0</v>
      </c>
      <c r="G2" s="106"/>
      <c r="H2" s="106" t="s">
        <v>1</v>
      </c>
      <c r="I2" s="106"/>
      <c r="J2" s="106" t="s">
        <v>2</v>
      </c>
      <c r="K2" s="106"/>
      <c r="L2" s="12"/>
      <c r="M2" s="12"/>
      <c r="N2" s="12"/>
    </row>
    <row r="3" spans="1:17" ht="31.8" thickBot="1" x14ac:dyDescent="0.35">
      <c r="A3" s="2" t="s">
        <v>3</v>
      </c>
      <c r="B3" s="2" t="s">
        <v>4</v>
      </c>
      <c r="C3" s="2" t="s">
        <v>5</v>
      </c>
      <c r="D3" s="79" t="s">
        <v>6</v>
      </c>
      <c r="E3" s="2" t="s">
        <v>7</v>
      </c>
      <c r="F3" s="2" t="s">
        <v>8</v>
      </c>
      <c r="G3" s="2" t="s">
        <v>9</v>
      </c>
      <c r="H3" s="2" t="s">
        <v>8</v>
      </c>
      <c r="I3" s="2" t="s">
        <v>9</v>
      </c>
      <c r="J3" s="2" t="s">
        <v>8</v>
      </c>
      <c r="K3" s="2" t="s">
        <v>9</v>
      </c>
      <c r="L3" s="3" t="s">
        <v>10</v>
      </c>
      <c r="M3" s="3" t="s">
        <v>11</v>
      </c>
      <c r="N3" s="3" t="s">
        <v>12</v>
      </c>
      <c r="O3" s="78" t="s">
        <v>13</v>
      </c>
      <c r="P3" s="78" t="s">
        <v>14</v>
      </c>
      <c r="Q3" s="77" t="s">
        <v>15</v>
      </c>
    </row>
    <row r="4" spans="1:17" ht="29.4" thickBot="1" x14ac:dyDescent="0.35">
      <c r="A4" s="93">
        <v>1</v>
      </c>
      <c r="B4" s="96" t="s">
        <v>16</v>
      </c>
      <c r="C4" s="48" t="s">
        <v>17</v>
      </c>
      <c r="D4" s="99">
        <v>0.1</v>
      </c>
      <c r="E4" s="18">
        <v>5</v>
      </c>
      <c r="F4" s="18" t="s">
        <v>18</v>
      </c>
      <c r="G4" s="18">
        <f t="shared" ref="G4:G12" si="0">IF(F4="C",3,IF(F4="PC",1,IF(F4="NC",0,"")))</f>
        <v>1</v>
      </c>
      <c r="H4" s="18" t="s">
        <v>19</v>
      </c>
      <c r="I4" s="18">
        <f t="shared" ref="I4:I21" si="1">IF(H4="C",3,IF(H4="PC",1,IF(H4="NC",0,"")))</f>
        <v>3</v>
      </c>
      <c r="J4" s="18" t="s">
        <v>19</v>
      </c>
      <c r="K4" s="18">
        <f t="shared" ref="K4:K12" si="2">IF(J4="C",3,IF(J4="PC",1,IF(J4="NC",0,"")))</f>
        <v>3</v>
      </c>
      <c r="L4" s="82">
        <f>AVERAGE(G4:G12)*$D4/3</f>
        <v>5.9259259259259262E-2</v>
      </c>
      <c r="M4" s="82">
        <f>AVERAGE(I4:I12)*$D4/3</f>
        <v>0.10000000000000002</v>
      </c>
      <c r="N4" s="82">
        <f>AVERAGE(K4:K12)*$D4/3</f>
        <v>0.10000000000000002</v>
      </c>
      <c r="O4" s="47" t="s">
        <v>20</v>
      </c>
      <c r="P4" s="46" t="s">
        <v>21</v>
      </c>
      <c r="Q4" s="45" t="s">
        <v>22</v>
      </c>
    </row>
    <row r="5" spans="1:17" ht="29.4" thickBot="1" x14ac:dyDescent="0.35">
      <c r="A5" s="94"/>
      <c r="B5" s="97"/>
      <c r="C5" s="44" t="s">
        <v>23</v>
      </c>
      <c r="D5" s="100"/>
      <c r="E5" s="42">
        <v>5</v>
      </c>
      <c r="F5" s="42" t="s">
        <v>19</v>
      </c>
      <c r="G5" s="18">
        <f t="shared" si="0"/>
        <v>3</v>
      </c>
      <c r="H5" s="18" t="s">
        <v>19</v>
      </c>
      <c r="I5" s="18">
        <f t="shared" si="1"/>
        <v>3</v>
      </c>
      <c r="J5" s="42" t="s">
        <v>19</v>
      </c>
      <c r="K5" s="18">
        <f t="shared" si="2"/>
        <v>3</v>
      </c>
      <c r="L5" s="83"/>
      <c r="M5" s="83"/>
      <c r="N5" s="83"/>
      <c r="O5" s="41" t="s">
        <v>24</v>
      </c>
      <c r="P5" s="40" t="s">
        <v>25</v>
      </c>
      <c r="Q5" s="39" t="s">
        <v>26</v>
      </c>
    </row>
    <row r="6" spans="1:17" ht="15" thickBot="1" x14ac:dyDescent="0.35">
      <c r="A6" s="94"/>
      <c r="B6" s="97"/>
      <c r="C6" s="44" t="s">
        <v>27</v>
      </c>
      <c r="D6" s="100"/>
      <c r="E6" s="42">
        <v>4</v>
      </c>
      <c r="F6" s="42" t="s">
        <v>19</v>
      </c>
      <c r="G6" s="18">
        <f t="shared" si="0"/>
        <v>3</v>
      </c>
      <c r="H6" s="18" t="s">
        <v>19</v>
      </c>
      <c r="I6" s="18">
        <f t="shared" si="1"/>
        <v>3</v>
      </c>
      <c r="J6" s="42" t="s">
        <v>19</v>
      </c>
      <c r="K6" s="18">
        <f t="shared" si="2"/>
        <v>3</v>
      </c>
      <c r="L6" s="83"/>
      <c r="M6" s="83"/>
      <c r="N6" s="83"/>
      <c r="O6" s="41" t="s">
        <v>28</v>
      </c>
      <c r="P6" s="40" t="s">
        <v>29</v>
      </c>
      <c r="Q6" s="39" t="s">
        <v>30</v>
      </c>
    </row>
    <row r="7" spans="1:17" ht="29.4" thickBot="1" x14ac:dyDescent="0.35">
      <c r="A7" s="94"/>
      <c r="B7" s="97"/>
      <c r="C7" s="44" t="s">
        <v>31</v>
      </c>
      <c r="D7" s="100"/>
      <c r="E7" s="42">
        <v>5</v>
      </c>
      <c r="F7" s="42" t="s">
        <v>19</v>
      </c>
      <c r="G7" s="18">
        <f t="shared" si="0"/>
        <v>3</v>
      </c>
      <c r="H7" s="18" t="s">
        <v>19</v>
      </c>
      <c r="I7" s="18">
        <f t="shared" si="1"/>
        <v>3</v>
      </c>
      <c r="J7" s="42" t="s">
        <v>19</v>
      </c>
      <c r="K7" s="18">
        <f t="shared" si="2"/>
        <v>3</v>
      </c>
      <c r="L7" s="83"/>
      <c r="M7" s="83"/>
      <c r="N7" s="83"/>
      <c r="O7" s="41" t="s">
        <v>32</v>
      </c>
      <c r="P7" s="40" t="s">
        <v>33</v>
      </c>
      <c r="Q7" s="39" t="s">
        <v>34</v>
      </c>
    </row>
    <row r="8" spans="1:17" ht="29.4" thickBot="1" x14ac:dyDescent="0.35">
      <c r="A8" s="94"/>
      <c r="B8" s="97"/>
      <c r="C8" s="44" t="s">
        <v>35</v>
      </c>
      <c r="D8" s="100"/>
      <c r="E8" s="42">
        <v>5</v>
      </c>
      <c r="F8" s="42" t="s">
        <v>36</v>
      </c>
      <c r="G8" s="18">
        <f t="shared" si="0"/>
        <v>0</v>
      </c>
      <c r="H8" s="18" t="s">
        <v>19</v>
      </c>
      <c r="I8" s="18">
        <f t="shared" si="1"/>
        <v>3</v>
      </c>
      <c r="J8" s="42" t="s">
        <v>19</v>
      </c>
      <c r="K8" s="18">
        <f t="shared" si="2"/>
        <v>3</v>
      </c>
      <c r="L8" s="83"/>
      <c r="M8" s="83"/>
      <c r="N8" s="83"/>
      <c r="O8" s="41" t="s">
        <v>37</v>
      </c>
      <c r="P8" s="40" t="s">
        <v>38</v>
      </c>
      <c r="Q8" s="39" t="s">
        <v>39</v>
      </c>
    </row>
    <row r="9" spans="1:17" ht="15" thickBot="1" x14ac:dyDescent="0.35">
      <c r="A9" s="94"/>
      <c r="B9" s="97"/>
      <c r="C9" s="44" t="s">
        <v>40</v>
      </c>
      <c r="D9" s="100"/>
      <c r="E9" s="42">
        <v>4</v>
      </c>
      <c r="F9" s="42" t="s">
        <v>18</v>
      </c>
      <c r="G9" s="18">
        <f t="shared" si="0"/>
        <v>1</v>
      </c>
      <c r="H9" s="18" t="s">
        <v>19</v>
      </c>
      <c r="I9" s="18">
        <f t="shared" si="1"/>
        <v>3</v>
      </c>
      <c r="J9" s="42" t="s">
        <v>19</v>
      </c>
      <c r="K9" s="18">
        <f t="shared" si="2"/>
        <v>3</v>
      </c>
      <c r="L9" s="83"/>
      <c r="M9" s="83"/>
      <c r="N9" s="83"/>
      <c r="O9" s="41" t="s">
        <v>41</v>
      </c>
      <c r="P9" s="40" t="s">
        <v>42</v>
      </c>
      <c r="Q9" s="39" t="s">
        <v>43</v>
      </c>
    </row>
    <row r="10" spans="1:17" ht="29.4" thickBot="1" x14ac:dyDescent="0.35">
      <c r="A10" s="94"/>
      <c r="B10" s="97"/>
      <c r="C10" s="44" t="s">
        <v>44</v>
      </c>
      <c r="D10" s="100"/>
      <c r="E10" s="42">
        <v>4</v>
      </c>
      <c r="F10" s="42" t="s">
        <v>18</v>
      </c>
      <c r="G10" s="18">
        <f t="shared" si="0"/>
        <v>1</v>
      </c>
      <c r="H10" s="18" t="s">
        <v>19</v>
      </c>
      <c r="I10" s="18">
        <f t="shared" si="1"/>
        <v>3</v>
      </c>
      <c r="J10" s="42" t="s">
        <v>19</v>
      </c>
      <c r="K10" s="18">
        <f t="shared" si="2"/>
        <v>3</v>
      </c>
      <c r="L10" s="83"/>
      <c r="M10" s="83"/>
      <c r="N10" s="83"/>
      <c r="O10" s="41" t="s">
        <v>45</v>
      </c>
      <c r="P10" s="40" t="s">
        <v>46</v>
      </c>
      <c r="Q10" s="39" t="s">
        <v>47</v>
      </c>
    </row>
    <row r="11" spans="1:17" ht="15" thickBot="1" x14ac:dyDescent="0.35">
      <c r="A11" s="94"/>
      <c r="B11" s="97"/>
      <c r="C11" s="44" t="s">
        <v>48</v>
      </c>
      <c r="D11" s="100"/>
      <c r="E11" s="42">
        <v>4</v>
      </c>
      <c r="F11" s="42" t="s">
        <v>19</v>
      </c>
      <c r="G11" s="18">
        <f t="shared" si="0"/>
        <v>3</v>
      </c>
      <c r="H11" s="18" t="s">
        <v>19</v>
      </c>
      <c r="I11" s="18">
        <f t="shared" si="1"/>
        <v>3</v>
      </c>
      <c r="J11" s="42" t="s">
        <v>19</v>
      </c>
      <c r="K11" s="18">
        <f t="shared" si="2"/>
        <v>3</v>
      </c>
      <c r="L11" s="83"/>
      <c r="M11" s="83"/>
      <c r="N11" s="83"/>
      <c r="O11" s="41" t="s">
        <v>49</v>
      </c>
      <c r="P11" s="40" t="s">
        <v>50</v>
      </c>
      <c r="Q11" s="39" t="s">
        <v>51</v>
      </c>
    </row>
    <row r="12" spans="1:17" ht="29.4" thickBot="1" x14ac:dyDescent="0.35">
      <c r="A12" s="95"/>
      <c r="B12" s="98"/>
      <c r="C12" s="53" t="s">
        <v>52</v>
      </c>
      <c r="D12" s="100"/>
      <c r="E12" s="52">
        <v>5</v>
      </c>
      <c r="F12" s="52" t="s">
        <v>18</v>
      </c>
      <c r="G12" s="18">
        <f t="shared" si="0"/>
        <v>1</v>
      </c>
      <c r="H12" s="18" t="s">
        <v>19</v>
      </c>
      <c r="I12" s="18">
        <f t="shared" si="1"/>
        <v>3</v>
      </c>
      <c r="J12" s="52" t="s">
        <v>19</v>
      </c>
      <c r="K12" s="18">
        <f t="shared" si="2"/>
        <v>3</v>
      </c>
      <c r="L12" s="83"/>
      <c r="M12" s="83"/>
      <c r="N12" s="83"/>
      <c r="O12" s="51" t="s">
        <v>53</v>
      </c>
      <c r="P12" s="50" t="s">
        <v>54</v>
      </c>
      <c r="Q12" s="62" t="s">
        <v>55</v>
      </c>
    </row>
    <row r="13" spans="1:17" ht="15" thickBot="1" x14ac:dyDescent="0.35">
      <c r="A13" s="103">
        <v>2</v>
      </c>
      <c r="B13" s="96" t="s">
        <v>56</v>
      </c>
      <c r="C13" s="48" t="s">
        <v>57</v>
      </c>
      <c r="D13" s="101">
        <v>0.12</v>
      </c>
      <c r="E13" s="18">
        <v>4</v>
      </c>
      <c r="F13" s="18" t="s">
        <v>19</v>
      </c>
      <c r="G13" s="18">
        <v>1</v>
      </c>
      <c r="H13" s="18" t="s">
        <v>19</v>
      </c>
      <c r="I13" s="18">
        <f t="shared" si="1"/>
        <v>3</v>
      </c>
      <c r="J13" s="18" t="s">
        <v>19</v>
      </c>
      <c r="K13" s="18">
        <v>1</v>
      </c>
      <c r="L13" s="82">
        <f>AVERAGE($G13:$G17)*$D13/3</f>
        <v>0.04</v>
      </c>
      <c r="M13" s="82">
        <f>AVERAGE(I13:I17)*$D13/3</f>
        <v>0.104</v>
      </c>
      <c r="N13" s="82">
        <f>AVERAGE(K13:K17)*$D13/3</f>
        <v>5.5999999999999994E-2</v>
      </c>
      <c r="O13" s="47" t="s">
        <v>58</v>
      </c>
      <c r="P13" s="46" t="s">
        <v>59</v>
      </c>
      <c r="Q13" s="45" t="s">
        <v>60</v>
      </c>
    </row>
    <row r="14" spans="1:17" ht="29.4" thickBot="1" x14ac:dyDescent="0.35">
      <c r="A14" s="104"/>
      <c r="B14" s="97"/>
      <c r="C14" s="44" t="s">
        <v>61</v>
      </c>
      <c r="D14" s="102"/>
      <c r="E14" s="42">
        <v>3</v>
      </c>
      <c r="F14" s="42" t="s">
        <v>19</v>
      </c>
      <c r="G14" s="18">
        <v>1</v>
      </c>
      <c r="H14" s="18" t="s">
        <v>19</v>
      </c>
      <c r="I14" s="18">
        <f t="shared" si="1"/>
        <v>3</v>
      </c>
      <c r="J14" s="42" t="s">
        <v>18</v>
      </c>
      <c r="K14" s="18">
        <f>IF(J14="C",3,IF(J14="PC",1,IF(J14="NC",0,"")))</f>
        <v>1</v>
      </c>
      <c r="L14" s="84"/>
      <c r="M14" s="84"/>
      <c r="N14" s="84"/>
      <c r="O14" s="41" t="s">
        <v>62</v>
      </c>
      <c r="P14" s="40" t="s">
        <v>63</v>
      </c>
      <c r="Q14" s="39" t="s">
        <v>64</v>
      </c>
    </row>
    <row r="15" spans="1:17" ht="15" thickBot="1" x14ac:dyDescent="0.35">
      <c r="A15" s="104"/>
      <c r="B15" s="97"/>
      <c r="C15" s="44" t="s">
        <v>65</v>
      </c>
      <c r="D15" s="102"/>
      <c r="E15" s="42">
        <v>3</v>
      </c>
      <c r="F15" s="42" t="s">
        <v>19</v>
      </c>
      <c r="G15" s="18">
        <v>1</v>
      </c>
      <c r="H15" s="18" t="s">
        <v>19</v>
      </c>
      <c r="I15" s="18">
        <f t="shared" si="1"/>
        <v>3</v>
      </c>
      <c r="J15" s="42" t="s">
        <v>18</v>
      </c>
      <c r="K15" s="18">
        <f>IF(J15="C",3,IF(J15="PC",1,IF(J15="NC",0,"")))</f>
        <v>1</v>
      </c>
      <c r="L15" s="84"/>
      <c r="M15" s="84"/>
      <c r="N15" s="84"/>
      <c r="O15" s="41" t="s">
        <v>66</v>
      </c>
      <c r="P15" s="40" t="s">
        <v>67</v>
      </c>
      <c r="Q15" s="39" t="s">
        <v>68</v>
      </c>
    </row>
    <row r="16" spans="1:17" ht="29.4" thickBot="1" x14ac:dyDescent="0.35">
      <c r="A16" s="104"/>
      <c r="B16" s="97"/>
      <c r="C16" s="44" t="s">
        <v>69</v>
      </c>
      <c r="D16" s="102"/>
      <c r="E16" s="42">
        <v>3</v>
      </c>
      <c r="F16" s="42" t="s">
        <v>18</v>
      </c>
      <c r="G16" s="18">
        <f t="shared" ref="G16:G22" si="3">IF(F16="C",3,IF(F16="PC",1,IF(F16="NC",0,"")))</f>
        <v>1</v>
      </c>
      <c r="H16" s="18" t="s">
        <v>19</v>
      </c>
      <c r="I16" s="18">
        <f t="shared" si="1"/>
        <v>3</v>
      </c>
      <c r="J16" s="42" t="s">
        <v>19</v>
      </c>
      <c r="K16" s="18">
        <v>1</v>
      </c>
      <c r="L16" s="84"/>
      <c r="M16" s="84"/>
      <c r="N16" s="84"/>
      <c r="O16" s="41" t="s">
        <v>70</v>
      </c>
      <c r="P16" s="40" t="s">
        <v>71</v>
      </c>
      <c r="Q16" s="39" t="s">
        <v>72</v>
      </c>
    </row>
    <row r="17" spans="1:17" ht="15" thickBot="1" x14ac:dyDescent="0.35">
      <c r="A17" s="105"/>
      <c r="B17" s="98"/>
      <c r="C17" s="53" t="s">
        <v>73</v>
      </c>
      <c r="D17" s="102"/>
      <c r="E17" s="52">
        <v>3</v>
      </c>
      <c r="F17" s="52" t="s">
        <v>18</v>
      </c>
      <c r="G17" s="18">
        <f t="shared" si="3"/>
        <v>1</v>
      </c>
      <c r="H17" s="76" t="s">
        <v>18</v>
      </c>
      <c r="I17" s="18">
        <f t="shared" si="1"/>
        <v>1</v>
      </c>
      <c r="J17" s="52" t="s">
        <v>19</v>
      </c>
      <c r="K17" s="18">
        <f>IF(J17="C",3,IF(J17="PC",1,IF(J17="NC",0,"")))</f>
        <v>3</v>
      </c>
      <c r="L17" s="84"/>
      <c r="M17" s="84"/>
      <c r="N17" s="84"/>
      <c r="O17" s="51" t="s">
        <v>74</v>
      </c>
      <c r="P17" s="50" t="s">
        <v>75</v>
      </c>
      <c r="Q17" s="62" t="s">
        <v>76</v>
      </c>
    </row>
    <row r="18" spans="1:17" ht="29.4" thickBot="1" x14ac:dyDescent="0.35">
      <c r="A18" s="107">
        <v>3</v>
      </c>
      <c r="B18" s="109" t="s">
        <v>77</v>
      </c>
      <c r="C18" s="48" t="s">
        <v>78</v>
      </c>
      <c r="D18" s="101">
        <v>0.12</v>
      </c>
      <c r="E18" s="18">
        <v>2</v>
      </c>
      <c r="F18" s="18" t="s">
        <v>36</v>
      </c>
      <c r="G18" s="18">
        <f t="shared" si="3"/>
        <v>0</v>
      </c>
      <c r="H18" s="18" t="s">
        <v>19</v>
      </c>
      <c r="I18" s="18">
        <f t="shared" si="1"/>
        <v>3</v>
      </c>
      <c r="J18" s="18" t="s">
        <v>19</v>
      </c>
      <c r="K18" s="75">
        <v>0</v>
      </c>
      <c r="L18" s="82">
        <f>AVERAGE(G18:G22)*$D18/3</f>
        <v>0.08</v>
      </c>
      <c r="M18" s="82">
        <f>AVERAGE(I18:I22)*$D18/3</f>
        <v>0.104</v>
      </c>
      <c r="N18" s="82">
        <f>AVERAGE(K18:K22)*$D18/3</f>
        <v>0.08</v>
      </c>
      <c r="O18" s="47" t="s">
        <v>79</v>
      </c>
      <c r="P18" s="46" t="s">
        <v>80</v>
      </c>
      <c r="Q18" s="45" t="s">
        <v>81</v>
      </c>
    </row>
    <row r="19" spans="1:17" ht="15" thickBot="1" x14ac:dyDescent="0.35">
      <c r="A19" s="108"/>
      <c r="B19" s="110"/>
      <c r="C19" s="44" t="s">
        <v>82</v>
      </c>
      <c r="D19" s="102"/>
      <c r="E19" s="42">
        <v>2</v>
      </c>
      <c r="F19" s="42" t="s">
        <v>19</v>
      </c>
      <c r="G19" s="18">
        <f t="shared" si="3"/>
        <v>3</v>
      </c>
      <c r="H19" s="18" t="s">
        <v>19</v>
      </c>
      <c r="I19" s="18">
        <f t="shared" si="1"/>
        <v>3</v>
      </c>
      <c r="J19" s="42" t="s">
        <v>19</v>
      </c>
      <c r="K19" s="18">
        <f>IF(J19="C",3,IF(J19="PC",1,IF(J19="NC",0,"")))</f>
        <v>3</v>
      </c>
      <c r="L19" s="84"/>
      <c r="M19" s="84"/>
      <c r="N19" s="84"/>
      <c r="O19" s="41" t="s">
        <v>83</v>
      </c>
      <c r="P19" s="40" t="s">
        <v>84</v>
      </c>
      <c r="Q19" s="39" t="s">
        <v>85</v>
      </c>
    </row>
    <row r="20" spans="1:17" ht="15" thickBot="1" x14ac:dyDescent="0.35">
      <c r="A20" s="108"/>
      <c r="B20" s="110"/>
      <c r="C20" s="44" t="s">
        <v>86</v>
      </c>
      <c r="D20" s="102"/>
      <c r="E20" s="42">
        <v>3</v>
      </c>
      <c r="F20" s="42" t="s">
        <v>19</v>
      </c>
      <c r="G20" s="18">
        <f t="shared" si="3"/>
        <v>3</v>
      </c>
      <c r="H20" s="18" t="s">
        <v>19</v>
      </c>
      <c r="I20" s="18">
        <f t="shared" si="1"/>
        <v>3</v>
      </c>
      <c r="J20" s="42" t="s">
        <v>19</v>
      </c>
      <c r="K20" s="18">
        <f>IF(J20="C",3,IF(J20="PC",1,IF(J20="NC",0,"")))</f>
        <v>3</v>
      </c>
      <c r="L20" s="84"/>
      <c r="M20" s="84"/>
      <c r="N20" s="84"/>
      <c r="O20" s="41" t="s">
        <v>87</v>
      </c>
      <c r="P20" s="40" t="s">
        <v>88</v>
      </c>
      <c r="Q20" s="39" t="s">
        <v>89</v>
      </c>
    </row>
    <row r="21" spans="1:17" ht="15" thickBot="1" x14ac:dyDescent="0.35">
      <c r="A21" s="108"/>
      <c r="B21" s="110"/>
      <c r="C21" s="44" t="s">
        <v>90</v>
      </c>
      <c r="D21" s="102"/>
      <c r="E21" s="42">
        <v>3</v>
      </c>
      <c r="F21" s="42" t="s">
        <v>19</v>
      </c>
      <c r="G21" s="18">
        <f t="shared" si="3"/>
        <v>3</v>
      </c>
      <c r="H21" s="18" t="s">
        <v>19</v>
      </c>
      <c r="I21" s="18">
        <f t="shared" si="1"/>
        <v>3</v>
      </c>
      <c r="J21" s="42" t="s">
        <v>19</v>
      </c>
      <c r="K21" s="18">
        <f>IF(J21="C",3,IF(J21="PC",1,IF(J21="NC",0,"")))</f>
        <v>3</v>
      </c>
      <c r="L21" s="84"/>
      <c r="M21" s="84"/>
      <c r="N21" s="84"/>
      <c r="O21" s="41" t="s">
        <v>91</v>
      </c>
      <c r="P21" s="40" t="s">
        <v>92</v>
      </c>
      <c r="Q21" s="39" t="s">
        <v>93</v>
      </c>
    </row>
    <row r="22" spans="1:17" ht="15" thickBot="1" x14ac:dyDescent="0.35">
      <c r="A22" s="108"/>
      <c r="B22" s="111"/>
      <c r="C22" s="53" t="s">
        <v>94</v>
      </c>
      <c r="D22" s="102"/>
      <c r="E22" s="52">
        <v>2</v>
      </c>
      <c r="F22" s="52" t="s">
        <v>18</v>
      </c>
      <c r="G22" s="18">
        <f t="shared" si="3"/>
        <v>1</v>
      </c>
      <c r="H22" s="74" t="s">
        <v>19</v>
      </c>
      <c r="I22" s="18">
        <v>1</v>
      </c>
      <c r="J22" s="52" t="s">
        <v>18</v>
      </c>
      <c r="K22" s="18">
        <f>IF(J22="C",3,IF(J22="PC",1,IF(J22="NC",0,"")))</f>
        <v>1</v>
      </c>
      <c r="L22" s="84"/>
      <c r="M22" s="84"/>
      <c r="N22" s="84"/>
      <c r="O22" s="51" t="s">
        <v>95</v>
      </c>
      <c r="P22" s="50" t="s">
        <v>96</v>
      </c>
      <c r="Q22" s="62" t="s">
        <v>97</v>
      </c>
    </row>
    <row r="23" spans="1:17" ht="29.4" thickBot="1" x14ac:dyDescent="0.35">
      <c r="A23" s="113">
        <v>4</v>
      </c>
      <c r="B23" s="116" t="s">
        <v>98</v>
      </c>
      <c r="C23" s="48" t="s">
        <v>99</v>
      </c>
      <c r="D23" s="101">
        <v>0.05</v>
      </c>
      <c r="E23" s="18">
        <v>5</v>
      </c>
      <c r="F23" s="18" t="s">
        <v>19</v>
      </c>
      <c r="G23" s="18">
        <v>1</v>
      </c>
      <c r="H23" s="18" t="s">
        <v>19</v>
      </c>
      <c r="I23" s="18">
        <f t="shared" ref="I23:I68" si="4">IF(H23="C",3,IF(H23="PC",1,IF(H23="NC",0,"")))</f>
        <v>3</v>
      </c>
      <c r="J23" s="18" t="s">
        <v>19</v>
      </c>
      <c r="K23" s="18">
        <v>1</v>
      </c>
      <c r="L23" s="82">
        <f>AVERAGE(G23:G25)*$D23/3</f>
        <v>2.777777777777778E-2</v>
      </c>
      <c r="M23" s="82">
        <f>AVERAGE(I23:I25)*$D23/3</f>
        <v>5.000000000000001E-2</v>
      </c>
      <c r="N23" s="82">
        <f>AVERAGE(K23:K25)*$D23/3</f>
        <v>2.2222222222222223E-2</v>
      </c>
      <c r="O23" s="47" t="s">
        <v>100</v>
      </c>
      <c r="P23" s="46" t="s">
        <v>101</v>
      </c>
      <c r="Q23" s="45" t="s">
        <v>102</v>
      </c>
    </row>
    <row r="24" spans="1:17" ht="15" thickBot="1" x14ac:dyDescent="0.35">
      <c r="A24" s="114"/>
      <c r="B24" s="117"/>
      <c r="C24" s="44" t="s">
        <v>103</v>
      </c>
      <c r="D24" s="102"/>
      <c r="E24" s="42">
        <v>4</v>
      </c>
      <c r="F24" s="42" t="s">
        <v>19</v>
      </c>
      <c r="G24" s="18">
        <f>IF(F24="C",3,IF(F24="PC",1,IF(F24="NC",0,"")))</f>
        <v>3</v>
      </c>
      <c r="H24" s="18" t="s">
        <v>19</v>
      </c>
      <c r="I24" s="18">
        <f t="shared" si="4"/>
        <v>3</v>
      </c>
      <c r="J24" s="42" t="s">
        <v>19</v>
      </c>
      <c r="K24" s="18">
        <f t="shared" ref="K24:K37" si="5">IF(J24="C",3,IF(J24="PC",1,IF(J24="NC",0,"")))</f>
        <v>3</v>
      </c>
      <c r="L24" s="84"/>
      <c r="M24" s="84"/>
      <c r="N24" s="84"/>
      <c r="O24" s="41" t="s">
        <v>104</v>
      </c>
      <c r="P24" s="40" t="s">
        <v>105</v>
      </c>
      <c r="Q24" s="39" t="s">
        <v>106</v>
      </c>
    </row>
    <row r="25" spans="1:17" ht="29.4" thickBot="1" x14ac:dyDescent="0.35">
      <c r="A25" s="115"/>
      <c r="B25" s="118"/>
      <c r="C25" s="72" t="s">
        <v>107</v>
      </c>
      <c r="D25" s="112"/>
      <c r="E25" s="71">
        <v>3</v>
      </c>
      <c r="F25" s="71" t="s">
        <v>19</v>
      </c>
      <c r="G25" s="18">
        <v>1</v>
      </c>
      <c r="H25" s="18" t="s">
        <v>19</v>
      </c>
      <c r="I25" s="18">
        <f t="shared" si="4"/>
        <v>3</v>
      </c>
      <c r="J25" s="71" t="s">
        <v>36</v>
      </c>
      <c r="K25" s="18">
        <f t="shared" si="5"/>
        <v>0</v>
      </c>
      <c r="L25" s="85"/>
      <c r="M25" s="85"/>
      <c r="N25" s="85"/>
      <c r="O25" s="70" t="s">
        <v>108</v>
      </c>
      <c r="P25" s="69" t="s">
        <v>109</v>
      </c>
      <c r="Q25" s="68" t="s">
        <v>110</v>
      </c>
    </row>
    <row r="26" spans="1:17" ht="29.4" thickBot="1" x14ac:dyDescent="0.35">
      <c r="A26" s="148">
        <v>5</v>
      </c>
      <c r="B26" s="151" t="s">
        <v>111</v>
      </c>
      <c r="C26" s="67" t="s">
        <v>112</v>
      </c>
      <c r="D26" s="145">
        <v>0.05</v>
      </c>
      <c r="E26" s="66">
        <v>5</v>
      </c>
      <c r="F26" s="66" t="s">
        <v>19</v>
      </c>
      <c r="G26" s="18">
        <f t="shared" ref="G26:G41" si="6">IF(F26="C",3,IF(F26="PC",1,IF(F26="NC",0,"")))</f>
        <v>3</v>
      </c>
      <c r="H26" s="18" t="s">
        <v>19</v>
      </c>
      <c r="I26" s="18">
        <f t="shared" si="4"/>
        <v>3</v>
      </c>
      <c r="J26" s="66" t="s">
        <v>19</v>
      </c>
      <c r="K26" s="18">
        <f t="shared" si="5"/>
        <v>3</v>
      </c>
      <c r="L26" s="82">
        <f>AVERAGE(G26:G32)*$D26/3</f>
        <v>5.000000000000001E-2</v>
      </c>
      <c r="M26" s="82">
        <f>AVERAGE(I26:I32)*$D26/3</f>
        <v>5.000000000000001E-2</v>
      </c>
      <c r="N26" s="82">
        <f>AVERAGE(K26:K32)*$D26/3</f>
        <v>5.000000000000001E-2</v>
      </c>
      <c r="O26" s="65" t="s">
        <v>113</v>
      </c>
      <c r="P26" s="64" t="s">
        <v>114</v>
      </c>
      <c r="Q26" s="73" t="s">
        <v>115</v>
      </c>
    </row>
    <row r="27" spans="1:17" ht="15" thickBot="1" x14ac:dyDescent="0.35">
      <c r="A27" s="149"/>
      <c r="B27" s="97"/>
      <c r="C27" s="44" t="s">
        <v>116</v>
      </c>
      <c r="D27" s="102"/>
      <c r="E27" s="42">
        <v>4</v>
      </c>
      <c r="F27" s="42" t="s">
        <v>19</v>
      </c>
      <c r="G27" s="18">
        <f t="shared" si="6"/>
        <v>3</v>
      </c>
      <c r="H27" s="18" t="s">
        <v>19</v>
      </c>
      <c r="I27" s="18">
        <f t="shared" si="4"/>
        <v>3</v>
      </c>
      <c r="J27" s="42" t="s">
        <v>19</v>
      </c>
      <c r="K27" s="18">
        <f t="shared" si="5"/>
        <v>3</v>
      </c>
      <c r="L27" s="84"/>
      <c r="M27" s="84"/>
      <c r="N27" s="84"/>
      <c r="O27" s="41" t="s">
        <v>117</v>
      </c>
      <c r="P27" s="40" t="s">
        <v>118</v>
      </c>
      <c r="Q27" s="39" t="s">
        <v>119</v>
      </c>
    </row>
    <row r="28" spans="1:17" ht="15" thickBot="1" x14ac:dyDescent="0.35">
      <c r="A28" s="149"/>
      <c r="B28" s="97"/>
      <c r="C28" s="44" t="s">
        <v>120</v>
      </c>
      <c r="D28" s="102"/>
      <c r="E28" s="42">
        <v>4</v>
      </c>
      <c r="F28" s="42" t="s">
        <v>19</v>
      </c>
      <c r="G28" s="18">
        <f t="shared" si="6"/>
        <v>3</v>
      </c>
      <c r="H28" s="18" t="s">
        <v>19</v>
      </c>
      <c r="I28" s="18">
        <f t="shared" si="4"/>
        <v>3</v>
      </c>
      <c r="J28" s="42" t="s">
        <v>19</v>
      </c>
      <c r="K28" s="18">
        <f t="shared" si="5"/>
        <v>3</v>
      </c>
      <c r="L28" s="84"/>
      <c r="M28" s="84"/>
      <c r="N28" s="84"/>
      <c r="O28" s="41" t="s">
        <v>121</v>
      </c>
      <c r="P28" s="40" t="s">
        <v>122</v>
      </c>
      <c r="Q28" s="39" t="s">
        <v>122</v>
      </c>
    </row>
    <row r="29" spans="1:17" ht="15" thickBot="1" x14ac:dyDescent="0.35">
      <c r="A29" s="149"/>
      <c r="B29" s="97"/>
      <c r="C29" s="44" t="s">
        <v>123</v>
      </c>
      <c r="D29" s="102"/>
      <c r="E29" s="42">
        <v>5</v>
      </c>
      <c r="F29" s="42" t="s">
        <v>19</v>
      </c>
      <c r="G29" s="18">
        <f t="shared" si="6"/>
        <v>3</v>
      </c>
      <c r="H29" s="18" t="s">
        <v>19</v>
      </c>
      <c r="I29" s="18">
        <f t="shared" si="4"/>
        <v>3</v>
      </c>
      <c r="J29" s="42" t="s">
        <v>19</v>
      </c>
      <c r="K29" s="18">
        <f t="shared" si="5"/>
        <v>3</v>
      </c>
      <c r="L29" s="84"/>
      <c r="M29" s="84"/>
      <c r="N29" s="84"/>
      <c r="O29" s="41" t="s">
        <v>124</v>
      </c>
      <c r="P29" s="40" t="s">
        <v>125</v>
      </c>
      <c r="Q29" s="39" t="s">
        <v>126</v>
      </c>
    </row>
    <row r="30" spans="1:17" ht="29.4" thickBot="1" x14ac:dyDescent="0.35">
      <c r="A30" s="149"/>
      <c r="B30" s="97"/>
      <c r="C30" s="44" t="s">
        <v>127</v>
      </c>
      <c r="D30" s="102"/>
      <c r="E30" s="42">
        <v>4</v>
      </c>
      <c r="F30" s="42" t="s">
        <v>19</v>
      </c>
      <c r="G30" s="18">
        <f t="shared" si="6"/>
        <v>3</v>
      </c>
      <c r="H30" s="18" t="s">
        <v>19</v>
      </c>
      <c r="I30" s="18">
        <f t="shared" si="4"/>
        <v>3</v>
      </c>
      <c r="J30" s="42" t="s">
        <v>19</v>
      </c>
      <c r="K30" s="18">
        <f t="shared" si="5"/>
        <v>3</v>
      </c>
      <c r="L30" s="84"/>
      <c r="M30" s="84"/>
      <c r="N30" s="84"/>
      <c r="O30" s="41" t="s">
        <v>128</v>
      </c>
      <c r="P30" s="40" t="s">
        <v>129</v>
      </c>
      <c r="Q30" s="39" t="s">
        <v>130</v>
      </c>
    </row>
    <row r="31" spans="1:17" ht="15" thickBot="1" x14ac:dyDescent="0.35">
      <c r="A31" s="149"/>
      <c r="B31" s="97"/>
      <c r="C31" s="44" t="s">
        <v>131</v>
      </c>
      <c r="D31" s="102"/>
      <c r="E31" s="42">
        <v>3</v>
      </c>
      <c r="F31" s="42" t="s">
        <v>19</v>
      </c>
      <c r="G31" s="18">
        <f t="shared" si="6"/>
        <v>3</v>
      </c>
      <c r="H31" s="18" t="s">
        <v>19</v>
      </c>
      <c r="I31" s="18">
        <f t="shared" si="4"/>
        <v>3</v>
      </c>
      <c r="J31" s="42" t="s">
        <v>19</v>
      </c>
      <c r="K31" s="18">
        <f t="shared" si="5"/>
        <v>3</v>
      </c>
      <c r="L31" s="84"/>
      <c r="M31" s="84"/>
      <c r="N31" s="84"/>
      <c r="O31" s="41" t="s">
        <v>132</v>
      </c>
      <c r="P31" s="40" t="s">
        <v>133</v>
      </c>
      <c r="Q31" s="39" t="s">
        <v>134</v>
      </c>
    </row>
    <row r="32" spans="1:17" ht="15" thickBot="1" x14ac:dyDescent="0.35">
      <c r="A32" s="150"/>
      <c r="B32" s="98"/>
      <c r="C32" s="53" t="s">
        <v>135</v>
      </c>
      <c r="D32" s="102"/>
      <c r="E32" s="52">
        <v>4</v>
      </c>
      <c r="F32" s="52" t="s">
        <v>19</v>
      </c>
      <c r="G32" s="18">
        <f t="shared" si="6"/>
        <v>3</v>
      </c>
      <c r="H32" s="18" t="s">
        <v>19</v>
      </c>
      <c r="I32" s="18">
        <f t="shared" si="4"/>
        <v>3</v>
      </c>
      <c r="J32" s="52" t="s">
        <v>19</v>
      </c>
      <c r="K32" s="18">
        <f t="shared" si="5"/>
        <v>3</v>
      </c>
      <c r="L32" s="84"/>
      <c r="M32" s="84"/>
      <c r="N32" s="84"/>
      <c r="O32" s="51" t="s">
        <v>136</v>
      </c>
      <c r="P32" s="50" t="s">
        <v>137</v>
      </c>
      <c r="Q32" s="62" t="s">
        <v>138</v>
      </c>
    </row>
    <row r="33" spans="1:17" ht="15" thickBot="1" x14ac:dyDescent="0.35">
      <c r="A33" s="107">
        <v>6</v>
      </c>
      <c r="B33" s="109" t="s">
        <v>139</v>
      </c>
      <c r="C33" s="48" t="s">
        <v>140</v>
      </c>
      <c r="D33" s="101">
        <v>0.1</v>
      </c>
      <c r="E33" s="18">
        <v>5</v>
      </c>
      <c r="F33" s="18" t="s">
        <v>18</v>
      </c>
      <c r="G33" s="18">
        <f t="shared" si="6"/>
        <v>1</v>
      </c>
      <c r="H33" s="18" t="s">
        <v>19</v>
      </c>
      <c r="I33" s="18">
        <f t="shared" si="4"/>
        <v>3</v>
      </c>
      <c r="J33" s="18" t="s">
        <v>18</v>
      </c>
      <c r="K33" s="18">
        <f t="shared" si="5"/>
        <v>1</v>
      </c>
      <c r="L33" s="82">
        <f>AVERAGE(G33:G37)*$D33/3</f>
        <v>4.6666666666666662E-2</v>
      </c>
      <c r="M33" s="82">
        <f>AVERAGE(I33:I37)*$D33/3</f>
        <v>0.10000000000000002</v>
      </c>
      <c r="N33" s="82">
        <f>AVERAGE(K33:K37)*$D33/3</f>
        <v>0.02</v>
      </c>
      <c r="O33" s="47" t="s">
        <v>141</v>
      </c>
      <c r="P33" s="46" t="s">
        <v>142</v>
      </c>
      <c r="Q33" s="45" t="s">
        <v>143</v>
      </c>
    </row>
    <row r="34" spans="1:17" ht="15" thickBot="1" x14ac:dyDescent="0.35">
      <c r="A34" s="146"/>
      <c r="B34" s="110"/>
      <c r="C34" s="44" t="s">
        <v>144</v>
      </c>
      <c r="D34" s="102"/>
      <c r="E34" s="42">
        <v>4</v>
      </c>
      <c r="F34" s="42" t="s">
        <v>18</v>
      </c>
      <c r="G34" s="18">
        <f t="shared" si="6"/>
        <v>1</v>
      </c>
      <c r="H34" s="18" t="s">
        <v>19</v>
      </c>
      <c r="I34" s="18">
        <f t="shared" si="4"/>
        <v>3</v>
      </c>
      <c r="J34" s="42" t="s">
        <v>36</v>
      </c>
      <c r="K34" s="18">
        <f t="shared" si="5"/>
        <v>0</v>
      </c>
      <c r="L34" s="84"/>
      <c r="M34" s="84"/>
      <c r="N34" s="84"/>
      <c r="O34" s="41" t="s">
        <v>145</v>
      </c>
      <c r="P34" s="40" t="s">
        <v>146</v>
      </c>
      <c r="Q34" s="39" t="s">
        <v>147</v>
      </c>
    </row>
    <row r="35" spans="1:17" ht="15" thickBot="1" x14ac:dyDescent="0.35">
      <c r="A35" s="146"/>
      <c r="B35" s="110"/>
      <c r="C35" s="44" t="s">
        <v>148</v>
      </c>
      <c r="D35" s="102"/>
      <c r="E35" s="42">
        <v>3</v>
      </c>
      <c r="F35" s="42" t="s">
        <v>18</v>
      </c>
      <c r="G35" s="18">
        <f t="shared" si="6"/>
        <v>1</v>
      </c>
      <c r="H35" s="18" t="s">
        <v>19</v>
      </c>
      <c r="I35" s="18">
        <f t="shared" si="4"/>
        <v>3</v>
      </c>
      <c r="J35" s="42" t="s">
        <v>36</v>
      </c>
      <c r="K35" s="18">
        <f t="shared" si="5"/>
        <v>0</v>
      </c>
      <c r="L35" s="84"/>
      <c r="M35" s="84"/>
      <c r="N35" s="84"/>
      <c r="O35" s="41" t="s">
        <v>149</v>
      </c>
      <c r="P35" s="40" t="s">
        <v>150</v>
      </c>
      <c r="Q35" s="39" t="s">
        <v>151</v>
      </c>
    </row>
    <row r="36" spans="1:17" ht="15" thickBot="1" x14ac:dyDescent="0.35">
      <c r="A36" s="146"/>
      <c r="B36" s="110"/>
      <c r="C36" s="44" t="s">
        <v>152</v>
      </c>
      <c r="D36" s="102"/>
      <c r="E36" s="42">
        <v>3</v>
      </c>
      <c r="F36" s="42" t="s">
        <v>19</v>
      </c>
      <c r="G36" s="18">
        <f t="shared" si="6"/>
        <v>3</v>
      </c>
      <c r="H36" s="18" t="s">
        <v>19</v>
      </c>
      <c r="I36" s="18">
        <f t="shared" si="4"/>
        <v>3</v>
      </c>
      <c r="J36" s="42" t="s">
        <v>18</v>
      </c>
      <c r="K36" s="18">
        <f t="shared" si="5"/>
        <v>1</v>
      </c>
      <c r="L36" s="84"/>
      <c r="M36" s="84"/>
      <c r="N36" s="84"/>
      <c r="O36" s="41" t="s">
        <v>153</v>
      </c>
      <c r="P36" s="40" t="s">
        <v>154</v>
      </c>
      <c r="Q36" s="39" t="s">
        <v>155</v>
      </c>
    </row>
    <row r="37" spans="1:17" ht="15" thickBot="1" x14ac:dyDescent="0.35">
      <c r="A37" s="147"/>
      <c r="B37" s="111"/>
      <c r="C37" s="53" t="s">
        <v>156</v>
      </c>
      <c r="D37" s="102"/>
      <c r="E37" s="52">
        <v>3</v>
      </c>
      <c r="F37" s="52" t="s">
        <v>18</v>
      </c>
      <c r="G37" s="18">
        <f t="shared" si="6"/>
        <v>1</v>
      </c>
      <c r="H37" s="18" t="s">
        <v>19</v>
      </c>
      <c r="I37" s="18">
        <f t="shared" si="4"/>
        <v>3</v>
      </c>
      <c r="J37" s="52" t="s">
        <v>18</v>
      </c>
      <c r="K37" s="18">
        <f t="shared" si="5"/>
        <v>1</v>
      </c>
      <c r="L37" s="84"/>
      <c r="M37" s="84"/>
      <c r="N37" s="84"/>
      <c r="O37" s="51" t="s">
        <v>157</v>
      </c>
      <c r="P37" s="50" t="s">
        <v>158</v>
      </c>
      <c r="Q37" s="62" t="s">
        <v>159</v>
      </c>
    </row>
    <row r="38" spans="1:17" ht="15" thickBot="1" x14ac:dyDescent="0.35">
      <c r="A38" s="152">
        <v>7</v>
      </c>
      <c r="B38" s="96" t="s">
        <v>160</v>
      </c>
      <c r="C38" s="48" t="s">
        <v>161</v>
      </c>
      <c r="D38" s="101">
        <v>0.05</v>
      </c>
      <c r="E38" s="18">
        <v>2</v>
      </c>
      <c r="F38" s="18" t="s">
        <v>18</v>
      </c>
      <c r="G38" s="18">
        <f t="shared" si="6"/>
        <v>1</v>
      </c>
      <c r="H38" s="18" t="s">
        <v>19</v>
      </c>
      <c r="I38" s="18">
        <f t="shared" si="4"/>
        <v>3</v>
      </c>
      <c r="J38" s="18" t="s">
        <v>19</v>
      </c>
      <c r="K38" s="18">
        <v>1</v>
      </c>
      <c r="L38" s="82">
        <f>AVERAGE(G38:G41)*$D38/3</f>
        <v>1.6666666666666666E-2</v>
      </c>
      <c r="M38" s="82">
        <f>AVERAGE(I38:I41)*$D38/3</f>
        <v>5.000000000000001E-2</v>
      </c>
      <c r="N38" s="82">
        <f>AVERAGE(K38:K41)*$D38/3</f>
        <v>2.5000000000000005E-2</v>
      </c>
      <c r="O38" s="47" t="s">
        <v>162</v>
      </c>
      <c r="P38" s="46" t="s">
        <v>163</v>
      </c>
      <c r="Q38" s="45" t="s">
        <v>164</v>
      </c>
    </row>
    <row r="39" spans="1:17" ht="15" thickBot="1" x14ac:dyDescent="0.35">
      <c r="A39" s="104"/>
      <c r="B39" s="97"/>
      <c r="C39" s="44" t="s">
        <v>165</v>
      </c>
      <c r="D39" s="102"/>
      <c r="E39" s="42">
        <v>4</v>
      </c>
      <c r="F39" s="42" t="s">
        <v>36</v>
      </c>
      <c r="G39" s="18">
        <f t="shared" si="6"/>
        <v>0</v>
      </c>
      <c r="H39" s="18" t="s">
        <v>19</v>
      </c>
      <c r="I39" s="18">
        <f t="shared" si="4"/>
        <v>3</v>
      </c>
      <c r="J39" s="42" t="s">
        <v>19</v>
      </c>
      <c r="K39" s="18">
        <v>1</v>
      </c>
      <c r="L39" s="84"/>
      <c r="M39" s="84"/>
      <c r="N39" s="84"/>
      <c r="O39" s="41" t="s">
        <v>166</v>
      </c>
      <c r="P39" s="40" t="s">
        <v>167</v>
      </c>
      <c r="Q39" s="39" t="s">
        <v>168</v>
      </c>
    </row>
    <row r="40" spans="1:17" ht="15" thickBot="1" x14ac:dyDescent="0.35">
      <c r="A40" s="104"/>
      <c r="B40" s="97"/>
      <c r="C40" s="44" t="s">
        <v>169</v>
      </c>
      <c r="D40" s="102"/>
      <c r="E40" s="42">
        <v>2</v>
      </c>
      <c r="F40" s="42" t="s">
        <v>36</v>
      </c>
      <c r="G40" s="18">
        <f t="shared" si="6"/>
        <v>0</v>
      </c>
      <c r="H40" s="18" t="s">
        <v>19</v>
      </c>
      <c r="I40" s="18">
        <f t="shared" si="4"/>
        <v>3</v>
      </c>
      <c r="J40" s="42" t="s">
        <v>18</v>
      </c>
      <c r="K40" s="18">
        <f t="shared" ref="K40:K68" si="7">IF(J40="C",3,IF(J40="PC",1,IF(J40="NC",0,"")))</f>
        <v>1</v>
      </c>
      <c r="L40" s="84"/>
      <c r="M40" s="84"/>
      <c r="N40" s="84"/>
      <c r="O40" s="41" t="s">
        <v>170</v>
      </c>
      <c r="P40" s="40" t="s">
        <v>171</v>
      </c>
      <c r="Q40" s="39" t="s">
        <v>172</v>
      </c>
    </row>
    <row r="41" spans="1:17" ht="15" thickBot="1" x14ac:dyDescent="0.35">
      <c r="A41" s="153"/>
      <c r="B41" s="154"/>
      <c r="C41" s="72" t="s">
        <v>173</v>
      </c>
      <c r="D41" s="112"/>
      <c r="E41" s="71">
        <v>4</v>
      </c>
      <c r="F41" s="71" t="s">
        <v>19</v>
      </c>
      <c r="G41" s="18">
        <f t="shared" si="6"/>
        <v>3</v>
      </c>
      <c r="H41" s="18" t="s">
        <v>19</v>
      </c>
      <c r="I41" s="18">
        <f t="shared" si="4"/>
        <v>3</v>
      </c>
      <c r="J41" s="71" t="s">
        <v>19</v>
      </c>
      <c r="K41" s="18">
        <f t="shared" si="7"/>
        <v>3</v>
      </c>
      <c r="L41" s="85"/>
      <c r="M41" s="85"/>
      <c r="N41" s="85"/>
      <c r="O41" s="70" t="s">
        <v>174</v>
      </c>
      <c r="P41" s="69" t="s">
        <v>175</v>
      </c>
      <c r="Q41" s="68" t="s">
        <v>176</v>
      </c>
    </row>
    <row r="42" spans="1:17" ht="15" thickBot="1" x14ac:dyDescent="0.35">
      <c r="A42" s="119">
        <v>8</v>
      </c>
      <c r="B42" s="119" t="s">
        <v>177</v>
      </c>
      <c r="C42" s="67" t="s">
        <v>178</v>
      </c>
      <c r="D42" s="122">
        <v>0.08</v>
      </c>
      <c r="E42" s="66">
        <v>5</v>
      </c>
      <c r="F42" s="66" t="s">
        <v>19</v>
      </c>
      <c r="G42" s="18">
        <v>1</v>
      </c>
      <c r="H42" s="66" t="s">
        <v>18</v>
      </c>
      <c r="I42" s="18">
        <f t="shared" si="4"/>
        <v>1</v>
      </c>
      <c r="J42" s="66" t="s">
        <v>19</v>
      </c>
      <c r="K42" s="18">
        <f t="shared" si="7"/>
        <v>3</v>
      </c>
      <c r="L42" s="82">
        <f>AVERAGE(G42:G45)*$D42/3</f>
        <v>3.3333333333333333E-2</v>
      </c>
      <c r="M42" s="82">
        <f>AVERAGE(I42:I45)*$D42/3</f>
        <v>2.6666666666666668E-2</v>
      </c>
      <c r="N42" s="82">
        <f>AVERAGE(K42:K45)*$D42/3</f>
        <v>5.3333333333333337E-2</v>
      </c>
      <c r="O42" s="65" t="s">
        <v>179</v>
      </c>
      <c r="P42" s="64" t="s">
        <v>180</v>
      </c>
      <c r="Q42" s="63" t="s">
        <v>181</v>
      </c>
    </row>
    <row r="43" spans="1:17" ht="15" thickBot="1" x14ac:dyDescent="0.35">
      <c r="A43" s="120"/>
      <c r="B43" s="120"/>
      <c r="C43" s="44" t="s">
        <v>182</v>
      </c>
      <c r="D43" s="120"/>
      <c r="E43" s="42">
        <v>3</v>
      </c>
      <c r="F43" s="42" t="s">
        <v>19</v>
      </c>
      <c r="G43" s="18">
        <v>1</v>
      </c>
      <c r="H43" s="42" t="s">
        <v>36</v>
      </c>
      <c r="I43" s="18">
        <f t="shared" si="4"/>
        <v>0</v>
      </c>
      <c r="J43" s="42" t="s">
        <v>18</v>
      </c>
      <c r="K43" s="18">
        <f t="shared" si="7"/>
        <v>1</v>
      </c>
      <c r="L43" s="84"/>
      <c r="M43" s="84"/>
      <c r="N43" s="84"/>
      <c r="O43" s="41" t="s">
        <v>183</v>
      </c>
      <c r="P43" s="40" t="s">
        <v>184</v>
      </c>
      <c r="Q43" s="54" t="s">
        <v>185</v>
      </c>
    </row>
    <row r="44" spans="1:17" ht="15" thickBot="1" x14ac:dyDescent="0.35">
      <c r="A44" s="120"/>
      <c r="B44" s="120"/>
      <c r="C44" s="53" t="s">
        <v>186</v>
      </c>
      <c r="D44" s="120"/>
      <c r="E44" s="52">
        <v>1</v>
      </c>
      <c r="F44" s="52" t="s">
        <v>36</v>
      </c>
      <c r="G44" s="18">
        <f t="shared" ref="G44:G68" si="8">IF(F44="C",3,IF(F44="PC",1,IF(F44="NC",0,"")))</f>
        <v>0</v>
      </c>
      <c r="H44" s="52" t="s">
        <v>36</v>
      </c>
      <c r="I44" s="18">
        <f t="shared" si="4"/>
        <v>0</v>
      </c>
      <c r="J44" s="52" t="s">
        <v>18</v>
      </c>
      <c r="K44" s="18">
        <f t="shared" si="7"/>
        <v>1</v>
      </c>
      <c r="L44" s="84"/>
      <c r="M44" s="84"/>
      <c r="N44" s="84"/>
      <c r="O44" s="51" t="s">
        <v>187</v>
      </c>
      <c r="P44" s="50" t="s">
        <v>188</v>
      </c>
      <c r="Q44" s="62" t="s">
        <v>189</v>
      </c>
    </row>
    <row r="45" spans="1:17" ht="15" thickBot="1" x14ac:dyDescent="0.35">
      <c r="A45" s="121"/>
      <c r="B45" s="121"/>
      <c r="C45" s="61" t="s">
        <v>190</v>
      </c>
      <c r="D45" s="121"/>
      <c r="E45" s="60">
        <v>3</v>
      </c>
      <c r="F45" s="60" t="s">
        <v>19</v>
      </c>
      <c r="G45" s="18">
        <f t="shared" si="8"/>
        <v>3</v>
      </c>
      <c r="H45" s="43" t="s">
        <v>19</v>
      </c>
      <c r="I45" s="18">
        <f t="shared" si="4"/>
        <v>3</v>
      </c>
      <c r="J45" s="60" t="s">
        <v>19</v>
      </c>
      <c r="K45" s="18">
        <f t="shared" si="7"/>
        <v>3</v>
      </c>
      <c r="L45" s="86"/>
      <c r="M45" s="86"/>
      <c r="N45" s="86"/>
      <c r="O45" s="41" t="s">
        <v>191</v>
      </c>
      <c r="P45" s="40" t="s">
        <v>192</v>
      </c>
      <c r="Q45" s="54" t="s">
        <v>193</v>
      </c>
    </row>
    <row r="46" spans="1:17" ht="15" thickBot="1" x14ac:dyDescent="0.35">
      <c r="A46" s="59">
        <v>9</v>
      </c>
      <c r="B46" s="58" t="s">
        <v>194</v>
      </c>
      <c r="C46" s="58" t="s">
        <v>195</v>
      </c>
      <c r="D46" s="57">
        <v>0.06</v>
      </c>
      <c r="E46" s="56">
        <v>3</v>
      </c>
      <c r="F46" s="56" t="s">
        <v>18</v>
      </c>
      <c r="G46" s="18">
        <f t="shared" si="8"/>
        <v>1</v>
      </c>
      <c r="H46" s="43" t="s">
        <v>18</v>
      </c>
      <c r="I46" s="18">
        <f t="shared" si="4"/>
        <v>1</v>
      </c>
      <c r="J46" s="56" t="s">
        <v>19</v>
      </c>
      <c r="K46" s="18">
        <f t="shared" si="7"/>
        <v>3</v>
      </c>
      <c r="L46" s="82">
        <f>AVERAGE(G46:G46)*$D46/3</f>
        <v>0.02</v>
      </c>
      <c r="M46" s="82">
        <f>AVERAGE(I46:I46)*$D46/3</f>
        <v>0.02</v>
      </c>
      <c r="N46" s="82">
        <f>AVERAGE(K46:K46)*$D46/3</f>
        <v>0.06</v>
      </c>
      <c r="O46" s="41" t="s">
        <v>196</v>
      </c>
      <c r="P46" s="40" t="s">
        <v>197</v>
      </c>
      <c r="Q46" s="54" t="s">
        <v>198</v>
      </c>
    </row>
    <row r="47" spans="1:17" ht="15" thickBot="1" x14ac:dyDescent="0.35">
      <c r="A47" s="155">
        <v>10</v>
      </c>
      <c r="B47" s="158" t="s">
        <v>199</v>
      </c>
      <c r="C47" s="55" t="s">
        <v>200</v>
      </c>
      <c r="D47" s="161">
        <v>0.04</v>
      </c>
      <c r="E47" s="43">
        <v>4</v>
      </c>
      <c r="F47" s="43" t="s">
        <v>18</v>
      </c>
      <c r="G47" s="18">
        <f t="shared" si="8"/>
        <v>1</v>
      </c>
      <c r="H47" s="43" t="s">
        <v>19</v>
      </c>
      <c r="I47" s="18">
        <f t="shared" si="4"/>
        <v>3</v>
      </c>
      <c r="J47" s="43" t="s">
        <v>19</v>
      </c>
      <c r="K47" s="18">
        <f t="shared" si="7"/>
        <v>3</v>
      </c>
      <c r="L47" s="82">
        <f>AVERAGE(G47:G49)*$D47/3</f>
        <v>2.2222222222222223E-2</v>
      </c>
      <c r="M47" s="82">
        <f>AVERAGE(I47:I49)*$D47/3</f>
        <v>0.04</v>
      </c>
      <c r="N47" s="82">
        <f>AVERAGE(K47:K49)*$D47/3</f>
        <v>0.04</v>
      </c>
      <c r="O47" s="41" t="s">
        <v>201</v>
      </c>
      <c r="P47" s="40" t="s">
        <v>202</v>
      </c>
      <c r="Q47" s="54" t="s">
        <v>203</v>
      </c>
    </row>
    <row r="48" spans="1:17" ht="15" thickBot="1" x14ac:dyDescent="0.35">
      <c r="A48" s="156"/>
      <c r="B48" s="159"/>
      <c r="C48" s="44" t="s">
        <v>204</v>
      </c>
      <c r="D48" s="102"/>
      <c r="E48" s="42">
        <v>3</v>
      </c>
      <c r="F48" s="42" t="s">
        <v>18</v>
      </c>
      <c r="G48" s="18">
        <f t="shared" si="8"/>
        <v>1</v>
      </c>
      <c r="H48" s="43" t="s">
        <v>19</v>
      </c>
      <c r="I48" s="18">
        <f t="shared" si="4"/>
        <v>3</v>
      </c>
      <c r="J48" s="42" t="s">
        <v>19</v>
      </c>
      <c r="K48" s="18">
        <f t="shared" si="7"/>
        <v>3</v>
      </c>
      <c r="L48" s="84"/>
      <c r="M48" s="84"/>
      <c r="N48" s="84"/>
      <c r="O48" s="41" t="s">
        <v>205</v>
      </c>
      <c r="P48" s="40" t="s">
        <v>206</v>
      </c>
      <c r="Q48" s="54" t="s">
        <v>207</v>
      </c>
    </row>
    <row r="49" spans="1:17" ht="15" thickBot="1" x14ac:dyDescent="0.35">
      <c r="A49" s="157"/>
      <c r="B49" s="160"/>
      <c r="C49" s="53" t="s">
        <v>208</v>
      </c>
      <c r="D49" s="102"/>
      <c r="E49" s="52">
        <v>2</v>
      </c>
      <c r="F49" s="52" t="s">
        <v>19</v>
      </c>
      <c r="G49" s="18">
        <f t="shared" si="8"/>
        <v>3</v>
      </c>
      <c r="H49" s="43" t="s">
        <v>19</v>
      </c>
      <c r="I49" s="18">
        <f t="shared" si="4"/>
        <v>3</v>
      </c>
      <c r="J49" s="52" t="s">
        <v>19</v>
      </c>
      <c r="K49" s="18">
        <f t="shared" si="7"/>
        <v>3</v>
      </c>
      <c r="L49" s="84"/>
      <c r="M49" s="84"/>
      <c r="N49" s="84"/>
      <c r="O49" s="51" t="s">
        <v>209</v>
      </c>
      <c r="P49" s="50" t="s">
        <v>210</v>
      </c>
      <c r="Q49" s="49" t="s">
        <v>211</v>
      </c>
    </row>
    <row r="50" spans="1:17" ht="14.7" customHeight="1" thickBot="1" x14ac:dyDescent="0.35">
      <c r="A50" s="142">
        <v>11</v>
      </c>
      <c r="B50" s="142" t="s">
        <v>212</v>
      </c>
      <c r="C50" s="48" t="s">
        <v>213</v>
      </c>
      <c r="D50" s="144">
        <v>0.04</v>
      </c>
      <c r="E50" s="18">
        <v>3</v>
      </c>
      <c r="F50" s="18" t="s">
        <v>19</v>
      </c>
      <c r="G50" s="18">
        <f t="shared" si="8"/>
        <v>3</v>
      </c>
      <c r="H50" s="43" t="s">
        <v>19</v>
      </c>
      <c r="I50" s="18">
        <f t="shared" si="4"/>
        <v>3</v>
      </c>
      <c r="J50" s="18" t="s">
        <v>19</v>
      </c>
      <c r="K50" s="18">
        <f t="shared" si="7"/>
        <v>3</v>
      </c>
      <c r="L50" s="82">
        <f>AVERAGE(G50:G54)*$D50/3</f>
        <v>3.4666666666666672E-2</v>
      </c>
      <c r="M50" s="82">
        <f>AVERAGE(I50:I54)*$D50/3</f>
        <v>3.4666666666666672E-2</v>
      </c>
      <c r="N50" s="82">
        <f>AVERAGE(K50:K54)*$D50/3</f>
        <v>2.9333333333333336E-2</v>
      </c>
      <c r="O50" s="47" t="s">
        <v>214</v>
      </c>
      <c r="P50" s="46" t="s">
        <v>215</v>
      </c>
      <c r="Q50" s="45" t="s">
        <v>216</v>
      </c>
    </row>
    <row r="51" spans="1:17" ht="15" thickBot="1" x14ac:dyDescent="0.35">
      <c r="A51" s="108"/>
      <c r="B51" s="108"/>
      <c r="C51" s="44" t="s">
        <v>217</v>
      </c>
      <c r="D51" s="108"/>
      <c r="E51" s="42">
        <v>2</v>
      </c>
      <c r="F51" s="42" t="s">
        <v>19</v>
      </c>
      <c r="G51" s="18">
        <f t="shared" si="8"/>
        <v>3</v>
      </c>
      <c r="H51" s="43" t="s">
        <v>19</v>
      </c>
      <c r="I51" s="18">
        <f t="shared" si="4"/>
        <v>3</v>
      </c>
      <c r="J51" s="42" t="s">
        <v>19</v>
      </c>
      <c r="K51" s="18">
        <f t="shared" si="7"/>
        <v>3</v>
      </c>
      <c r="L51" s="84"/>
      <c r="M51" s="84"/>
      <c r="N51" s="84"/>
      <c r="O51" s="41" t="s">
        <v>218</v>
      </c>
      <c r="P51" s="40" t="s">
        <v>219</v>
      </c>
      <c r="Q51" s="39" t="s">
        <v>220</v>
      </c>
    </row>
    <row r="52" spans="1:17" ht="15" thickBot="1" x14ac:dyDescent="0.35">
      <c r="A52" s="108"/>
      <c r="B52" s="108"/>
      <c r="C52" s="44" t="s">
        <v>221</v>
      </c>
      <c r="D52" s="108"/>
      <c r="E52" s="42">
        <v>3</v>
      </c>
      <c r="F52" s="42" t="s">
        <v>19</v>
      </c>
      <c r="G52" s="18">
        <f t="shared" si="8"/>
        <v>3</v>
      </c>
      <c r="H52" s="43" t="s">
        <v>19</v>
      </c>
      <c r="I52" s="18">
        <f t="shared" si="4"/>
        <v>3</v>
      </c>
      <c r="J52" s="42" t="s">
        <v>18</v>
      </c>
      <c r="K52" s="18">
        <f t="shared" si="7"/>
        <v>1</v>
      </c>
      <c r="L52" s="84"/>
      <c r="M52" s="84"/>
      <c r="N52" s="84"/>
      <c r="O52" s="41" t="s">
        <v>222</v>
      </c>
      <c r="P52" s="40" t="s">
        <v>223</v>
      </c>
      <c r="Q52" s="39" t="s">
        <v>224</v>
      </c>
    </row>
    <row r="53" spans="1:17" ht="15" thickBot="1" x14ac:dyDescent="0.35">
      <c r="A53" s="108"/>
      <c r="B53" s="108"/>
      <c r="C53" s="44" t="s">
        <v>225</v>
      </c>
      <c r="D53" s="108"/>
      <c r="E53" s="42">
        <v>3</v>
      </c>
      <c r="F53" s="42" t="s">
        <v>18</v>
      </c>
      <c r="G53" s="18">
        <f t="shared" si="8"/>
        <v>1</v>
      </c>
      <c r="H53" s="43" t="s">
        <v>19</v>
      </c>
      <c r="I53" s="18">
        <f t="shared" si="4"/>
        <v>3</v>
      </c>
      <c r="J53" s="42" t="s">
        <v>18</v>
      </c>
      <c r="K53" s="18">
        <f t="shared" si="7"/>
        <v>1</v>
      </c>
      <c r="L53" s="84"/>
      <c r="M53" s="84"/>
      <c r="N53" s="84"/>
      <c r="O53" s="41" t="s">
        <v>226</v>
      </c>
      <c r="P53" s="40" t="s">
        <v>227</v>
      </c>
      <c r="Q53" s="39" t="s">
        <v>228</v>
      </c>
    </row>
    <row r="54" spans="1:17" ht="15" thickBot="1" x14ac:dyDescent="0.35">
      <c r="A54" s="143"/>
      <c r="B54" s="143"/>
      <c r="C54" s="44" t="s">
        <v>229</v>
      </c>
      <c r="D54" s="143"/>
      <c r="E54" s="42">
        <v>2</v>
      </c>
      <c r="F54" s="42" t="s">
        <v>19</v>
      </c>
      <c r="G54" s="18">
        <f t="shared" si="8"/>
        <v>3</v>
      </c>
      <c r="H54" s="43" t="s">
        <v>18</v>
      </c>
      <c r="I54" s="18">
        <f t="shared" si="4"/>
        <v>1</v>
      </c>
      <c r="J54" s="42" t="s">
        <v>19</v>
      </c>
      <c r="K54" s="18">
        <f t="shared" si="7"/>
        <v>3</v>
      </c>
      <c r="L54" s="84"/>
      <c r="M54" s="84"/>
      <c r="N54" s="84"/>
      <c r="O54" s="41" t="s">
        <v>230</v>
      </c>
      <c r="P54" s="40" t="s">
        <v>231</v>
      </c>
      <c r="Q54" s="39" t="s">
        <v>232</v>
      </c>
    </row>
    <row r="55" spans="1:17" ht="58.2" customHeight="1" thickBot="1" x14ac:dyDescent="0.35">
      <c r="A55" s="133">
        <v>12</v>
      </c>
      <c r="B55" s="130" t="s">
        <v>233</v>
      </c>
      <c r="C55" s="24" t="s">
        <v>234</v>
      </c>
      <c r="D55" s="124">
        <v>0.04</v>
      </c>
      <c r="E55" s="20"/>
      <c r="F55" s="25" t="s">
        <v>18</v>
      </c>
      <c r="G55" s="18">
        <f t="shared" si="8"/>
        <v>1</v>
      </c>
      <c r="H55" s="20" t="s">
        <v>19</v>
      </c>
      <c r="I55" s="18">
        <f t="shared" si="4"/>
        <v>3</v>
      </c>
      <c r="J55" s="25" t="s">
        <v>19</v>
      </c>
      <c r="K55" s="18">
        <f t="shared" si="7"/>
        <v>3</v>
      </c>
      <c r="L55" s="82">
        <f>AVERAGE(G55:G57)*$D55/3</f>
        <v>1.3333333333333334E-2</v>
      </c>
      <c r="M55" s="82">
        <f>AVERAGE(I55:I57)*$D55/3</f>
        <v>0.04</v>
      </c>
      <c r="N55" s="82">
        <f>AVERAGE(K55:K57)*$D55/3</f>
        <v>0.04</v>
      </c>
      <c r="O55" s="24" t="s">
        <v>235</v>
      </c>
      <c r="P55" s="24" t="s">
        <v>236</v>
      </c>
      <c r="Q55" s="33" t="s">
        <v>237</v>
      </c>
    </row>
    <row r="56" spans="1:17" ht="29.4" thickBot="1" x14ac:dyDescent="0.35">
      <c r="A56" s="134"/>
      <c r="B56" s="131"/>
      <c r="C56" s="21" t="s">
        <v>238</v>
      </c>
      <c r="D56" s="125"/>
      <c r="E56" s="22"/>
      <c r="F56" s="19" t="s">
        <v>18</v>
      </c>
      <c r="G56" s="18">
        <f t="shared" si="8"/>
        <v>1</v>
      </c>
      <c r="H56" s="20" t="s">
        <v>19</v>
      </c>
      <c r="I56" s="18">
        <f t="shared" si="4"/>
        <v>3</v>
      </c>
      <c r="J56" s="19" t="s">
        <v>19</v>
      </c>
      <c r="K56" s="18">
        <f t="shared" si="7"/>
        <v>3</v>
      </c>
      <c r="L56" s="87"/>
      <c r="M56" s="87"/>
      <c r="N56" s="87"/>
      <c r="O56" s="17" t="s">
        <v>239</v>
      </c>
      <c r="P56" s="17" t="s">
        <v>240</v>
      </c>
      <c r="Q56" s="31" t="s">
        <v>241</v>
      </c>
    </row>
    <row r="57" spans="1:17" ht="43.8" thickBot="1" x14ac:dyDescent="0.35">
      <c r="A57" s="135"/>
      <c r="B57" s="132"/>
      <c r="C57" s="38" t="s">
        <v>242</v>
      </c>
      <c r="D57" s="126"/>
      <c r="E57" s="37"/>
      <c r="F57" s="36" t="s">
        <v>18</v>
      </c>
      <c r="G57" s="18">
        <f t="shared" si="8"/>
        <v>1</v>
      </c>
      <c r="H57" s="20" t="s">
        <v>19</v>
      </c>
      <c r="I57" s="18">
        <f t="shared" si="4"/>
        <v>3</v>
      </c>
      <c r="J57" s="36" t="s">
        <v>19</v>
      </c>
      <c r="K57" s="18">
        <f t="shared" si="7"/>
        <v>3</v>
      </c>
      <c r="L57" s="88"/>
      <c r="M57" s="88"/>
      <c r="N57" s="88"/>
      <c r="O57" s="35" t="s">
        <v>243</v>
      </c>
      <c r="P57" s="35" t="s">
        <v>244</v>
      </c>
      <c r="Q57" s="34" t="s">
        <v>245</v>
      </c>
    </row>
    <row r="58" spans="1:17" ht="43.5" customHeight="1" thickBot="1" x14ac:dyDescent="0.35">
      <c r="A58" s="139">
        <v>13</v>
      </c>
      <c r="B58" s="136" t="s">
        <v>246</v>
      </c>
      <c r="C58" s="26" t="s">
        <v>247</v>
      </c>
      <c r="D58" s="124">
        <v>0.04</v>
      </c>
      <c r="E58" s="20"/>
      <c r="F58" s="25" t="s">
        <v>18</v>
      </c>
      <c r="G58" s="18">
        <f t="shared" si="8"/>
        <v>1</v>
      </c>
      <c r="H58" s="20" t="s">
        <v>19</v>
      </c>
      <c r="I58" s="18">
        <f t="shared" si="4"/>
        <v>3</v>
      </c>
      <c r="J58" s="25" t="s">
        <v>18</v>
      </c>
      <c r="K58" s="18">
        <f t="shared" si="7"/>
        <v>1</v>
      </c>
      <c r="L58" s="82">
        <f>AVERAGE(G58:G61)*$D58/3</f>
        <v>2.3333333333333334E-2</v>
      </c>
      <c r="M58" s="82">
        <f>AVERAGE(I58:I61)*$D58/3</f>
        <v>0.04</v>
      </c>
      <c r="N58" s="82">
        <f>AVERAGE(K58:K61)*$D58/3</f>
        <v>2.6666666666666668E-2</v>
      </c>
      <c r="O58" s="24" t="s">
        <v>248</v>
      </c>
      <c r="P58" s="24" t="s">
        <v>249</v>
      </c>
      <c r="Q58" s="33" t="s">
        <v>250</v>
      </c>
    </row>
    <row r="59" spans="1:17" ht="29.4" thickBot="1" x14ac:dyDescent="0.35">
      <c r="A59" s="140"/>
      <c r="B59" s="137"/>
      <c r="C59" s="21" t="s">
        <v>251</v>
      </c>
      <c r="D59" s="125"/>
      <c r="E59" s="21"/>
      <c r="F59" s="19" t="s">
        <v>19</v>
      </c>
      <c r="G59" s="18">
        <f t="shared" si="8"/>
        <v>3</v>
      </c>
      <c r="H59" s="20" t="s">
        <v>19</v>
      </c>
      <c r="I59" s="18">
        <f t="shared" si="4"/>
        <v>3</v>
      </c>
      <c r="J59" s="32" t="s">
        <v>19</v>
      </c>
      <c r="K59" s="18">
        <f t="shared" si="7"/>
        <v>3</v>
      </c>
      <c r="L59" s="87"/>
      <c r="M59" s="87"/>
      <c r="N59" s="87"/>
      <c r="O59" s="17" t="s">
        <v>252</v>
      </c>
      <c r="P59" s="17" t="s">
        <v>253</v>
      </c>
      <c r="Q59" s="31" t="s">
        <v>254</v>
      </c>
    </row>
    <row r="60" spans="1:17" ht="29.4" thickBot="1" x14ac:dyDescent="0.35">
      <c r="A60" s="140"/>
      <c r="B60" s="137"/>
      <c r="C60" s="21" t="s">
        <v>255</v>
      </c>
      <c r="D60" s="125"/>
      <c r="E60" s="21"/>
      <c r="F60" s="19" t="s">
        <v>19</v>
      </c>
      <c r="G60" s="18">
        <f t="shared" si="8"/>
        <v>3</v>
      </c>
      <c r="H60" s="20" t="s">
        <v>19</v>
      </c>
      <c r="I60" s="18">
        <f t="shared" si="4"/>
        <v>3</v>
      </c>
      <c r="J60" s="19" t="s">
        <v>19</v>
      </c>
      <c r="K60" s="18">
        <f t="shared" si="7"/>
        <v>3</v>
      </c>
      <c r="L60" s="87"/>
      <c r="M60" s="87"/>
      <c r="N60" s="87"/>
      <c r="O60" s="17" t="s">
        <v>256</v>
      </c>
      <c r="P60" s="17" t="s">
        <v>257</v>
      </c>
      <c r="Q60" s="31" t="s">
        <v>258</v>
      </c>
    </row>
    <row r="61" spans="1:17" ht="43.8" thickBot="1" x14ac:dyDescent="0.35">
      <c r="A61" s="141"/>
      <c r="B61" s="138"/>
      <c r="C61" s="30" t="s">
        <v>259</v>
      </c>
      <c r="D61" s="126"/>
      <c r="E61" s="30"/>
      <c r="F61" s="29" t="s">
        <v>36</v>
      </c>
      <c r="G61" s="18">
        <f t="shared" si="8"/>
        <v>0</v>
      </c>
      <c r="H61" s="20" t="s">
        <v>19</v>
      </c>
      <c r="I61" s="18">
        <f t="shared" si="4"/>
        <v>3</v>
      </c>
      <c r="J61" s="29" t="s">
        <v>18</v>
      </c>
      <c r="K61" s="18">
        <f t="shared" si="7"/>
        <v>1</v>
      </c>
      <c r="L61" s="88"/>
      <c r="M61" s="88"/>
      <c r="N61" s="88"/>
      <c r="O61" s="28" t="s">
        <v>260</v>
      </c>
      <c r="P61" s="28" t="s">
        <v>261</v>
      </c>
      <c r="Q61" s="27" t="s">
        <v>262</v>
      </c>
    </row>
    <row r="62" spans="1:17" ht="29.4" thickBot="1" x14ac:dyDescent="0.35">
      <c r="A62" s="129">
        <v>14</v>
      </c>
      <c r="B62" s="129" t="s">
        <v>263</v>
      </c>
      <c r="C62" s="26" t="s">
        <v>264</v>
      </c>
      <c r="D62" s="124">
        <v>0.04</v>
      </c>
      <c r="E62" s="26"/>
      <c r="F62" s="25" t="s">
        <v>19</v>
      </c>
      <c r="G62" s="18">
        <f t="shared" si="8"/>
        <v>3</v>
      </c>
      <c r="H62" s="20" t="s">
        <v>19</v>
      </c>
      <c r="I62" s="18">
        <f t="shared" si="4"/>
        <v>3</v>
      </c>
      <c r="J62" s="25" t="s">
        <v>19</v>
      </c>
      <c r="K62" s="18">
        <f t="shared" si="7"/>
        <v>3</v>
      </c>
      <c r="L62" s="82">
        <f>AVERAGE(G62:G64)*$D62/3</f>
        <v>3.1111111111111114E-2</v>
      </c>
      <c r="M62" s="82">
        <f>AVERAGE(I62:I64)*$D62/3</f>
        <v>0.04</v>
      </c>
      <c r="N62" s="82">
        <f>AVERAGE(K62:K64)*$D62/3</f>
        <v>0.04</v>
      </c>
      <c r="O62" s="24" t="s">
        <v>265</v>
      </c>
      <c r="P62" s="24" t="s">
        <v>266</v>
      </c>
      <c r="Q62" s="23" t="s">
        <v>267</v>
      </c>
    </row>
    <row r="63" spans="1:17" ht="29.4" thickBot="1" x14ac:dyDescent="0.35">
      <c r="A63" s="123"/>
      <c r="B63" s="123"/>
      <c r="C63" s="21" t="s">
        <v>268</v>
      </c>
      <c r="D63" s="125"/>
      <c r="E63" s="21"/>
      <c r="F63" s="19" t="s">
        <v>19</v>
      </c>
      <c r="G63" s="18">
        <f t="shared" si="8"/>
        <v>3</v>
      </c>
      <c r="H63" s="20" t="s">
        <v>19</v>
      </c>
      <c r="I63" s="18">
        <f t="shared" si="4"/>
        <v>3</v>
      </c>
      <c r="J63" s="19" t="s">
        <v>19</v>
      </c>
      <c r="K63" s="18">
        <f t="shared" si="7"/>
        <v>3</v>
      </c>
      <c r="L63" s="87"/>
      <c r="M63" s="87"/>
      <c r="N63" s="87"/>
      <c r="O63" s="17" t="s">
        <v>269</v>
      </c>
      <c r="P63" s="17" t="s">
        <v>270</v>
      </c>
      <c r="Q63" s="16" t="s">
        <v>271</v>
      </c>
    </row>
    <row r="64" spans="1:17" ht="29.4" thickBot="1" x14ac:dyDescent="0.35">
      <c r="A64" s="123"/>
      <c r="B64" s="123"/>
      <c r="C64" s="21" t="s">
        <v>272</v>
      </c>
      <c r="D64" s="127"/>
      <c r="E64" s="21"/>
      <c r="F64" s="19" t="s">
        <v>18</v>
      </c>
      <c r="G64" s="18">
        <f t="shared" si="8"/>
        <v>1</v>
      </c>
      <c r="H64" s="20" t="s">
        <v>19</v>
      </c>
      <c r="I64" s="18">
        <f t="shared" si="4"/>
        <v>3</v>
      </c>
      <c r="J64" s="19" t="s">
        <v>19</v>
      </c>
      <c r="K64" s="18">
        <f t="shared" si="7"/>
        <v>3</v>
      </c>
      <c r="L64" s="89"/>
      <c r="M64" s="89"/>
      <c r="N64" s="89"/>
      <c r="O64" s="17" t="s">
        <v>273</v>
      </c>
      <c r="P64" s="17" t="s">
        <v>274</v>
      </c>
      <c r="Q64" s="16" t="s">
        <v>275</v>
      </c>
    </row>
    <row r="65" spans="1:17" ht="29.4" thickBot="1" x14ac:dyDescent="0.35">
      <c r="A65" s="123">
        <v>15</v>
      </c>
      <c r="B65" s="123" t="s">
        <v>276</v>
      </c>
      <c r="C65" s="21" t="s">
        <v>277</v>
      </c>
      <c r="D65" s="128">
        <v>7.0000000000000007E-2</v>
      </c>
      <c r="E65" s="21"/>
      <c r="F65" s="19" t="s">
        <v>19</v>
      </c>
      <c r="G65" s="18">
        <f t="shared" si="8"/>
        <v>3</v>
      </c>
      <c r="H65" s="22" t="s">
        <v>18</v>
      </c>
      <c r="I65" s="18">
        <f t="shared" si="4"/>
        <v>1</v>
      </c>
      <c r="J65" s="19" t="s">
        <v>18</v>
      </c>
      <c r="K65" s="18">
        <f t="shared" si="7"/>
        <v>1</v>
      </c>
      <c r="L65" s="82">
        <f>AVERAGE(G65:G68)*$D65/3</f>
        <v>5.8333333333333341E-2</v>
      </c>
      <c r="M65" s="82">
        <f>AVERAGE(I65:I68)*$D65/3</f>
        <v>5.8333333333333341E-2</v>
      </c>
      <c r="N65" s="82">
        <f>AVERAGE(K65:K68)*$D65/3</f>
        <v>5.8333333333333341E-2</v>
      </c>
      <c r="O65" s="17" t="s">
        <v>278</v>
      </c>
      <c r="P65" s="17" t="s">
        <v>279</v>
      </c>
      <c r="Q65" s="16" t="s">
        <v>280</v>
      </c>
    </row>
    <row r="66" spans="1:17" ht="29.4" thickBot="1" x14ac:dyDescent="0.35">
      <c r="A66" s="123"/>
      <c r="B66" s="123"/>
      <c r="C66" s="21" t="s">
        <v>281</v>
      </c>
      <c r="D66" s="125"/>
      <c r="E66" s="21"/>
      <c r="F66" s="19" t="s">
        <v>19</v>
      </c>
      <c r="G66" s="18">
        <f t="shared" si="8"/>
        <v>3</v>
      </c>
      <c r="H66" s="20" t="s">
        <v>19</v>
      </c>
      <c r="I66" s="18">
        <f t="shared" si="4"/>
        <v>3</v>
      </c>
      <c r="J66" s="19" t="s">
        <v>19</v>
      </c>
      <c r="K66" s="18">
        <f t="shared" si="7"/>
        <v>3</v>
      </c>
      <c r="L66" s="87"/>
      <c r="M66" s="87"/>
      <c r="N66" s="87"/>
      <c r="O66" s="17" t="s">
        <v>282</v>
      </c>
      <c r="P66" s="17" t="s">
        <v>283</v>
      </c>
      <c r="Q66" s="16" t="s">
        <v>284</v>
      </c>
    </row>
    <row r="67" spans="1:17" ht="29.4" thickBot="1" x14ac:dyDescent="0.35">
      <c r="A67" s="123"/>
      <c r="B67" s="123"/>
      <c r="C67" s="21" t="s">
        <v>285</v>
      </c>
      <c r="D67" s="125"/>
      <c r="E67" s="21"/>
      <c r="F67" s="19" t="s">
        <v>18</v>
      </c>
      <c r="G67" s="18">
        <f t="shared" si="8"/>
        <v>1</v>
      </c>
      <c r="H67" s="20" t="s">
        <v>19</v>
      </c>
      <c r="I67" s="18">
        <f t="shared" si="4"/>
        <v>3</v>
      </c>
      <c r="J67" s="19" t="s">
        <v>19</v>
      </c>
      <c r="K67" s="18">
        <f t="shared" si="7"/>
        <v>3</v>
      </c>
      <c r="L67" s="87"/>
      <c r="M67" s="87"/>
      <c r="N67" s="87"/>
      <c r="O67" s="17" t="s">
        <v>286</v>
      </c>
      <c r="P67" s="17" t="s">
        <v>287</v>
      </c>
      <c r="Q67" s="16" t="s">
        <v>288</v>
      </c>
    </row>
    <row r="68" spans="1:17" ht="28.8" x14ac:dyDescent="0.3">
      <c r="A68" s="123"/>
      <c r="B68" s="123"/>
      <c r="C68" s="21" t="s">
        <v>289</v>
      </c>
      <c r="D68" s="127"/>
      <c r="E68" s="21"/>
      <c r="F68" s="19" t="s">
        <v>19</v>
      </c>
      <c r="G68" s="18">
        <f t="shared" si="8"/>
        <v>3</v>
      </c>
      <c r="H68" s="20" t="s">
        <v>19</v>
      </c>
      <c r="I68" s="18">
        <f t="shared" si="4"/>
        <v>3</v>
      </c>
      <c r="J68" s="19" t="s">
        <v>19</v>
      </c>
      <c r="K68" s="18">
        <f t="shared" si="7"/>
        <v>3</v>
      </c>
      <c r="L68" s="89"/>
      <c r="M68" s="89"/>
      <c r="N68" s="89"/>
      <c r="O68" s="17" t="s">
        <v>290</v>
      </c>
      <c r="P68" s="17" t="s">
        <v>291</v>
      </c>
      <c r="Q68" s="16" t="s">
        <v>292</v>
      </c>
    </row>
    <row r="69" spans="1:17" ht="18" x14ac:dyDescent="0.35">
      <c r="D69" s="15">
        <f>SUM(D1:D68)</f>
        <v>1.0000000000000002</v>
      </c>
      <c r="L69" s="81">
        <f>SUM(L4:L68)</f>
        <v>0.55670370370370359</v>
      </c>
      <c r="M69" s="81">
        <f>SUM(M4:M68)</f>
        <v>0.8576666666666668</v>
      </c>
      <c r="N69" s="81">
        <f>SUM(N4:N68)</f>
        <v>0.70088888888888901</v>
      </c>
    </row>
  </sheetData>
  <mergeCells count="46">
    <mergeCell ref="D50:D54"/>
    <mergeCell ref="D26:D32"/>
    <mergeCell ref="D33:D37"/>
    <mergeCell ref="A33:A37"/>
    <mergeCell ref="A26:A32"/>
    <mergeCell ref="B26:B32"/>
    <mergeCell ref="B33:B37"/>
    <mergeCell ref="A38:A41"/>
    <mergeCell ref="B38:B41"/>
    <mergeCell ref="D38:D41"/>
    <mergeCell ref="A47:A49"/>
    <mergeCell ref="B47:B49"/>
    <mergeCell ref="D47:D49"/>
    <mergeCell ref="B42:B45"/>
    <mergeCell ref="A42:A45"/>
    <mergeCell ref="D42:D45"/>
    <mergeCell ref="B65:B68"/>
    <mergeCell ref="A65:A68"/>
    <mergeCell ref="D55:D57"/>
    <mergeCell ref="D58:D61"/>
    <mergeCell ref="D62:D64"/>
    <mergeCell ref="D65:D68"/>
    <mergeCell ref="B62:B64"/>
    <mergeCell ref="B55:B57"/>
    <mergeCell ref="A55:A57"/>
    <mergeCell ref="A62:A64"/>
    <mergeCell ref="B58:B61"/>
    <mergeCell ref="A58:A61"/>
    <mergeCell ref="B50:B54"/>
    <mergeCell ref="A50:A54"/>
    <mergeCell ref="A18:A22"/>
    <mergeCell ref="B18:B22"/>
    <mergeCell ref="D18:D22"/>
    <mergeCell ref="D23:D25"/>
    <mergeCell ref="A23:A25"/>
    <mergeCell ref="B23:B25"/>
    <mergeCell ref="L1:N1"/>
    <mergeCell ref="A4:A12"/>
    <mergeCell ref="B4:B12"/>
    <mergeCell ref="D4:D12"/>
    <mergeCell ref="D13:D17"/>
    <mergeCell ref="A13:A17"/>
    <mergeCell ref="B13:B17"/>
    <mergeCell ref="F2:G2"/>
    <mergeCell ref="H2:I2"/>
    <mergeCell ref="J2:K2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88BB8DAD3902340B33C84D8265763D8" ma:contentTypeVersion="10" ma:contentTypeDescription="Create a new document." ma:contentTypeScope="" ma:versionID="ba6a62bc69e7d07b6b018101405b25d0">
  <xsd:schema xmlns:xsd="http://www.w3.org/2001/XMLSchema" xmlns:xs="http://www.w3.org/2001/XMLSchema" xmlns:p="http://schemas.microsoft.com/office/2006/metadata/properties" xmlns:ns2="d2484aec-7bf8-4318-a54c-00469fe9dc89" xmlns:ns3="3c91a34b-519e-4238-bf17-cf705f0d333a" targetNamespace="http://schemas.microsoft.com/office/2006/metadata/properties" ma:root="true" ma:fieldsID="a2cc80b8ca598ff3c50f303f89fd4eb6" ns2:_="" ns3:_="">
    <xsd:import namespace="d2484aec-7bf8-4318-a54c-00469fe9dc89"/>
    <xsd:import namespace="3c91a34b-519e-4238-bf17-cf705f0d33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2484aec-7bf8-4318-a54c-00469fe9dc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0e5558df-1c29-4ec6-bb54-090fce94d5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91a34b-519e-4238-bf17-cf705f0d333a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77afee93-9eff-426a-b151-6b839e4a332b}" ma:internalName="TaxCatchAll" ma:showField="CatchAllData" ma:web="3c91a34b-519e-4238-bf17-cf705f0d33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c91a34b-519e-4238-bf17-cf705f0d333a" xsi:nil="true"/>
    <lcf76f155ced4ddcb4097134ff3c332f xmlns="d2484aec-7bf8-4318-a54c-00469fe9dc8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73F486-69F4-4FB3-8201-97FA8BC3146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2484aec-7bf8-4318-a54c-00469fe9dc89"/>
    <ds:schemaRef ds:uri="3c91a34b-519e-4238-bf17-cf705f0d333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663B08-5379-42D3-90C7-01E6C27DCE99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379FC88-380D-404A-BFE0-F0EE9298CFD7}">
  <ds:schemaRefs>
    <ds:schemaRef ds:uri="http://purl.org/dc/elements/1.1/"/>
    <ds:schemaRef ds:uri="http://www.w3.org/XML/1998/namespace"/>
    <ds:schemaRef ds:uri="http://schemas.microsoft.com/office/2006/metadata/properties"/>
    <ds:schemaRef ds:uri="http://purl.org/dc/dcmitype/"/>
    <ds:schemaRef ds:uri="http://schemas.openxmlformats.org/package/2006/metadata/core-properties"/>
    <ds:schemaRef ds:uri="http://schemas.microsoft.com/office/infopath/2007/PartnerControls"/>
    <ds:schemaRef ds:uri="http://schemas.microsoft.com/office/2006/documentManagement/types"/>
    <ds:schemaRef ds:uri="3c91a34b-519e-4238-bf17-cf705f0d333a"/>
    <ds:schemaRef ds:uri="d2484aec-7bf8-4318-a54c-00469fe9dc89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Technical Matrix</vt:lpstr>
      <vt:lpstr>Functional Matrix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Rohit Agnihotri (Digital,ISC)(X-IGT Solutions)</dc:creator>
  <cp:keywords/>
  <dc:description/>
  <cp:lastModifiedBy>Rohit Agnihotri (Digital,ISC)(X-IGT Solutions)</cp:lastModifiedBy>
  <cp:revision/>
  <dcterms:created xsi:type="dcterms:W3CDTF">2026-03-17T13:12:18Z</dcterms:created>
  <dcterms:modified xsi:type="dcterms:W3CDTF">2026-04-02T14:11:13Z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0x010100D88BB8DAD3902340B33C84D8265763D8</vt:lpwstr>
  </property>
  <property fmtid="{D5CDD505-2E9C-101B-9397-08002B2CF9AE}" pid="3" name="MediaServiceImageTags">
    <vt:lpwstr/>
  </property>
</Properties>
</file>