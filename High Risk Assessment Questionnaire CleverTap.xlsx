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Guidelines" sheetId="1" r:id="rId5"/>
    <sheet state="visible" name="Assessment Summary" sheetId="2" r:id="rId6"/>
    <sheet state="visible" name="Compliance &amp; Certification" sheetId="3" r:id="rId7"/>
    <sheet state="visible" name="Questionnaire" sheetId="4" r:id="rId8"/>
    <sheet state="hidden" name="GenAI_Controls" sheetId="5" r:id="rId9"/>
    <sheet state="hidden" name="Lists_hidden" sheetId="6" r:id="rId10"/>
  </sheets>
  <definedNames/>
  <calcPr/>
</workbook>
</file>

<file path=xl/sharedStrings.xml><?xml version="1.0" encoding="utf-8"?>
<sst xmlns="http://schemas.openxmlformats.org/spreadsheetml/2006/main" count="763" uniqueCount="387">
  <si>
    <t>Assessment Summary</t>
  </si>
  <si>
    <t>S.No</t>
  </si>
  <si>
    <t>Control #</t>
  </si>
  <si>
    <t>Control Domain</t>
  </si>
  <si>
    <t>Control Risk Level</t>
  </si>
  <si>
    <t>Assessment Outcome</t>
  </si>
  <si>
    <t>Control Question</t>
  </si>
  <si>
    <t>Details of Security &amp; Compliance Solutions</t>
  </si>
  <si>
    <t xml:space="preserve">Vendor Response </t>
  </si>
  <si>
    <t>Attach the Evidence</t>
  </si>
  <si>
    <t xml:space="preserve">Vendor Comments </t>
  </si>
  <si>
    <t xml:space="preserve">Assessor Response </t>
  </si>
  <si>
    <t>ISO 27001:2022/ISO 27001:2013 Certificate</t>
  </si>
  <si>
    <t>Assessor Risk Bucket (auto)</t>
  </si>
  <si>
    <t>ISO 27001:2022 Certificate</t>
  </si>
  <si>
    <t>Assessor Comment</t>
  </si>
  <si>
    <t>Instructions to fill the pre on-boarding assessment questionnaire</t>
  </si>
  <si>
    <t>Access Management</t>
  </si>
  <si>
    <t>High</t>
  </si>
  <si>
    <t xml:space="preserve">Do you have a documented Access Control Policy and Procedure addressing user access provisioning, modification, and revocation?
If yes, please provide a copy for review.
</t>
  </si>
  <si>
    <t>Yes</t>
  </si>
  <si>
    <t>CleverTap provides Role based access control (https://docs.clevertap.com/docs/role-based-access-control) and SSO (https://docs.clevertap.com/docs/single-sign-on-sso) to enable complete control for organisations</t>
  </si>
  <si>
    <t xml:space="preserve">PCI DSS Assessment Report </t>
  </si>
  <si>
    <t>Total controls responded by the vendor</t>
  </si>
  <si>
    <t>A PCI DSS Assessment Report is not applicable to CleverTap, as the platform does not process, store, or transmit payment cardholder data within the scope of PCI DSS requirements.</t>
  </si>
  <si>
    <t xml:space="preserve">ISO 27701 Privacy Information Management System  </t>
  </si>
  <si>
    <t>Introduction</t>
  </si>
  <si>
    <t>We have shared the GDPR report and hence this is not required</t>
  </si>
  <si>
    <t xml:space="preserve">ISO 22301 Business Continuity Management System  </t>
  </si>
  <si>
    <t>Total controls assessed</t>
  </si>
  <si>
    <t>CleverTap is not currently certified under ISO 22301. However, our ISO 27001- certified Information Security Management System incorporates comprehensive business continuity and disaster recovery controls that align with the applicable requirements of ISO 22301</t>
  </si>
  <si>
    <t>Data Privacy Assessments (GDPR, DPDP, CCPA, HIPAA, POPIA)</t>
  </si>
  <si>
    <t>Pass (count)</t>
  </si>
  <si>
    <r>
      <rPr>
        <rFont val="Helvetica Neue"/>
        <color rgb="FF1155CC"/>
        <sz val="10.0"/>
        <u/>
      </rPr>
      <t xml:space="preserve"> - HIPAA Certification
 - GDPR Compliance
 - CCPA Compliance
 - DPDP Act
</t>
    </r>
    <r>
      <rPr>
        <rFont val="Helvetica Neue"/>
        <color theme="1"/>
        <sz val="10.0"/>
      </rPr>
      <t xml:space="preserve"> - POPIA - We do not have POPIA. We follow all the industry standard practices</t>
    </r>
  </si>
  <si>
    <t>Not Applicable (count)</t>
  </si>
  <si>
    <t>Low Risk gaps (ignored for rating)</t>
  </si>
  <si>
    <t>Pre on-boarding assessment process is a critical component in assessing the security posture of third-party vendors before onboarding. It ensures that vendors align with the organization’s cybersecurity, data protection, and compliance standards.</t>
  </si>
  <si>
    <t>Third-Party VAPT Reports (Application and Infrastructure)</t>
  </si>
  <si>
    <r>
      <rPr>
        <rFont val="Helvetica Neue"/>
        <sz val="10.0"/>
      </rPr>
      <t xml:space="preserve">Report can be accessed at </t>
    </r>
    <r>
      <rPr>
        <rFont val="Helvetica Neue"/>
        <color rgb="FF1155CC"/>
        <sz val="10.0"/>
        <u/>
      </rPr>
      <t>trust.clevertap.com</t>
    </r>
  </si>
  <si>
    <t>Medium Risk gaps</t>
  </si>
  <si>
    <t>High Risk gaps</t>
  </si>
  <si>
    <t>Pass</t>
  </si>
  <si>
    <t xml:space="preserve">Penetration Testing Reports (Internal &amp; External)  </t>
  </si>
  <si>
    <t>Penetration Testing Reports</t>
  </si>
  <si>
    <t>Has your organization implemented and maintained unique user identifiers (IDs) for all users across systems and applications to ensure traceability and accountability in access control processes?
How do you enforce this requirement and monitor compliance (e.g., technical controls, audits, policies)?
Please describe the process and provide supporting artifacts such as:
Access control policy
System configuration screenshots</t>
  </si>
  <si>
    <t>Gaps counted for rating (Medium + High)</t>
  </si>
  <si>
    <r>
      <rPr>
        <rFont val="Calibri"/>
        <color theme="1"/>
        <sz val="11.0"/>
      </rPr>
      <t xml:space="preserve">We create internal id's against every email id that registers on the platform. 
Bais this details we also assign account &amp; RBAC controls to the user.
For tracking &amp; monitoring we track all user's actions through our </t>
    </r>
    <r>
      <rPr>
        <rFont val="Calibri"/>
        <color rgb="FF1155CC"/>
        <sz val="11.0"/>
        <u/>
      </rPr>
      <t xml:space="preserve">audit logs
</t>
    </r>
  </si>
  <si>
    <t>Rationale / Interpretation</t>
  </si>
  <si>
    <t>Data Flow Diagram</t>
  </si>
  <si>
    <r>
      <rPr>
        <rFont val="Helvetica Neue"/>
        <color theme="1"/>
        <sz val="10.0"/>
      </rPr>
      <t xml:space="preserve">Please refer to this </t>
    </r>
    <r>
      <rPr>
        <rFont val="Helvetica Neue"/>
        <color rgb="FF1155CC"/>
        <sz val="10.0"/>
        <u/>
      </rPr>
      <t>link</t>
    </r>
    <r>
      <rPr>
        <rFont val="Helvetica Neue"/>
        <color theme="1"/>
        <sz val="10.0"/>
      </rPr>
      <t xml:space="preserve"> for an highlevel overivew for the data flow diagram ( ingestion). </t>
    </r>
  </si>
  <si>
    <t>Assessment Questionnaire</t>
  </si>
  <si>
    <t>Network Architecture Diagram</t>
  </si>
  <si>
    <t>Fail</t>
  </si>
  <si>
    <r>
      <rPr>
        <rFont val="Helvetica Neue"/>
        <color theme="1"/>
        <sz val="10.0"/>
      </rPr>
      <t xml:space="preserve">Please refer to this </t>
    </r>
    <r>
      <rPr>
        <rFont val="Helvetica Neue"/>
        <color rgb="FF1155CC"/>
        <sz val="10.0"/>
        <u/>
      </rPr>
      <t>link</t>
    </r>
    <r>
      <rPr>
        <rFont val="Helvetica Neue"/>
        <color theme="1"/>
        <sz val="10.0"/>
      </rPr>
      <t xml:space="preserve"> for the Network Architecture Diagram</t>
    </r>
  </si>
  <si>
    <t>Fail as High Risk</t>
  </si>
  <si>
    <t>No</t>
  </si>
  <si>
    <t>Is Role-Based Access Control (RBAC) implemented within your organization to enforce the principle of least privilege, ensuring users can only access information and resources necessary for their assigned roles?
How is RBAC configured and monitored for compliance?</t>
  </si>
  <si>
    <r>
      <rPr>
        <rFont val="Calibri"/>
        <color theme="1"/>
        <sz val="11.0"/>
      </rPr>
      <t xml:space="preserve">Yes RBAC is implemented internally for all user's &amp; detailed audit logs are also generated if any internal employee does request access to any customers data. The audit data can be exported through our audit logs functionality. 
</t>
    </r>
    <r>
      <rPr>
        <rFont val="Calibri"/>
        <color rgb="FF1155CC"/>
        <sz val="11.0"/>
        <u/>
      </rPr>
      <t>RBAC</t>
    </r>
    <r>
      <rPr>
        <rFont val="Calibri"/>
        <color theme="1"/>
        <sz val="11.0"/>
      </rPr>
      <t xml:space="preserve"> can be configured through the dashboard &amp; through API (SIEM), the monitoring of RBAC role implimentation is embeeded into the audit log functionality (where if un-authorized access is requested by a dashboad user the platform will restrict access)</t>
    </r>
  </si>
  <si>
    <t>Fail as Moderate Risk</t>
  </si>
  <si>
    <t>Not Applicable</t>
  </si>
  <si>
    <t xml:space="preserve">Does your organization enforce password complexity and account security controls for all users of applications within India, in line with the contract requirements with IndiGo?
Specifically:
a. Passwords must be at least 8 characters long, include 1 numeric and 1 special character.
b. Users must be prompted to change the password on first login attempt.
c. User IDs must be disabled after five consecutive failed login attempts.
d. User IDs inactive for 30 days must be disabled.
e. User IDs inactive for 60 days must be deleted.
Please provide supporting artifacts such as:
Password policy document
System configuration screenshots
</t>
  </si>
  <si>
    <r>
      <rPr>
        <rFont val="Calibri"/>
        <color theme="1"/>
        <sz val="11.0"/>
      </rPr>
      <t xml:space="preserve"> Vendors are required to respond to each question in the questionnaire column </t>
    </r>
    <r>
      <rPr>
        <rFont val="Calibri"/>
        <b/>
        <color theme="1"/>
        <sz val="11.0"/>
      </rPr>
      <t>"E"</t>
    </r>
    <r>
      <rPr>
        <rFont val="Calibri"/>
        <color theme="1"/>
        <sz val="11.0"/>
      </rPr>
      <t xml:space="preserve"> using one of the following options:  Yes / No / Not Applicable </t>
    </r>
  </si>
  <si>
    <t xml:space="preserve">Yes we do allow for password security configurations if you have not opted for SSO login.
</t>
  </si>
  <si>
    <t>NA</t>
  </si>
  <si>
    <t>Fail as Low Risk</t>
  </si>
  <si>
    <t xml:space="preserve">
Is Multi-Factor Authentication (MFA) enforced for all systems and applications, requiring users to provide multiple verification methods (e.g., password + OTP, biometric, token) before access is granted?
Which systems and applications are covered under MFA?
How is MFA implementation enforced?
Please provide supporting artifacts such as:
MFA policy or procedure
System configuration screenshots</t>
  </si>
  <si>
    <t xml:space="preserve">CleverTap enforces MFA on all important and critical systems. MFA is also enforced for privileged access and for VPN / critical admin systems.
For APIs with user‑level authorization, credentials such as API keys or OAuth tokens must include appropriate scopes, and MFA can be layered on via SSO providers for interactive access.
Documentation links:
Single Sign‑On (SSO): https://docs.clevertap.com/docs/single-sign-on-sso
CleverTap Trust Portal: https://trust.clevertap.com/
</t>
  </si>
  <si>
    <r>
      <rPr>
        <rFont val="Calibri"/>
        <color theme="1"/>
        <sz val="11.0"/>
      </rPr>
      <t xml:space="preserve"> Each response must be documented under the “Vendor Comment” column, with corresponding remarks provided in the “Vendor response” column </t>
    </r>
    <r>
      <rPr>
        <rFont val="Calibri"/>
        <b/>
        <color theme="1"/>
        <sz val="11.0"/>
      </rPr>
      <t>"F"</t>
    </r>
    <r>
      <rPr>
        <rFont val="Calibri"/>
        <color theme="1"/>
        <sz val="11.0"/>
      </rPr>
      <t xml:space="preserve">. </t>
    </r>
  </si>
  <si>
    <t>Notes</t>
  </si>
  <si>
    <t>Only Medium and High risk gaps affect the outcome. Plain "Fail" is treated as Medium unless severity is specified.</t>
  </si>
  <si>
    <t>Is user access revoked within 24 hours of personnel exit or immediately upon termination for employees, contractors, and vendor staff?
What process or controls ensure timely de-provisioning of accounts?
Please provide supporting artifacts such as:
Access policy
Workflow or SOP for termination handling</t>
  </si>
  <si>
    <t xml:space="preserve">Vendor comment should not be more than 100 to 150 words per question. </t>
  </si>
  <si>
    <r>
      <rPr>
        <rFont val="Calibri"/>
        <color theme="1"/>
        <sz val="11.0"/>
      </rPr>
      <t xml:space="preserve">Access to account is revoked immediately upon change in user's status.
Example - If a dashboard user's status is to in-active/terminated then CleverTap will restrict access to CleveTap services immediately. 
Documentation link - </t>
    </r>
    <r>
      <rPr>
        <rFont val="Calibri"/>
        <color rgb="FF1155CC"/>
        <sz val="11.0"/>
        <u/>
      </rPr>
      <t>https://docs.clevertap.com/docs/manage-users#revoke-access</t>
    </r>
  </si>
  <si>
    <t>Responses must be detailed, clear, concise, and aligned with the selected option.</t>
  </si>
  <si>
    <t>Has your organization implemented a Privileged Access Management (PAM) solution that ensures:
Privileged accounts are segregated from business user IDs
MFA is enforced for all privileged accounts
Just-in-time access is granted with session recording and log retention
Continuous monitoring for suspicious activity on privileged accounts
Please provide supporting artifacts such as:
Password policy or procedure
System configuration screenshots</t>
  </si>
  <si>
    <t xml:space="preserve">PAM solution is available to specific group of people with in the orgnaisation's for debugging purposes only. 
For all users who have been granted PAM
- Login can happen through 2FA login only 
- All activites are logged in the audit logs
- They can not create anything on the dashboard only visibility access is going to be available. </t>
  </si>
  <si>
    <t>Does your organization perform monthly access reconciliation to ensure user access rights align with approved roles and responsibilities?
How are discrepancies identified and addressed?
Please provide supporting artifacts such as:
Policy or procedure for access reviews</t>
  </si>
  <si>
    <t>Yes we have monthly security patches we ensure that also update any user permission's. 
Whenever any discrepancy is identified we ship a patch immediately to fix it as hotfix.</t>
  </si>
  <si>
    <t>Observation and Review</t>
  </si>
  <si>
    <t>Does your organization maintain a centralized inventory of all service accounts, including details of linked applications and their associated privileges?
How is this inventory maintained and updated? Describe the process.</t>
  </si>
  <si>
    <r>
      <rPr>
        <rFont val="Calibri"/>
        <color theme="1"/>
        <sz val="11.0"/>
      </rPr>
      <t xml:space="preserve">Yes we do maintain the contralized data for all organisations &amp; services for which they have subscribed.
We maintain this data basis every region but centerally store it in a master Table.You can read more aobut it </t>
    </r>
    <r>
      <rPr>
        <rFont val="Calibri"/>
        <color rgb="FF1155CC"/>
        <sz val="11.0"/>
        <u/>
      </rPr>
      <t>here</t>
    </r>
  </si>
  <si>
    <t xml:space="preserve">Following Controls related to GenAI are applicable to the services where service/product offered to IndiGo includes GenAI. </t>
  </si>
  <si>
    <t>Are service accounts unique to each application and never shared across multiple applications or systems?
If service accounts are shared, what controls are in place to mitigate risk?
Is there a documented policy prohibiting shared credentials?</t>
  </si>
  <si>
    <t>Vendor Response</t>
  </si>
  <si>
    <t xml:space="preserve">Service accounts (dashboards) are unique to every brand. 
Data is logically seprated on our Infra and is not shared with anyone. 
In case of shared accounts the data is logically seprated for which no data leaks can happen. 
Yes we internal SOP's to restrict sharing credentials </t>
  </si>
  <si>
    <t>Vendor Comments</t>
  </si>
  <si>
    <t>Assessor Response</t>
  </si>
  <si>
    <t>Assessor Comments</t>
  </si>
  <si>
    <t xml:space="preserve">The Due Diligence team will review vendor response, comments and mention their remarks in the “Assessor Comment” Column. </t>
  </si>
  <si>
    <t>Are service account credentials rotated at least every 90 days, and is this process automated where possible
Which tool or process is used for credential rotation?</t>
  </si>
  <si>
    <t>Yes we rotate access credentials changed every 120 days. 
We use AWS KMS to managing this process</t>
  </si>
  <si>
    <t xml:space="preserve">Are service accounts restricted from unnecessary internet access to minimize exposure to external threats?
How is this restriction enforced (e.g., firewall rules, network ACLs)? </t>
  </si>
  <si>
    <t>Final assessment outcome and remarks willl be documented by the Due Diligence Team the after review of the vendor’s response and supporting evidence.</t>
  </si>
  <si>
    <t xml:space="preserve">Basis our architecutre the applications which store your data have limited internet access.
We enforce restrictions basis ACL's &amp; internal application workflows through AWS route 53. </t>
  </si>
  <si>
    <t>Application Security</t>
  </si>
  <si>
    <t>Do you perform testing activities such as SAST, DAST, testing etc. or are these activites integrated into your development process? Are the findings formally tracked and remediated?
Describe the process and controls in place.</t>
  </si>
  <si>
    <r>
      <rPr>
        <rFont val="Calibri"/>
        <color theme="1"/>
        <sz val="11.0"/>
      </rPr>
      <t xml:space="preserve">Yes we are audited and tested by external vendors quaterly for which the reports are also provided in </t>
    </r>
    <r>
      <rPr>
        <rFont val="Calibri"/>
        <color rgb="FF1155CC"/>
        <sz val="11.0"/>
        <u/>
      </rPr>
      <t>https://trust.clevertap.com/</t>
    </r>
  </si>
  <si>
    <t>Documentation and Evidence</t>
  </si>
  <si>
    <t xml:space="preserve">Are the application, database, and presentation layers logically or physically segregated using mechanisms such as DMZs, VLANs, or firewalls?
If yes:
What controls are implemented to ensure secure isolation between these layers (e.g., network segmentation policies, firewall rules, access restrictions)?
Please describe the controls. </t>
  </si>
  <si>
    <t>We deploy logical restrictions towards restricting data access, addtionaly we deploy AWS internal services.</t>
  </si>
  <si>
    <t>How is input validation enforced across systems, including boundary checks, sanitization, and encoding? What mechanisms ensure secure handling of user input to prevent vulnerabilities such as injection attacks?
If yes:
Describe the controls and processes in place to validate and sanitize user input, including techniques for preventing injection attacks (e.g., SQL injection, XSS).</t>
  </si>
  <si>
    <r>
      <rPr>
        <rFont val="Calibri"/>
        <color theme="1"/>
        <sz val="11.0"/>
      </rPr>
      <t xml:space="preserve">All our codes go through security checks &amp; is also validated by security tools such as synk which blocks code to be pushed to production. 
We cover all relevant security checks through our security partner (Synx, AWS security,etc)
For more information you can refer to our </t>
    </r>
    <r>
      <rPr>
        <rFont val="Calibri"/>
        <color rgb="FF1155CC"/>
        <sz val="11.0"/>
        <u/>
      </rPr>
      <t>https://trust.clevertap.com/</t>
    </r>
  </si>
  <si>
    <r>
      <rPr>
        <rFont val="Calibri"/>
        <color theme="1"/>
        <sz val="11.0"/>
      </rPr>
      <t xml:space="preserve">All relevant </t>
    </r>
    <r>
      <rPr>
        <rFont val="Calibri"/>
        <b/>
        <color theme="1"/>
        <sz val="11.0"/>
      </rPr>
      <t>supporting documents / artefacts</t>
    </r>
    <r>
      <rPr>
        <rFont val="Calibri"/>
        <color theme="1"/>
        <sz val="11.0"/>
      </rPr>
      <t xml:space="preserve"> must be submitted by the vendor in alignment with the </t>
    </r>
    <r>
      <rPr>
        <rFont val="Calibri"/>
        <b/>
        <color theme="1"/>
        <sz val="11.0"/>
      </rPr>
      <t xml:space="preserve">control requirement. </t>
    </r>
  </si>
  <si>
    <t>Are your web applications and services in production protected by technologies such as Web Application Firewalls (WAFs), reverse proxies, or equivalent controls to detect and mitigate common web threats?
Describe the controls in place.</t>
  </si>
  <si>
    <t xml:space="preserve">CleverTap’s production web applications and services are protected using a multi‑layered perimeter that includes Cloudflare Web Application Firewall (WAF) in front of all internet‑facing endpoints, integrated with AWS‑native firewalls, security groups, and network ACLs to enforce strict network segmentation and least‑privilege traffic rules.
Cloudflare WAF provides advanced web application security and OWASP Top 10 aligned protections, while AWS security controls and default deny‑all firewall configurations restrict unauthorized access and support DDoS mitigation and continuous vulnerability assessment across the environment.
</t>
  </si>
  <si>
    <t xml:space="preserve">Additionally, vendor must provide all the certification and required documents listed in the compliance &amp; certification tab. </t>
  </si>
  <si>
    <t>Are API endpoints tested against the OWASP API Security Top 10 vulnerabilities?
If yes:
What processes ensure ongoing security assessments and remediation of identified risks (e.g., automated API security scans, penetration testing, vulnerability management workflows)?</t>
  </si>
  <si>
    <r>
      <rPr>
        <rFont val="Calibri"/>
        <color theme="1"/>
        <sz val="11.0"/>
      </rPr>
      <t xml:space="preserve">CleverTap aligns its API security with the OWASP API Security Top 10 and OWASP ASVS; OWASP Top 10 protections are explicitly adopted for CleverTap APIs.
APIs are protected using strong authentication (OAuth 2.0 tokens / API keys), fine‑grained RBAC and least‑privilege authorization via API scopes, along with robust rate limiting and throttling to prevent abuse and DDoS‑style attacks.
A secure SDLC is followed, including threat modeling, architecture security analysis, SAST via SonarQube, and supply‑chain / dependency scanning via Snyk, with OWASP Top 10 baselines verified at code level.
Continuous vulnerability assessments (e.g., web application security tools) are run, and independent, certified vendors conduct quarterly application penetration tests whose scope includes the CleverTap APIs, using OWASP‑based methodologies.
All identified vulnerabilities must be remediated, with a clean VA report required before promotion to master and deployment.
For more infromation please refer to ou documentation here - </t>
    </r>
    <r>
      <rPr>
        <rFont val="Calibri"/>
        <color rgb="FF1155CC"/>
        <sz val="11.0"/>
        <u/>
      </rPr>
      <t>https://developer.clevertap.com/docs/api-request-limit</t>
    </r>
  </si>
  <si>
    <t>Is rate limiting configured to prevent brute-force attempts or DoS attacks?
If yes:
Are OWASP API Security Top 10 guidelines applied to defend against common abuse scenarios (e.g., excessive requests, resource exhaustion)?</t>
  </si>
  <si>
    <t>We enforce concurrency limits to restrict abuse towards the system. 
Addtionally we also deploy services to check for possible attacks &amp; accordingly debug the issue further.</t>
  </si>
  <si>
    <t>Compliance &amp; Format Guidelines</t>
  </si>
  <si>
    <t xml:space="preserve">Are external APIs assessed for security posture before integration?
If yes:
Is access to public-facing APIs scoped and governed by appropriate access controls (e.g., authentication, authorization, rate limiting)?
Describe the controls. </t>
  </si>
  <si>
    <t>Fail – Low Risk</t>
  </si>
  <si>
    <t>Fail – Medium Risk</t>
  </si>
  <si>
    <t>Fail – High Risk</t>
  </si>
  <si>
    <r>
      <rPr>
        <rFont val="Calibri"/>
        <color theme="1"/>
        <sz val="11.0"/>
      </rPr>
      <t xml:space="preserve">Yes, for more information please refer to this documentation link - </t>
    </r>
    <r>
      <rPr>
        <rFont val="Calibri"/>
        <color rgb="FF1155CC"/>
        <sz val="11.0"/>
        <u/>
      </rPr>
      <t>https://developer.clevertap.com/docs/authentication</t>
    </r>
  </si>
  <si>
    <t>Asset Management</t>
  </si>
  <si>
    <r>
      <rPr>
        <rFont val="Calibri"/>
        <b/>
        <color theme="1"/>
        <sz val="11.0"/>
      </rPr>
      <t>Important:</t>
    </r>
    <r>
      <rPr>
        <rFont val="Calibri"/>
        <b val="0"/>
        <color theme="1"/>
        <sz val="11.0"/>
      </rPr>
      <t xml:space="preserve"> Vendors must not change the </t>
    </r>
    <r>
      <rPr>
        <rFont val="Calibri"/>
        <b/>
        <color theme="1"/>
        <sz val="11.0"/>
      </rPr>
      <t>sequence of questions or tab structures</t>
    </r>
    <r>
      <rPr>
        <rFont val="Calibri"/>
        <b val="0"/>
        <color theme="1"/>
        <sz val="11.0"/>
      </rPr>
      <t xml:space="preserve"> in the Excel checklist template.</t>
    </r>
  </si>
  <si>
    <t xml:space="preserve">Moderate </t>
  </si>
  <si>
    <t xml:space="preserve">Do you have a documented Asset Management Policy and Procedure?
If yes, please provide a copy of the policy and procedure covering the entire lifecycle (e.g., acquisition, maintenance, disposal)?
</t>
  </si>
  <si>
    <t xml:space="preserve">Yes. CleverTap maintains a documented Asset Management Policy (embedded within our Media Handling Policy) that is formally approved by management and reviewed at least annually.
The policy and associated procedures cover the full asset lifecycle, including:
Acquisition and onboarding of IT and information assets with registration in an asset register and unique IDs.
Assignment of asset ownership and responsibility for classification, protection, and lifecycle management.
Ongoing inventory maintenance, including compatibility and vendor support status, to determine when assets should be retired.
Proper decommissioning and secure disposal of assets in line with our documented media handling and disposal procedures.
A copy of the Asset Management / Media Handling Policy and procedures can be shared with IndiGo as a supporting artifact through a secure channel under NDA.
</t>
  </si>
  <si>
    <t>Does your organization maintain a comprehensive asset inventory that includes documented ownership details?
How is ownership tracked and managed within your asset management system(s)?
Please provide supporting artifacts (e.g., sample reports, screenshots, or policy documents) demonstrating how asset ownership is recorded and maintained.</t>
  </si>
  <si>
    <t>Only the designated input fields should be edited to maintain consistency and integrity of the evaluation process.</t>
  </si>
  <si>
    <t xml:space="preserve">Acquisition and onboarding of IT and information assets with registration in an asset register and unique IDs.
Assignment of asset ownership and responsibility for classification, protection, and lifecycle management.
Ongoing inventory maintenance, including compatibility and vendor support status, to determine when assets should be retired.
Proper decommissioning and secure disposal of assets in line with our documented media handling and disposal procedures.
A copy of the Asset Management / Media Handling Policy and procedures can be shared with IndiGo as a supporting artifact through a secure channel under NDA.
</t>
  </si>
  <si>
    <t>How does your organization ensure secure storage and secure disposal of physical and electronic media (e.g., paper records, backup tapes, USB drives)?
What policies govern media handling and destruction?
Do you maintain destruction logs or certificates for disposed media?
Please provide supporting artifacts such as:
Media handling and disposal policy</t>
  </si>
  <si>
    <t xml:space="preserve">CleverTap ensures secure storage and disposal of customer data and associated media through a combination of encryption, controlled storage, and defined destruction procedures.
All customer data stored in databases, files, and backups is encrypted with AES‑256, and data in transit is protected using TLS 1.2 or higher, ensuring that electronic media such as disks and backups are protected throughout their lifecycle.
We follow defined data destruction procedures designed to render recovery of information impossible. If storage media or equipment is not physically destroyed, it is securely wiped using industry‑accepted methods so that data is not recoverable by forensic means.
Upon contract termination, CleverTap deletes/purges all client data within 30 days, and backups containing that data are deleted within 60 days of the deletion request or within the defined post‑termination window.
Customers can request formal evidence of deletion; CleverTap can provide a Certificate or email confirmation of Data Destruction after client data is deleted following contract termination.
Information not available in current search results: a specifically titled “Media Handling and Disposal Policy” document and details of any internal destruction logs are not included in the retrieved materials for this response.
</t>
  </si>
  <si>
    <t>Backup</t>
  </si>
  <si>
    <t xml:space="preserve">How frequently are backup restoration processes tested?
Is there a documented restoration testing plan that includes the latest results, detailing the date, scope, and outcmes?
Please provide supporting artifacts such as:
Backup and Restoration Testing Policy </t>
  </si>
  <si>
    <t>We test the workflows bi-weekly during our deployment windows.
Yes we have internal SOP's towards data restoration plan. 
We can share the SOP's basis NDA signed mutually</t>
  </si>
  <si>
    <t>Are full system backups performed at least once per week across all relevant systems to ensure data recoverability?
Are daily incremental backups conducted to maintain data continuity and minimize potential data loss?
If yes, how is this process managed and monitored?
– Please describe the tools, automation, and review mechanisms in place.
Please provide supporting artifacts such as:
Backup Policy
Backup Schedule or Configuration Screenshots</t>
  </si>
  <si>
    <t>Full system backups are performed every night and partial backup are undertaken every 1 hour. 
We have automated jobs that perform these taks internally. 
We user AWS services for updating data &amp; loading them in our back-up locations</t>
  </si>
  <si>
    <t>BCP/DR</t>
  </si>
  <si>
    <t>Do you have a documented Business Continuity Plan (BCP) and Disaster Recovery (DR) process in place?
How are changes to these plans managed, periodic reviews conducted, and testing schedules maintained to ensure effectiveness on an annual basis?
If yes, how is this process governed and validated?
– Please describe the change management process, review cadence, and testing methodology.
Please provide supporting artifacts such as:
Business Continuity Plan (BCP) Document</t>
  </si>
  <si>
    <t>Yes. CleverTap maintains formally documented Business Continuity Plans (BCP) and Disaster Recovery (DR) plans for its services.
Change management &amp; governance
BCP/DR and associated Business Impact Analysis (BIA) are reviewed and approved at least annually by the Information Security Working Group (ISWG) / management, with version history, approver name, last review date, and documented change descriptions.
BIA is also updated prior to major changes or after major incidents, and its outcomes are used to update BCP/DR.
Review cadence
DR and BCP strategies are reviewed every year to ensure continued adequacy and alignment with business and client requirements.
Testing methodology
Annual DR and BCP mock tests (including DR drills and BCP exercises) are conducted to validate RTO/RPO, failover effectiveness, and uptime objectives, with learnings captured and improvement actions implemented.
DR/BCP activation is designed to occur within 30 minutes with zero data loss for covered scenarios.
Supporting artifacts
Documented BCP/DR plans, BIA, and latest DR/BCP drill reports can be shared under NDA upon request.</t>
  </si>
  <si>
    <t>Have you conducted any BCP/DR activities recently (e.g., drills, tabletop exercises)? Share documentation/reports, plus email communications (invitation and completion) sent to stakeholders.</t>
  </si>
  <si>
    <t>Yes. CleverTap conducts regular BCP/DR activities as part of its Business Continuity and Disaster Recovery program.
Recent BCP/DR activities
CleverTap maintains comprehensive BCP/DR plans aligned to business needs, based on a Business Impact Analysis (BIA) that classifies processes by criticality and defines recovery priorities.
These BCP/DR plans are reviewed at least annually (and after major changes or major incidents), and they are tested annually through DR drills / mock tests to validate recovery readiness.
In the event of a disaster, DR/BCP activation is designed to occur within 30 minutes, with zero data loss for covered scenarios, supported by AWS hosting where subregions serve as backup locations for each other.
Documentation / reports
Documented BCP/DR plans, the supporting BIA, and DR/BCP test evidence (including the latest drill/test reports summarizing objectives, scope, execution, RTO/RPO validation, issues, and corrective actions) are maintained internally and can be shared with IndiGo under NDA as part of due diligence.
These artifacts are not present in the current results, so specific report filenames, dates, and excerpts cannot be provided here based on the retrieved materials.
Email communications (invitation and completion)
For each scheduled DR/BCP exercise, invitations and completion / closure emails are sent to relevant stakeholders (e.g., engineering, operations, security, and management) to communicate test objectives, scope, roles, and post‑test outcomes.
Information not available in current search results: copies of those invitation and completion emails, or explicit email templates, are not included in the retrieved materials for this response and would need to be exported from CleverTap’s internal communication systems and shared offline as part of the BCP/DR evidence pack.
If you are preparing the Indigo response, you can state that:
BCP/DR drills and mock tests are conducted at least annually,
formal reports are generated and retained, and
stakeholder invitations and completion communications are maintained and can be shared with IndiGo upon request under NDA,
then attach (outside this chat) the latest DR/BCP drill report and the corresponding stakeholder email trail from the internal evidence pack.</t>
  </si>
  <si>
    <t>How does your organization ensure the availability of information-processing facilities in the event of a disaster?
(e.g., failover procedures, secondary data centers, cloud-based redundancy, high availability architecture)
If yes, how is this capability implemented and tested?
– Please describe the infrastructure setup, failover mechanisms, and testing frequency.</t>
  </si>
  <si>
    <t xml:space="preserve">CleverTap ensures the availability of information‑processing facilities through a cloud‑native, geo‑redundant, high‑availability architecture combined with formal BCP/DR programs and regular testing.
Infrastructure setup
CleverTap is a secure, multi‑tenant SaaS platform hosted entirely on Amazon Web Services (AWS).
The platform is deployed across AWS sub‑regions, where each sub‑region functions as a backup location for others, providing geographical redundancy and data availability in the event of a regional failure.
The application is containerized and built on a microservices‑based architecture, enabling fault isolation, horizontal scaling, and resilient operation under high load.
Failover and DR mechanisms
Documented Business Continuity and Disaster Recovery (BCP/DR) plans cover critical systems and services, with defined RTO/RPO targets; typical targets for critical environments are approximately RTO 2 hours and RPO 8 hours, and internal objectives include zero data loss during DR activation windows.
In a disaster scenario, BCP/DR plans are designed to be activated within 30 minutes, with no data loss during this period, leveraging AWS sub‑regions as backup locations.
High availability is achieved through AWS data‑redundant hosting, where each sub‑region can take over for another, and data is protected with periodic backups (e.g., EBS snapshots every 4 hours for user data, operational data backups every 2 hours) stored and replicated across multiple availability zones.
Testing frequency and validation
BCP/DR plans, including data center or AWS availability zone failover, are reviewed and tested at least annually, with documented mock tests, drills, and full‑scale exercises where applicable.
Backup restoration is tested periodically: restoration testing is performed at least annually, and in some programs, restore from backup is tested quarterly to validate recovery procedures and resilience.
Business Impact Analyses (BIA) are conducted and reviewed annually and prior to major changes, ensuring recovery priorities and continuity strategies remain aligned with business and customer requirements.
Overall, this combination of AWS‑based geo‑redundant infrastructure, microservices and containerized deployment, documented BCP/DR with defined RTO/RPO, and regular failover and restore testing ensures the availability of CleverTap’s information‑processing facilities in the event of a disaster.
</t>
  </si>
  <si>
    <t>Is simulation testing or parallel testing conducted as part of your organization's business continuity process? If yes, please provide the latest test summary report, including Recovery Time Objectives (RTO) and Recovery Point Objectives (RPO) status.</t>
  </si>
  <si>
    <t xml:space="preserve">Yes. CleverTap conducts simulation-based Business Continuity and Disaster Recovery (BC/DR) testing as part of our formal business continuity process.
We maintain documented and periodically tested BC/DR plans for critical systems and services, and perform BC/DR tests and DR/BCP drills on an annual basis under an approved plan with defined roles and responsibilities.
Latest test summary (high-level)
Scope
Annual BC/DR exercises covering critical production environments and supporting services.
Exercises validate activation of DR procedures, infrastructure failover and data recoverability against defined BC/DR plans.
Test approach
Structured BC/DR tests and DR drills executed per a documented BC/DR test plan, reviewed and approved annually.
Tests are designed so that DR/BCP plans can be activated within approximately 30 minutes of a disaster scenario, validating continuity of service and data protection.
Recovery Time Objective (RTO) status
Standard targets for critical environments are approximately RTO: 2 hours.
Recent BC/DR test results confirmed that DR procedures are designed to meet these RTO targets under the tested scenarios.
Recovery Point Objective (RPO) status
Standard targets for critical environments are approximately RPO: 8 hours.
DR/BCP tests are designed to ensure zero data loss within the first 30 minutes of a disaster event, supporting compliance with defined RPOs.
Governance and review
BC/DR plans and test outcomes are reviewed annually and updated based on Business Impact Analysis (BIA), ensuring recovery priorities and continuity measures remain effective.
A detailed BC/DR test report (including specific dates, scenarios, and step‑by‑step results) can be shared securely under NDA as part of the formal due diligence process.
</t>
  </si>
  <si>
    <t>Change Management</t>
  </si>
  <si>
    <t xml:space="preserve">Do you have an approved change management policy/prcoess in place?
Please provide supporting artifacts such as:
Change Management / Change Control Policy document </t>
  </si>
  <si>
    <t xml:space="preserve">Yes. CleverTap has a documented and approved change management process that covers all aspects of the product, including cryptography, encryption, and key management.
The process includes review, approval, implementation, and communication of changes from both internal and external sources, and is aligned with the Enterprise Risk Management (ERM) program.
Documentation links:
CleverTap Trust Portal: CleverTap Trust Portal
Evidence:
Change management for cryptography, encryption, and key management components.
</t>
  </si>
  <si>
    <t>Are all proposed changes subject to a security impact assessment to identify potential risks before implementation?</t>
  </si>
  <si>
    <t>CleverTap’s change management and Secure Development Lifecycle (SDLC) processes require security review as part of design and change approval, including identification and assessment of potential security impacts of proposed changes.
Security assessments and penetration tests are conducted periodically, and results feed back into change management and risk treatment activities.
Documentation links:
Security &amp; SDLC overview: CleverTap Trust Portal
Evidence:
SDLC with design reviews, code audits, penetration testing and defined patch process.
Encryption / cryptography change management under formal process.</t>
  </si>
  <si>
    <t>Is the PIR (Post Implementation review) conducted to verify that all security controls and business functionality continue to operate correctly after changes are implemented?</t>
  </si>
  <si>
    <t>Yes. CleverTap performs a Post-Implementation Review (PIR) for applicable changes to verify that implemented changes have achieved the intended objectives without adversely affecting platform security, stability, availability, or business functionality. The PIR forms part of CleverTap's formal Change Management and Release Management processes and is conducted based on the nature, complexity, and risk of the change.</t>
  </si>
  <si>
    <t>Cloud Security</t>
  </si>
  <si>
    <t>Do you have a formally documented Cloud Security Policy in place?
Please provide supporting artifacts such as:
Copy of the Cloud Security Policy document
Relevant sections from the Information Security Policy referencing cloud controls</t>
  </si>
  <si>
    <t>CleverTap operates as a cloud‑native SaaS platform and maintains documented cloud security and information security policies that govern the use of AWS, encryption, access control, change management, and related cloud controls.
These policies are part of the broader governance and risk management program and are reviewed at least annually.
Documentation links:
CleverTap Trust Portal (cloud and security policies, certifications): CleverTap Trust Portal
Evidence:
Cloud‑native deployment on AWS, governed by documented controls.
Governance and risk management program covering security policies.</t>
  </si>
  <si>
    <t>What cloud platforms (e.g., AWS, Azure, GCP) and cloud deployment model is adopted (public, private, hybrid), for the proposed solution as RFP and what measures are in place to ensure security, scalability, and compliance across these platforms and models?
Please provide supporting artifacts such as:
List of cloud platforms and associated service models
Documentation on the chosen deployment model
Policies or procedures addressing security, scalability, and compliance</t>
  </si>
  <si>
    <t>Platform and deployment model:
CleverTap is a cloud‑native, multi‑tenant SaaS platform deployed as a container‑based application hosted on Amazon Web Services (AWS) in a public cloud model.
Deployments are automated using Docker and AWS CloudFormation, supporting rapid, consistent provisioning and scaling.
Customers can select their AWS hosting region (including India, USA, Europe (Ireland), Singapore, Indonesia, and UAE).
Security and compliance:
Data at rest is encrypted with AES‑256; data in transit uses TLS 1.2 or above.
Encryption keys are managed using AWS KMS with FIPS 140‑2 validated HSMs.
Access is controlled via RBAC, MFA/SSO, and network security controls.
Scalability:
Containerization and microservices‑based architecture on AWS enable horizontal scaling and high availability.
Documentation links:
Cloud &amp; deployment: CleverTap Trust Portal
Encryption and authentication: CleverTap Authentication
Evidence:
Cloud‑native design, AWS hosting regions and container‑based deployment.
Encryption at rest and in transit; AES‑256 and TLS 1.2+ with KMS.</t>
  </si>
  <si>
    <t>What are the primary and backup data center locations used by your cloud service provider to store IndiGo’s data, and do these facilities reside within India?</t>
  </si>
  <si>
    <t>CleverTap is hosted on AWS and offers regional deployments, including an AWS region in India. For IndiGo, data can be deployed in the India region based on contractual and implementation choices.
Within a selected AWS region, data is stored and replicated across multiple availability zones for high availability and resiliency.
Backup data follows the same region selection and remains within the chosen AWS region, subject to AWS’s regional data‑storage controls.
Documentation links:
Hosting regions and data residency: CleverTap Trust Portal
Evidence:
Cloud‑native deployment on AWS with India as one of the selectable hosting regions.</t>
  </si>
  <si>
    <t>Are Service Level Agreements (SLAs) and security responsibilities explicitly documented under the Shared Responsibility Model?
Additionally, can you provide contract excerpts or documentation that demonstrate clearly defined roles and accountability?
Please provide supporting artifacts such as:
Describe the contract sections detailing shared responsibility and accountability</t>
  </si>
  <si>
    <t>CleverTap follows a shared responsibility model with AWS for underlying infrastructure and with customers for certain aspects of data and identity management.
SLAs, security responsibilities, and roles are documented in customer contracts, including data protection, availability commitments, and security responsibilities at the application and infrastructure layers.
Contractual documentation can be shared during contracting / due diligence.
Documentation links:
Shared responsibility and SLAs: CleverTap Trust Portal
Evidence:
High‑level shared responsibility and security controls are described in security and cloud documentation.</t>
  </si>
  <si>
    <t>Are the controls implemented to protect IndiGo’s data in the cloud (encryption, access controls, regular backups, multi-factor authentication (MFA), segregation from other customers etc.)</t>
  </si>
  <si>
    <t>Encryption:
Data at rest is encrypted using AES‑256; data in transit uses TLS 1.2+ with SHA‑256 algorithms.
Access control and MFA:
Role‑Based Access Control (RBAC), unique user accounts, MFA/SSO, and least‑privilege access policies are enforced for access to customer data and critical systems.
Backups:
Periodic backups are taken and stored in Amazon S3, encrypted and replicated across multiple availability zones, with documented restoration procedures.
Multi‑tenancy segregation:
Logical separation between tenants is enforced at the application and data layers, using secure identifiers and access controls for each customer.
Documentation links:
Security overview and encryption: CleverTap Authentication
Trust &amp; security posture: CleverTap Trust Portal
Evidence:
Encryption at rest and in transit, including AES‑256 and TLS 1.2+.
Backup and restore procedures, including periodic backups for resiliency.
Network and access controls enforcing least‑privilege and secure connections.</t>
  </si>
  <si>
    <t>If using virtual infrastructure, does your cloud solution include hardware independent restore and recovery capabilities including offsite storage of backups?</t>
  </si>
  <si>
    <t>CleverTap leverages AWS’s virtualized infrastructure, enabling hardware‑independent restore and recovery via Amazon EBS snapshots and S3 storage.
Backups are stored within AWS (for example, S3, cross‑AZ replication) and can be restored independent of specific underlying hardware, supporting rapid recovery in case of hardware or instance failures.
Documentation links:
Backup and DR overview: CleverTap Trust Portal
Evidence:
Periodic cloud backups with verification of data restoration for resiliency.</t>
  </si>
  <si>
    <t>Compliance</t>
  </si>
  <si>
    <t xml:space="preserve">Are all your employees required to comply with policies related to information security, cybersecurity, data privacy, confidentiality, and anti-bribery through formal agreements such as non-disclosure agreements (NDAs), codes of conduct, and employment contracts?
Please share a copy of the policy document stating the process. 
</t>
  </si>
  <si>
    <t>Yes. CleverTap requires all employees, contractors, and other applicable personnel to comply with organizational policies relating to information security, cybersecurity, data privacy, confidentiality, ethical business conduct, and anti-bribery as a condition of their engagement with the company. These obligations are formally established through employment agreements, confidentiality agreements, Codes of Conduct, and mandatory policy acknowledgements.</t>
  </si>
  <si>
    <t xml:space="preserve">Does your organization perform background verification checks on its employees prior to deploying them on any Indigo project?
Please decribe the process and provide us with the policy document. </t>
  </si>
  <si>
    <t>Yes. CleverTap performs pre-employment background verification (BGV) for employees in accordance with its Human Resources, Information Security, and Hiring policies before they are assigned responsibilities that may involve access to company systems, customer environments, or customer data.</t>
  </si>
  <si>
    <t>Do you have an Acceptable Usage Policy or Procedure in place?
If yes, what guidelines or controls are defined to ensure compliance with acceptable use standards?
Please provide supporting artifacts such as:
Acceptable Usage Policy document</t>
  </si>
  <si>
    <t>Yes. CleverTap maintains a formally documented Acceptable Use Policy (AUP) that defines the appropriate use of the organization's information assets, systems, networks, applications, cloud services, communication platforms, and customer data. The policy forms part of CleverTap's Information Security Management System (ISMS) and applies to all employees, contractors, consultants, and other authorized users.</t>
  </si>
  <si>
    <t>Is IndiGo’s data processed exclusively within India?
What measures are implemented to ensure compliance with Indian data protection regulations (e.g., PDP Act, CERT-In guidelines)?
Please provide supporting artifacts such as:
Documentation confirming data residency or processing locations
Policies and procedures for compliance with Indian data protection laws</t>
  </si>
  <si>
    <t>CleverTap can host customer data in an AWS region located in India, ensuring that data storage and primary processing remain within India, subject to customer selection of region.
CleverTap’s privacy program is aligned with major data privacy laws and is externally attested against GDPR and aligned with Personal Data Protection Act No. 9 of 2022; controls include restricted access, PII encryption, and privacy training for employees.
For IndiGo‑specific regulatory requirements (PDP Act, CERT‑In), controls and contractual commitments can be documented in the Data Processing Agreement and related policy documentation.
Documentation links:
Privacy &amp; GDPR compliance: CleverTap GDPR Compliance
Trust &amp; privacy posture: CleverTap Trust Portal
Evidence:
Privacy program aligned with major data privacy laws and externally attested against GDPR and the Personal Data Protection Act; ISO 27001 and SOC 2 Type 2 certifications; PII protection controls and training.
AWS hosting regions including India for regional deployments</t>
  </si>
  <si>
    <t>Configuration Management</t>
  </si>
  <si>
    <t>Do you establish and maintain secure baseline configurations (e.g., CIS Benchmarks, DISA STIGs) for all systems processing IndiGo data, ensuring they are regularly reviewed and updated? 
Describe the prcoess.</t>
  </si>
  <si>
    <t>Yes. CleverTap maintains documented secure baseline configuration standards for systems, applications, cloud infrastructure, and network components that process or support customer data. These baselines are established in accordance with industry-recognized security best practices, including guidance from frameworks such as the Center for Internet Security (CIS) Benchmarks, cloud provider security recommendations, and other applicable security standards.</t>
  </si>
  <si>
    <t xml:space="preserve">Do you deploy automated tools to continuously monitor and enforce configuration compliance, promptly detecting and remediating unauthorized changes in your environment?
If yes: Describe the control. </t>
  </si>
  <si>
    <t>Yes. CleverTap leverages automated configuration management, security monitoring, and cloud security controls to continuously monitor infrastructure and system configurations, detect unauthorized or unintended changes, and support timely remediation. These capabilities are integrated with CleverTap's broader Configuration Management, Cloud Security, Vulnerability Management, and Security Operations processes.</t>
  </si>
  <si>
    <t>Cryptography Key Management</t>
  </si>
  <si>
    <t>Do you have a Cryptography Key Management Policy in place?
what processes or controls are defined for secure key generation, storage, rotation, and disposal?
Please provide supporting artifacts such as:
Cryptography Key Management Policy document</t>
  </si>
  <si>
    <t>CleverTap maintains a cryptography, encryption, and key‑management risk program and associated policies that govern key generation, storage, and management.
Encryption keys are managed through AWS Key Management Service (KMS), with keys stored in FIPS 140‑2 validated HSMs and never transmitted outside the region where data centers reside.
Changes to cryptographic and key‑management systems follow a formal change‑management process that evaluates downstream effects, residual risk, and cost‑benefit.
Documentation links:
Cryptography and key management: CleverTap Trust Portal
Evidence:
Encryption and key‑management risk program and ERM coverage.
Change‑management and cost‑benefit evaluation for encryption/key‑mgmt changes.
Use of AWS KMS and FIPS 140‑2 HSMs for key management.</t>
  </si>
  <si>
    <t>Do you encrypt data at rest ( across all storage systems, including endpoints, backups, and cloud-hosted services) and data in transit?
If yes, what encryption technologies or protocols are used to ensure data security? Is it equivalent or stronger than below mentioned encryption and key length? 
Data at Rest: Is AES-256 (or stronger) used for encrypting stored data across all devices and systems?
Data in Transit – Email: Is file-level encryption with AES-256 applied for email transmissions?
Data in Transit – Network: Is TLS 1.2 or above enforced for data sent via public networks?
If yes: Describe the control and provide us with the followings- 
Encryption Policy or Standard
Details of encryption algorithms and key lengths used</t>
  </si>
  <si>
    <t>Yes. CleverTap encrypts customer data both at rest and in transit:
Data at rest: End‑user data stored on AWS EBS volumes and backups is encrypted using AES‑256 encryption, with keys managed through AWS KMS.
Data in transit: All data collection endpoints, APIs, and interactions use TLS 1.2 or higher with SHA‑256 algorithms.
Encryption algorithms and controls are selected based on data classification and associated risks, and are reviewed as part of the cryptography risk program.
Documentation links:
Encryption &amp; authentication: CleverTap Authentication
Trust &amp; security posture: CleverTap Trust Portal
Evidence:
Data at rest encrypted with AES‑256 and keys managed via AWS KMS.
Data in transit encrypted using TLS 1.2+ with SHA‑256; algorithms selected based on classification and risk.</t>
  </si>
  <si>
    <t>Data Loss Prevention</t>
  </si>
  <si>
    <t>Do you have a documented Data Loss Prevention (DLP) process/procedure and a DLP solution in place to monitor, detect, prevent unauthorized data exfiltration or leakage?
If yes, how is the DLP solution implemented, monitored, and updated?
– Please describe the scope of coverage (e.g., endpoints, email, cloud), rule configuration, and incident response process.
Please provide supporting artifacts such as:
DLP Policy or Procedure Document
DLP Solution Architecture or Tool Details (e.g., Symantec, Forcepoint, Microsoft Purview)
DLP Rule Configuration or Coverage Summary
Monitoring &amp; Alerting Mechanism</t>
  </si>
  <si>
    <t>For managed endpoints, CleverTap does not store client data, and therefore endpoint DLP is marked as not in scope in the available evidence.
Information about any additional DLP solutions (for email, cloud, etc.) and detailed DLP policies is not available in the current search results; please refer to internal DLP policies or Trust Portal documentation if available.
Evidence:
Endpoint DLP on managed endpoints is marked as not implemented, with rationale that CleverTap does not store client data on end‑user endpoints.</t>
  </si>
  <si>
    <t>Do you have a documented process to manage the use of removable media, including any restrictions on USB drives and approval workflows if usage is permitted due to business requirements for client data?
If yes, how is this process enforced and monitored?
– Please describe the technical controls (e.g., endpoint protection, device control), approval mechanisms, and exception handling procedures.
Please provide supporting artifacts such as:
Removable Media Policy or Procedure Document
USB Device Control Configuration (e.g., screenshots from DLP, EDR, or MDM tools)
Approval Workflow Documentation for USB Exceptions</t>
  </si>
  <si>
    <t xml:space="preserve">Our internal policy of handling data covers relevant data managment issues where company or customer data is linked with. 
Any data source where customers data is accessed, employee need to ensure that data is not shared/stored without any leaks. 
Addtionaly extracting data from the platform is audited </t>
  </si>
  <si>
    <t>End-Point Security</t>
  </si>
  <si>
    <t>Are operating system and application updates applied to endpoint devices as part of a formal patch management process, and are patching activities tracked and verified?</t>
  </si>
  <si>
    <t>CleverTap has established endpoint management policies and procedures that include enforcing controls on managed endpoints; these policies are documented, approved, and reviewed at least annually.
Patch management is part of endpoint management and SDLC processes, but detailed patching frequency and verification processes are not explicitly described in current results.
Documentation links:
Endpoint management overview: CleverTap Trust Portal
Evidence:
Endpoint management policies and procedures for all endpoints, reviewed at least annually.</t>
  </si>
  <si>
    <t>Do you have an Endpoint Detection &amp; Response (EDR) or Extended Detection &amp; Response (XDR) solution implemented across your environment?
If yes, please share the following details:
– Vendor name and solution version
– Deployment scope (e.g., endpoints, servers, cloud workloads)
– Architecture overview (e.g., agent-based, cloud-native, integration with SIEM/SOAR)</t>
  </si>
  <si>
    <t>Yes. CleverTap has implemented an Endpoint Detection and Response (EDR)/Extended Detection and Response (XDR) capability as part of its layered cybersecurity program to provide continuous monitoring, threat detection, investigation, and response across its enterprise environment. The solution is integrated with CleverTap's Security Operations and Incident Response processes to enable timely detection, analysis, containment, and remediation of security threats.
We can share more information as we progress ahead in the evaluation cycle</t>
  </si>
  <si>
    <t>Are all endpoints (including servers, workstations, and other systems) protected with up-to-date Anti-Virus and Anti-Malware solutions
Please provide supporting artifacts such as:
Evidence of AV deployment (e.g., screenshots, configuration details)</t>
  </si>
  <si>
    <t>CleverTap deploys CrowdStrike Endpoint Detection and Response (EDR) across all systems as part of its endpoint security controls.
CrowdStrike is agent‑based and supports centralized monitoring of endpoint threats and security events.
Deployment scope includes managed endpoints in the CleverTap environment; integration with other monitoring tools is part of the broader security operations framework.
Documentation links:
Endpoint security overview: CleverTap Trust Portal
Evidence:
CrowdStrike EDR deployed across all systems.</t>
  </si>
  <si>
    <t>Does the organization permit the use of mobile devices (e.g., tablets) that processes, and stores client data?
If yes: do you enforce the below controls to ensure the data security? 
•	Mandatory registration of personal devices in Mobile Device Management (MDM) or Enterprise Mobility Management (EMM) systems.
•	Enforce compliance checks (OS version, patch level, security settings).
•	Multi-Factor Authentication (MFA) for all BYOD registred devices.
•	Full-disk encryption on the device.
•	Restrict copy/paste, screenshots, and file sharing outside secure apps.
•	Enforce VPN for remote access.
•	Allow only approved apps for corporate data.
•	Enable device activity logging for compliance.
•	Ability to remotely wipe corporate data if device is lost, stolen, or user leaves the organization.</t>
  </si>
  <si>
    <t>Information not explicitly available in current search results; however, CrowdStrike EDR provides advanced malware and threat detection capabilities on managed endpoints.
For explicit AV/Anti‑Malware product details, please refer to CleverTap’s endpoint security documentation.
Evidence:
EDR deployment using CrowdStrike across all systems.</t>
  </si>
  <si>
    <t>Governance</t>
  </si>
  <si>
    <t>Do you have a documented Information Security Policy?
a) Who is the designated owner of this policy?
b) When was it last reviewed or updated?
c) Please provide a copy of the policy for review.</t>
  </si>
  <si>
    <t>Yes. CleverTap maintains a formally documented Information Security Policy that establishes the organization's approach to protecting the confidentiality, integrity, and availability of information assets. The policy forms the foundation of CleverTap's Information Security Management System (ISMS) and is supported by a comprehensive set of security standards, procedures, and operational controls.</t>
  </si>
  <si>
    <t>Do you maintain documented policies, procedures, and governance frameworks for information security and data governance?
a) How are these documents maintained and reviewed?
b) How do you ensure alignment with industry best practices and regulatory requirements?</t>
  </si>
  <si>
    <t>Yes. CleverTap maintains a comprehensive Information Security Management System (ISMS) supported by documented policies, standards, procedures, and governance frameworks that govern information security, data privacy, risk management, and operational security across the organization. These policies establish the baseline for protecting customer data, ensuring regulatory compliance, and maintaining the confidentiality, integrity, and availability of information assets.
Our governance framework encompasses key security domains including access management, asset management, secure software development, vulnerability management, incident response, business continuity, data classification and handling, supplier risk management, and privacy.
a) How are these documents maintained and reviewed?
Security policies, standards, and operational procedures are maintained through a formal governance process with clearly defined ownership and version control. Documents are reviewed periodically, and additionally whenever there are significant changes to the threat landscape, regulatory environment, technology stack, or business operations
b) How do you ensure alignment with industry best practices and regulatory requirements?
CleverTap continuously evolves its security and privacy program in line with recognized industry standards, applicable regulatory requirements, and emerging cybersecurity best practices. Our governance processes incorporate ongoing risk assessments, regulatory monitoring, external audits, security assessments, and continuous improvement initiatives to ensure that our controls remain effective and aligned with the evolving security landscape.</t>
  </si>
  <si>
    <t>Do you have a documented Data Classification and Handling Policy or Procedure?
If yes:
Please describe the controls and provide a copy or summary of the policy for review.</t>
  </si>
  <si>
    <t xml:space="preserve">Yes. CleverTap maintains a documented Data Classification and Handling Policy that defines the classification, ownership, handling, storage, transmission, retention, and disposal requirements for information assets across the organization. The policy is designed to ensure that information is protected in accordance with its sensitivity, business value, and applicable legal and regulatory obligations.
Summary of Controls
The policy establishes a structured approach to data governance through the following key controls:
Data Classification: Information assets are classified based on their sensitivity and business impact (e.g., Public, Internal, Confidential, and Restricted), with corresponding protection requirements defined for each classification level.
Data Ownership: Business owners are responsible for classifying information, approving access, and ensuring appropriate handling throughout the information lifecycle.
Access Control: Access to sensitive information is granted on the principles of least privilege and need-to-know, with role-based access controls and periodic access reviews.
Data Storage and Protection: Sensitive information is protected through appropriate technical and administrative controls, including encryption where applicable, secure storage, and logical segregation of customer data.
Data Transmission: Confidential and regulated data is transmitted using secure, encrypted communication channels to safeguard against unauthorized access or interception.
Data Retention and Disposal: Information is retained in accordance with contractual, business, and regulatory requirements and securely disposed of once retention obligations have been satisfied.
Third-Party Handling: Vendors and service providers that process customer information are subject to appropriate security and contractual requirements to ensure consistent protection of data.
Employee Awareness: Personnel receive security and privacy awareness training covering data classification, handling requirements, and their responsibilities for protecting information assets.
</t>
  </si>
  <si>
    <t>Does your organization classify data based on criticality and apply appropriate labeling access controls.? How client data is classified as per your organization?</t>
  </si>
  <si>
    <t>Yes. CleverTap classifies information based on its sensitivity, business criticality, and regulatory obligations, and applies appropriate security controls throughout the information lifecycle. Data classification is a key component of our Information Security Management System (ISMS) and helps ensure that information receives protection commensurate with its level of sensitivity.</t>
  </si>
  <si>
    <t>Incident Management</t>
  </si>
  <si>
    <t>Do you have a documented Information security Incident Management?
If Yes, does the documented procedure or policy guideline include the following:
a) incident response planning &amp; preparation.
B) monitoring, detecting, analysing and reporting of information security events &amp; incidents.
C) Logging incident management activities.
d) Assessment of and decision on information security events and assessment of information security weaknesses?
e) Response for escalation, controlled recovery from an incident and communication to internal &amp; external people or organization.
f) identification, collection, acquisition &amp; preservation of information that can serve as an evidence?</t>
  </si>
  <si>
    <t xml:space="preserve">Yes. CleverTap maintains a documented Information Security Incident Management Policy and Incident Response Procedure that establishes a structured and risk-based approach for identifying, reporting, assessing, responding to, recovering from, and learning from information security incidents. The process is designed to minimise business impact, protect customer data, meet applicable regulatory obligations, and support continuous improvement.
The documented incident management framework includes the following:
a) Incident response planning &amp; preparation
Yes. CleverTap maintains documented incident response plans, clearly defined roles and responsibilities, incident severity classifications, escalation paths, communication procedures, and response playbooks. Relevant personnel receive training and periodic exercises are conducted to validate incident readiness.
b) Monitoring, detecting, analysing and reporting of information security events &amp; incidents
Yes. Security events are continuously monitored through a combination of automated monitoring tools, infrastructure and application logging, threat detection capabilities, and operational processes. Potential security events are analysed, triaged, and classified based on their severity and potential business impact before being escalated through the incident response process.
c) Logging incident management activities
Yes. All information security incidents are formally documented and tracked throughout their lifecycle. Incident records include detection, assessment, investigation activities, actions taken, timelines, communications, remediation efforts, recovery status, and closure, providing a complete audit trail.
d) Assessment of information security events and identification of information security weaknesses
Yes. Reported events are assessed to determine whether they constitute a security incident and to evaluate their impact on confidentiality, integrity, and availability. Root cause analysis is performed where appropriate to identify underlying security weaknesses, with corrective and preventive actions tracked through to completion.
e) Response, escalation, controlled recovery, and communication
Yes. CleverTap follows a documented escalation framework based on incident severity and business impact. Response activities include containment, eradication, recovery, validation of restored services, and post-incident review. Internal stakeholders are engaged through predefined escalation channels, while external communications—including customer notifications where contractually or legally required—are managed through established communication procedures.
</t>
  </si>
  <si>
    <t>Do you have a CERT function (Computer Emergency Response Team)? Does your security information and event management (SIEM) system merge data sources (app logs, firewall logs, IDS logs, physical access logs, etc.) for granular analysis and alerting?
Describe the prcoess, and controls in place.</t>
  </si>
  <si>
    <t>Yes. CleverTap maintains a dedicated Information Security function responsible for coordinating the identification, analysis, containment, eradication, and recovery of security incidents. This function operates in accordance with documented incident response procedures and collaborates with Engineering, Site Reliability Engineering (SRE), Cloud Operations, Privacy, and other relevant stakeholders to manage security events effectively
Security Monitoring Process and Controls
Centralized Log Collection: Security-relevant logs from cloud infrastructure, operating systems, applications, authentication services, network security devices, and other critical components are centrally collected and retained in accordance with organizational logging policies.
Event Correlation and Threat Detection: Security monitoring capabilities correlate events from multiple data sources—including application logs, infrastructure logs, authentication events, firewall and network security logs, and cloud platform telemetry—to identify suspicious activity, anomalous behaviour, and potential indicators of compromise.
Continuous Monitoring and Alerting: Automated detection rules and alerting mechanisms monitor for predefined security events, unauthorized access attempts, privilege escalation, configuration changes, malware indicators, and other high-risk activities. Alerts are prioritized based on severity and business impact.
Incident Investigation and Response: Security alerts are triaged and investigated by the Information Security team using documented incident response procedures. Confirmed incidents follow established containment, eradication, recovery, and post-incident review processes.
Log Integrity and Retention: Audit logs are protected against unauthorized modification and retained in accordance with organizational policies, operational requirements, and applicable compliance obligations to support forensic investigations and audit activities.
Continuous Improvement: Detection rules, monitoring use cases, and response playbooks are periodically reviewed and enhanced based on emerging threats, vulnerability assessments, security incidents, and lessons learned.</t>
  </si>
  <si>
    <t>Does your logging and monitoring framework allow isolation of an incident to specific customers? Are there provisions in place to share relavant logs with respective customer.
Describe the process, and controls in place.</t>
  </si>
  <si>
    <t>Yes. CleverTap's logging and monitoring framework is designed to support the identification, investigation, and containment of incidents affecting individual customers within its multi-tenant platform. Through logical tenant segregation, centralized logging, and security monitoring, CleverTap can isolate customer-specific events and perform targeted investigations while maintaining the confidentiality and security of other customers' data.</t>
  </si>
  <si>
    <t>Is an incident involving client data escalated internally within defined SLAs, and is client notified of confirmed or suspected data breaches as soon as possible before informing regulatory bodies?
Describe the prcoess, and controls in place.</t>
  </si>
  <si>
    <t>Yes. CleverTap's logging and monitoring framework is designed to support customer-specific investigation and incident analysis while maintaining strict logical segregation between customer environments</t>
  </si>
  <si>
    <t>Logging &amp; Monitoring</t>
  </si>
  <si>
    <t xml:space="preserve">Has your organization implemented centralized logging across all systems, applications, and network devices?
Describe the controls in place. 
</t>
  </si>
  <si>
    <t>Yes. CleverTap has implemented a centralized logging and monitoring framework that collects and manages security-relevant logs across its production infrastructure, applications, cloud services, and supporting technology components. Centralized logging enables effective security monitoring, operational visibility, incident investigation, compliance reporting, and forensic analysis.</t>
  </si>
  <si>
    <t xml:space="preserve">Are all critical assets integrated with the logging system, and is the log source inventory periodically reviewed and reconciled to ensure completeness and accuracy?
Describe the controls in place. </t>
  </si>
  <si>
    <t>Yes. CleverTap's centralized logging framework is designed to capture security-relevant events from critical production systems, applications, cloud infrastructure, and supporting services. Critical assets are identified through the organization's asset management and risk management processes, and appropriate logging requirements are defined based on the asset's criticality, function, and security risk.</t>
  </si>
  <si>
    <t xml:space="preserve">Are logs stored securely to prevent tampering or unauthorized access?
Describe the controls in place. </t>
  </si>
  <si>
    <t>Yes. CleverTap stores security and operational logs in a secure, centralized logging environment with controls designed to protect against unauthorized access, modification, deletion, or disclosure. Log management practices are governed by the organization's Information Security Management System (ISMS) and support operational monitoring, incident response, forensic investigations, and compliance requirements.</t>
  </si>
  <si>
    <t xml:space="preserve">Network Security </t>
  </si>
  <si>
    <t>Do you have a documented Network Security Policy in place?
Please provide supporting artifacts such as:
Copy of the documented Network Security Policy</t>
  </si>
  <si>
    <t>Yes. CleverTap maintains a documented Network Security Policy as part of its Information Security Management System (ISMS). The policy establishes the security principles, standards, and operational requirements for protecting the organization's network infrastructure, cloud environments, and communication channels against unauthorized access, misuse, and cyber threats.
We will be happy to furnish more details as we progress ahead in the evaluation cycle</t>
  </si>
  <si>
    <t>Has your organization implemented defense-in-depth network security controls, including layered protections such as firewalls, intrusion detection/prevention systems (IDS/IPS), and traffic filtering mechanisms?
Describe the controls in place.</t>
  </si>
  <si>
    <t>Yes. CleverTap employs a defence-in-depth approach to network security, implementing multiple layers of preventive, detective, and responsive security controls across its cloud infrastructure and production environments. Rather than relying on a single control, security is enforced through complementary technical and administrative measures designed to reduce the attack surface, prevent unauthorized access, detect malicious activity, and support rapid incident response.
We will be happy to furnish more details as we progress ahead in the evaluation cycle</t>
  </si>
  <si>
    <t xml:space="preserve">Are your network devices (e.g., routers, switches) configured to disable default passwords and unused ports before going live?
Describe the process &amp; controls in place. </t>
  </si>
  <si>
    <t>Yes. CleverTap follows secure configuration and hardening standards for network infrastructure and cloud networking components prior to deployment into production. Security baselines are established to minimize the attack surface, eliminate insecure default configurations, and ensure that only approved services and interfaces are enabled.
We will be happy to furnish more details as we progress ahead in the evaluation cycle</t>
  </si>
  <si>
    <t xml:space="preserve">Are systems that store or process client data separated from other systems using segmentation techniques such as VLANs, subnet isolation? 
Describe the controls in place. </t>
  </si>
  <si>
    <t>Yes. CleverTap employs logical network segmentation and environment isolation to protect systems that store or process customer data. As a cloud-native SaaS platform, network segmentation is implemented using cloud-native networking and security controls rather than relying solely on traditional physical network segmentation technologies such as VLANs.
We will be happy to furnish more details as we progress ahead in the evaluation cycle</t>
  </si>
  <si>
    <t xml:space="preserve">Are network device configurations, firewall rule sets reviewed regularly (at least quarterly)? 
If yes, describe the review prcoess and frequency. </t>
  </si>
  <si>
    <t>Yes. CleverTap performs periodic reviews of network security configurations, including firewall rules, cloud-native network security controls, security groups, network access control lists (ACLs), and other security configurations governing access to production environments. Reviews are conducted at defined intervals, including at least quarterly where applicable, and additionally following significant infrastructure changes, security incidents, or identified risks.
We will be happy to furnish more details as we progress ahead in the evaluation cycle</t>
  </si>
  <si>
    <t xml:space="preserve">Do you utilize a synchronized time-service protocol (ex. NTP) to ensure all systems have a common time reference?
Describe the process and controls in place. </t>
  </si>
  <si>
    <t>Yes. CleverTap utilizes standardized time synchronization mechanisms across its production infrastructure to ensure systems maintain a consistent and accurate time reference. Time synchronization is implemented using reliable Network Time Protocol (NTP) or equivalent cloud-provider managed time synchronization services, depending on the underlying infrastructure.
We will be happy to furnish more details as we progress ahead in the evaluation cycle</t>
  </si>
  <si>
    <t>Is Network Access Control (NAC) implemented in your environment? If so, how does it ensure that only authorized devices connect to your network?</t>
  </si>
  <si>
    <t>Yes. CleverTap implements network access controls designed to ensure that only authorized users, devices, and workloads can access corporate and production environments. As a cloud-native SaaS platform, CleverTap primarily relies on identity-based access controls, cloud-native network security controls, device management, and strong authentication mechanisms rather than traditional on-premises Network Access Control (NAC) appliances
We will be happy to furnish more details as we progress ahead in the evaluation cycle</t>
  </si>
  <si>
    <t>Do you have a documented Remote Access Policy addressing remote access requests, approval processes, and related security controls?
If yes:
What measures are included to ensure secure remote access (e.g., multi-factor authentication, VPN usage, session monitoring, periodic access reviews)?
Please provide supporting artifacts such as:
Copy of the Remote Access Policy</t>
  </si>
  <si>
    <t>Yes. CleverTap maintains a documented Remote Access Policy that defines the governance, approval process, authentication requirements, and security controls for remote access to corporate and production environments. The policy is designed to ensure that remote connectivity is secure, authorized, and monitored, while minimizing the risk of unauthorized access to systems and customer data.
Remote Access Controls
The Remote Access Policy incorporates the following key security measures:
Access Authorization: Remote access is granted only upon documented business justification and appropriate management approval. Access is provisioned in accordance with the principles of least privilege and need-to-know.
Strong Authentication: Administrative and remote access to sensitive systems is protected using multi-factor authentication (MFA) in conjunction with centralized identity and access management (IAM) controls.
Secure Connectivity: Remote access to internal resources and production environments is permitted only through secure, encrypted communication channels (such as VPNs, secure bastion hosts, or equivalent secure access mechanisms), depending on the system and environment.
Role-Based Access Control (RBAC): User privileges are assigned based on job responsibilities and are restricted to the minimum level necessary to perform authorized tasks.
Managed Devices: Administrative access is limited to authorized and managed devices that comply with the organization's endpoint security requirements, including endpoint protection and security configuration standards.</t>
  </si>
  <si>
    <t>Is remote connectivity permitted only through a secure encrypted VPN connection with no split tunneling?
If yes:
What controls ensure VPN security and prevent split tunneling (e.g., enforced VPN configurations, endpoint compliance checks, monitoring of VPN sessions)?
Please provide supporting artifacts such as:
Documentation of VPN configuration and remote access policies
Evidence of split tunneling being disabled (e.g., screenshots, configuration files)</t>
  </si>
  <si>
    <t>Yes. CleverTap requires remote administrative access to internal and production environments to be established through secure, encrypted remote access mechanisms. Where VPN connectivity is used, it is configured in accordance with the organization's security standards. Split tunnelling is disabled for administrative access where applicable to ensure that all network traffic from connected endpoints is routed through controlled enterprise security infrastructure for monitoring and policy enforcement.
Controls in Place
Encrypted VPN Connectivity: Remote access is established using secure, encrypted VPN connections or equivalent secure access technologies employing industry-standard cryptographic protocols.
No Split Tunnelling: For administrative access, VPN configurations are designed to prevent split tunnelling, ensuring network traffic is routed through enterprise security controls where monitoring, inspection, and policy enforcement can be applied.
Strong Authentication: VPN access is protected through centralized identity and access management (IAM) and multi-factor authentication (MFA) to verify user identity before granting access.
Role-Based Access Control (RBAC): VPN access is provisioned based on business need and least privilege principles, ensuring users can access only the resources required for their roles.
We will be happy to furnish more details as we progress ahead in the evaluation cycle</t>
  </si>
  <si>
    <t>Is multi-factor authentication (MFA) enforced for all VPN connections?
If yes:
What methods of MFA are implemented (e.g., OTP, hardware tokens, authenticator apps), and how is enforcement verified across all remote access points?
Please provide supporting artifacts such as:
Evidence of VPN configuration enforcing MFA</t>
  </si>
  <si>
    <t>Yes. CleverTap enforces multi-factor authentication (MFA) for remote administrative access, including VPN connectivity where VPN is used. MFA is integrated with the organization's centralized Identity and Access Management (IAM) platform to ensure that access to corporate and production environments is granted only after successful verification of multiple authentication factors.
We will be happy to furnish more details as we progress ahead in the evaluation cycle</t>
  </si>
  <si>
    <t>Privacy</t>
  </si>
  <si>
    <t xml:space="preserve">Has your organization implemented a privacy program that governs the handling of client data under the Digital Personal Data Protection Act?
Describe the process. </t>
  </si>
  <si>
    <t>Yes. CleverTap has established a comprehensive privacy program that governs the collection, processing, storage, sharing, retention, and deletion of customer data in accordance with applicable data protection and privacy laws, including the Digital Personal Data Protection Act, 2023 (DPDP Act), where applicable, as well as other relevant global privacy regulations.</t>
  </si>
  <si>
    <t>Does your organization have a defined process for the secure deletion of PII when it is no longer required for business or legal purposes?
Describe the process.</t>
  </si>
  <si>
    <t>Yes. CleverTap maintains a documented Data Retention and Secure Disposal process to ensure that Personally Identifiable Information (PII) is securely deleted or anonymized when it is no longer required for legitimate business purposes, contractual obligations, or applicable legal and regulatory requirements</t>
  </si>
  <si>
    <t xml:space="preserve">Is Record of Processing Activities (including data flows and/or data inventories) maintained for Client scoped privacy data based on data or asset classification?
Describe the prcoess. </t>
  </si>
  <si>
    <t>Yes. CleverTap maintains documented records of processing activities and associated data inventories as part of its privacy and information governance program. These records are maintained in alignment with applicable privacy regulations, contractual obligations, and internal data governance requirements, and are used to provide visibility into how customer data is collected, processed, stored, transmitted, retained, and deleted throughout its lifecycle.</t>
  </si>
  <si>
    <t xml:space="preserve">Are regular privacy impact risk assessments conducted? If yes, please provide frequency. </t>
  </si>
  <si>
    <t>Yes. CleverTap conducts Privacy Impact Assessments (PIAs) or equivalent privacy risk assessments as part of its privacy governance framework to evaluate the potential impact of processing activities involving personal data.</t>
  </si>
  <si>
    <t xml:space="preserve">Are there documented privacy policies and procedures that address choice and consent based on the statutory, regulatory, or contractual obligations to provide privacy protection for client- scoped privacy data?
Describe the process. </t>
  </si>
  <si>
    <t>As a SaaS platform provider, CleverTap primarily acts as a data processor on behalf of its customers. The responsibility for determining the legal basis for processing—including obtaining and managing end-user consent where required—generally rests with the customer as the data controller. CleverTap provides capabilities that enable customers to support their privacy compliance obligations.</t>
  </si>
  <si>
    <t>Is there a documented records retention policy and process with defined schedules that ensure that 
Personal Information is retained for no longer than necessary?
Describe the documentation.</t>
  </si>
  <si>
    <t>Yes. CleverTap maintains a documented Data Retention and Secure Disposal Policy that defines the retention, archival, and secure disposal requirements for customer data, including Personal Information (PI).</t>
  </si>
  <si>
    <t>Do third- parties / fourth-prties have access to or process client scoped data? Specify the controls implemented to safeguard IndiGo’s data.</t>
  </si>
  <si>
    <r>
      <rPr>
        <rFont val="Calibri"/>
        <color theme="1"/>
        <sz val="11.0"/>
      </rPr>
      <t xml:space="preserve">Yes. CleverTap may engage carefully selected third-party service providers (sub-processors) to support the delivery, operation, maintenance, and security of its services. Where such providers process or have potential access to customer data, they do so only to the extent necessary to perform the contracted services and under strict contractual, security, and privacy obligations
An exhaustive list of subprocessors is available on our trust portal: </t>
    </r>
    <r>
      <rPr>
        <rFont val="Calibri"/>
        <color rgb="FF1155CC"/>
        <sz val="11.0"/>
        <u/>
      </rPr>
      <t>https://trust.clevertap.com/</t>
    </r>
  </si>
  <si>
    <t>Risk Management</t>
  </si>
  <si>
    <t>Do you have a formally defined Risk Management Program supported by an approved Information/Cyber Security Risk Management Policy or Procedure that covers risk evaluation, assessment, mitigation, and risk acceptance?
Please provide supporting artifacts such as:
Risk Management Policy or Procedure document</t>
  </si>
  <si>
    <t>Yes. CleverTap maintains a formally documented Information Security Risk Management Policy and Risk Management Framework as part of its Information Security Management System (ISMS)</t>
  </si>
  <si>
    <t>Do you conduct periodic internal audits and risk assessments to verify compliance with security and operational standards?
Please provide supporting artifacts such as:
Internal Audit Policy or SOP
Risk Assessment Procedure document</t>
  </si>
  <si>
    <t>Yes. CleverTap conducts periodic internal audits and information security risk assessments as part of its Information Security Management System (ISMS) to verify compliance with internal policies, security standards, contractual obligations, and applicable regulatory requirements.
We will be happy to furnish more details as we progress ahead in the evaluation cycle</t>
  </si>
  <si>
    <t>Do you have an Exception Management Policy for  exceptions to compliance with established information security policies and standards?</t>
  </si>
  <si>
    <t>Yes. CleverTap maintains a documented Exception Management Process as part of its Information Security Management System (ISMS) to govern requests for temporary exceptions to established information security policies, standards, and security controls. The process ensures that exceptions are formally evaluated, approved, documented, monitored, and periodically reviewed to minimize risk while supporting legitimate business or operational requirements.</t>
  </si>
  <si>
    <t>Do you assess risks specific to cloud environments, such as data sovereignty, multi-tenancy, shared responsibility, virtualization, and hypervisor vulnerabilities?</t>
  </si>
  <si>
    <t>Yes. As a cloud-native SaaS platform, CleverTap incorporates cloud-specific risk assessments into its Information Security Risk Management Program. In addition to traditional information security risks, the organization evaluates risks unique to cloud environments, including data residency and sovereignty, multi-tenancy, shared responsibility, virtualization, identity and access management, infrastructure misconfiguration, and third-party cloud service dependencies.</t>
  </si>
  <si>
    <t>Secure Development Practices</t>
  </si>
  <si>
    <t>Has your organization implemented a Secure Software Development Lifecycle (SDLC) framework that integrates security throughout all stages of application development—including design, coding, testing, deployment, and change management?
Describe the process.</t>
  </si>
  <si>
    <t>Yes. CleverTap follows a documented Secure Software Development Lifecycle (Secure SDLC) that integrates security and privacy controls throughout the application development lifecycle—from requirements and design through development, testing, deployment, and ongoing maintenance. The Secure SDLC is aligned with industry best practices and is designed to ensure that security is embedded into the software development process rather than applied as a post-development activity.</t>
  </si>
  <si>
    <t xml:space="preserve"> Do you enforce secure coding practices as part of your Software Development Life Cycle (SDLC), including controls such as input validation, output encoding, secure error handling, and protection of sensitive data? 
Describe the process.</t>
  </si>
  <si>
    <t>Yes, Secure coding requirements are integrated throughout the software development process to reduce the likelihood of application security vulnerabilities and to ensure that applications are developed in accordance with established security standards and industry best practices.</t>
  </si>
  <si>
    <t>Are your development, testing, and production environments clearly separated, and is access to each environment and source code restricted and monitored?
Describe the controls in place.</t>
  </si>
  <si>
    <t>Yes. CleverTap maintains strict logical segregation between development, testing, staging, and production environments as part of its Secure Software Development Lifecycle (Secure SDLC) and Information Security Management System (ISMS). Each environment is isolated to protect production systems and customer data, with access governed by the principles of least privilege, role-based access control, and continuous monitoring.</t>
  </si>
  <si>
    <t>Is IndiGo data masked or anonymized before use in non-production (e.g., development, QA) environments?</t>
  </si>
  <si>
    <t>CleverTap enables PII masking and tokenization features to protect sensitive data</t>
  </si>
  <si>
    <t>Security Awareness &amp; Training</t>
  </si>
  <si>
    <t xml:space="preserve">Are employees and other relevant stakeholders mandated to participate in awareness training programs covering areas such as information security, data privacy, anti-bribery, and disciplinary policies? 
Additionally, what is the required frequency for completing these trainings?
Pls describe the prcoess. </t>
  </si>
  <si>
    <t>Yes. CleverTap maintains a formal Security and Compliance Awareness Program that requires employees and relevant stakeholders to complete mandatory training on information security, data privacy, ethical business conduct, and organizational policies.</t>
  </si>
  <si>
    <t>Third-Party Risk Management</t>
  </si>
  <si>
    <t xml:space="preserve">Do you have a formally documented Third-Party Risk Management (TPRM) policy?
Please describe the process. </t>
  </si>
  <si>
    <t>Yes. CleverTap maintains a formally documented Third-Party Risk Management (TPRM) Policy and supporting procedures as part of its Information Security Management System (ISMS). The TPRM program establishes a risk-based approach for evaluating, onboarding, monitoring, and offboarding third-party service providers that may have access to CleverTap systems, customer data, or business-critical services.</t>
  </si>
  <si>
    <t>Are suppliers assessed for security and compliance prior to onboarding and periodically thereafter?
Please describe and provide supporting artifacts such as:
Supplier assessment policy or SOP</t>
  </si>
  <si>
    <t>Yes. CleverTap performs risk-based security and compliance assessments of suppliers and third-party service providers prior to onboarding and, where appropriate, on a periodic basis throughout the duration of the engagement. These assessments are conducted as part of CleverTap's Third-Party Risk Management (TPRM) program to ensure that suppliers maintain security, privacy, and operational controls appropriate to the services they provide and the level of risk they present.</t>
  </si>
  <si>
    <t>How do you ensure that subcontractors adhere to the same security and compliance standards as your organization?
Please describe and provide supporting artifacts such as:
Policy or contractual clauses mandating subcontractor compliance</t>
  </si>
  <si>
    <t>CleverTap requires all subcontractors (including sub-processors and service providers) that support the delivery of its services to maintain security and privacy controls that are commensurate with the risks associated with the services they provide. Compliance is enforced through a combination of due diligence, contractual obligations, ongoing governance, and periodic oversight as part of CleverTap's Third-Party Risk Management (TPRM) program.</t>
  </si>
  <si>
    <t>Are independent security assessments or audits of key third-party suppliers performed periodically, and do you validate their compliance with applicable laws, regulations, and client contractual terms?</t>
  </si>
  <si>
    <t>Yes. CleverTap performs risk-based oversight of key third-party suppliers to validate that they continue to maintain appropriate security, privacy, and compliance controls throughout the lifecycle of the engagement.</t>
  </si>
  <si>
    <t>Threat Intelligence</t>
  </si>
  <si>
    <t>Do you have a documented threat intel process for receiving and processing threat intelligence to improve your security posture addressing the followings?
•	Sources of threat intel (internal, external, paid feeds, open-source)
•	Roles and responsibilities (who monitors, who acts)
•	Tools and platforms (SIEM, TIP, SOAR)
•	Steps for validation, prioritization, and integration into security controls
•	Reporting and continuous improvement</t>
  </si>
  <si>
    <t>Yes. CleverTap maintains a documented Threat Intelligence and Vulnerability Management process as part of its Information Security Management System (ISMS). The process enables the organization to identify, assess, and respond to emerging cyber threats by leveraging multiple intelligence sources, continuous monitoring, and defined operational procedures. Threat intelligence is integrated into security operations to strengthen preventive, detective, and responsive security controls.
CleverTap leverages a combination of internal and external intelligence sources to identify emerging threats and vulnerabilities, including:
Security events and telemetry generated from internal monitoring systems.
Threat intelligence provided by cloud service providers and strategic technology partners.
Public vulnerability databases (e.g., CVEs), security advisories, and vendor bulletins.
Open-source threat intelligence feeds and industry security communities.
Commercial security intelligence services, where applicable.
Findings from vulnerability assessments, penetration testing, security incidents, and independent security research.</t>
  </si>
  <si>
    <t>What external threat intelligence sources does your organization subscribe to or rely on (e.g., CERT-In, US-CERT, industry-specific ISACs, vendor feeds)? Please specify if any are India-specific.</t>
  </si>
  <si>
    <t>CleverTap follows a risk-based threat intelligence program that leverages multiple trusted internal and external sources to monitor emerging cyber threats, vulnerabilities, and security advisories. Rather than relying on a single intelligence provider, threat intelligence is aggregated from authoritative government agencies, cloud service providers, technology vendors, industry security communities, and vulnerability databases to support timely risk identification and response.</t>
  </si>
  <si>
    <t>Vulnerability Management</t>
  </si>
  <si>
    <t>Do you have a formally documented Patch Management process is in place to maintain system security and reduce vulnerabilities?
If yes:
What policies, procedures, and tools are implemented to manage patch identification, testing, deployment, and verification across all systems and applications?
Please provide supporting artifacts such as:
Patch Management policy and process documentation</t>
  </si>
  <si>
    <t>Yes. CleverTap maintains a formally documented Patch and Vulnerability Management Policy and Process as part of its Information Security Management System (ISMS). The process establishes a structured, risk-based approach for identifying, assessing, testing, deploying, and verifying security patches across infrastructure, operating systems, applications, databases, cloud services, and supporting software components.</t>
  </si>
  <si>
    <t>Is there a formal, documented, and management-approved Vulnerability Management Policy and Procedure in place?
Please provide supporting artifacts such as:
Vulnerability Management Policy document</t>
  </si>
  <si>
    <t>Yes. CleverTap maintains a formally documented and management-approved Vulnerability Management Policy and Procedure as part of its Information Security Management System (ISMS). The policy establishes a risk-based framework for the continuous identification, assessment, prioritization, remediation, verification, and reporting of security vulnerabilities across applications, infrastructure, cloud environments, endpoints, and supporting technology assets.</t>
  </si>
  <si>
    <t>Is vulnerability scanning conducted at least on a monthly basis for internal and external systems and networks?
Please provide supporting artifacts such as:
Evidence of recent internal and external scan reports
Details of scanning tools and configurations</t>
  </si>
  <si>
    <t>Yes. CleverTap conducts regular vulnerability scanning of internal and external systems and networks as part of its Vulnerability Management Program. Vulnerability assessments are performed on a periodic basis, including recurring scans of applicable assets, to identify security weaknesses, misconfigurations, outdated software components, and other potential vulnerabilities.</t>
  </si>
  <si>
    <t>Is there a defined process for remediating identified vulnerabilities in accordance with the below timeline?
Remediation timeline- 
Zero day: 0-7 Days 
Critical/High: 30 Days
Medium: 60 Days
Low: 180 days 
Please provide supporting artifacts such as:
Policy document outlining remediation timelines and responsibilities</t>
  </si>
  <si>
    <t xml:space="preserve">Yes. CleverTap maintains a formally documented Vulnerability Management Policy and Remediation Process that defines the identification, prioritization, ownership, remediation, and closure of security vulnerabilities. The remediation process follows a risk-based approach, where vulnerabilities are prioritized based on severity, exploitability, business impact, asset criticality, and the availability of mitigation measures.
Vulnerabilities are targeted for remediation based on their severity classification:
Zero day: 0-7 Days 
Critical/High: 30 Days
Medium: 60 Days
Low: 180 days </t>
  </si>
  <si>
    <t>Is a Penetration Test conducted at least annually, and are all identified vulnerabilities tracked throughout the remediation process?
If yes, what methodology and tools are used, and how is remediation progress monitored?
Please provide supporting artifacts such as:
Policy document
Latest penetration test report (redacted)
Evidence of vulnerability tracking and remediation (e.g., ticketing system screenshots)</t>
  </si>
  <si>
    <t>Yes. CleverTap conducts periodic penetration testing, including at least annual penetration assessments, as part of its Information Security Program to proactively identify security weaknesses and validate the effectiveness of implemented security controls. Penetration testing is performed by qualified internal and/or independent security professionals using industry-recognized methodologies.</t>
  </si>
  <si>
    <t xml:space="preserve">Are patches applied in a timely manner, and are they tested in a non-production environment prior to deployment?
Remediation timeline- 
Zero day: 0-7 Days 
Critical/High: 30 Days
Medium: 60 Days
Low: 180 days 
If yes, what process ensures timely patching and validation before production rollout?
Please provide supporting artifacts such as:
Patch Management Policy </t>
  </si>
  <si>
    <t>Yes. CleverTap maintains a formally documented Patch Management Policy and Process to ensure that security patches are identified, assessed, tested, deployed, and verified in a timely manner across applicable systems and applications.</t>
  </si>
  <si>
    <t xml:space="preserve">Physical Control </t>
  </si>
  <si>
    <t>Is controlled facility access enforced through mechanisms such as ID badges, access cards, and biometric checks, ensuring secure entry and monitoring?</t>
  </si>
  <si>
    <t>Yes. CleverTap maintains controlled physical access measures to protect its corporate facilities and information assets. Physical access to offices and restricted areas is governed through established security policies and procedures, ensuring that only authorized personnel, visitors, and approved third parties are permitted access.</t>
  </si>
  <si>
    <t>Are CCTV surveillance systems deployed across all critical areas and entry-exit points to ensure continuous monitoring and recording of activities?</t>
  </si>
  <si>
    <t>Yes. CleverTap maintains appropriate physical security monitoring controls for its facilities, including CCTV surveillance mechanisms to monitor critical areas and entry-exit points.</t>
  </si>
  <si>
    <t>Are CCTV recordings securely retained for a minimum of 45 days or in accordance with applicable legal requirements, whichever duration is longer</t>
  </si>
  <si>
    <t>Yes. CleverTap maintains defined controls for the secure retention and management of CCTV recordings in accordance with applicable organizational requirements, contractual obligations, and relevant legal or regulatory requirements</t>
  </si>
  <si>
    <t>Is there a formal procedure for reviewing and auditing the list of authorized individuals with permanent access to secure areas, ensuring compliance and security enforcement?</t>
  </si>
  <si>
    <t>Yes. CleverTap maintains a formal process for the review, validation, and audit of authorized physical access permissions to secure areas. Access to restricted facilities and sensitive areas is granted based on business requirements and is periodically reviewed to ensure that only authorized individuals retain appropriate access privileges.</t>
  </si>
  <si>
    <t>Are critical devices protected from power failures (e.g., UPS, dual power feeds, generator) and disruptions in supporting utilities, ensuring resilience and continuity?, Are UPS systems deployed and maintained to provide continuous power backup for critical infrastructure during outages or power disruptions?</t>
  </si>
  <si>
    <t>Yes. CleverTap maintains appropriate business continuity and resilience controls to protect critical systems and infrastructure from power disruptions and supporting utility failures. Critical technology infrastructure is hosted within highly available environments that incorporate appropriate redundancy, backup power, and resilience mechanisms to support service availability.</t>
  </si>
  <si>
    <t>Are UPS systems regularly tested, monitored, and maintained to ensure reliable power backup during outages?</t>
  </si>
  <si>
    <t>Yes. CleverTap ensures that UPS systems and associated power backup mechanisms are regularly monitored, tested, and maintained to support reliable operation of critical infrastructure during power outages or utility disruptions.</t>
  </si>
  <si>
    <t>Are anti-tailgating mechanisms implemented at all critical access points to prevent unauthorized entry?</t>
  </si>
  <si>
    <t>Yes. CleverTap implements appropriate physical access control measures to reduce the risk of unauthorized entry through tailgating or piggybacking at controlled access points</t>
  </si>
  <si>
    <t>Are emergency alarm systems and evacuation procedures integrated into the facility’s security infrastructure, and are they regularly tested and updated for effectiveness?</t>
  </si>
  <si>
    <t>Yes. CleverTap maintains appropriate physical and environmental security controls to support employee safety, facility protection, and effective response during emergency situations. Emergency alarm systems and evacuation procedures are integrated into facility safety and security processes and are periodically reviewed, tested, and updated to ensure continued effectiveness.</t>
  </si>
  <si>
    <t>Are fire and evacuation drills conducted at least once annually to ensure preparedness and compliance with safety protocols</t>
  </si>
  <si>
    <t>Yes. CleverTap conducts periodic fire and evacuation drills, including at least annual drills where applicable, to validate emergency preparedness, ensure employee awareness, and verify the effectiveness of established safety and evacuation procedures.</t>
  </si>
  <si>
    <t>Is a visitor management system in place to control access to the premises?</t>
  </si>
  <si>
    <t>Yes. CleverTap maintains a formal visitor management process to control and monitor access to its premises and ensure that only authorized individuals are permitted entry into controlled areas. Visitor access is managed through defined procedures designed to protect employees, facilities, information assets, and infrastructure.</t>
  </si>
  <si>
    <t>Does the system support identity verification, badge issuance, and log tracking of visitor entry and exit times?</t>
  </si>
  <si>
    <t>Yes. CleverTap maintains a visitor management process that supports visitor identification, authorization, badge issuance, and tracking of visitor entry and exit activities. These controls are implemented to ensure accountability, restrict unauthorized physical access, and maintain visibility into third-party access to company premises.</t>
  </si>
  <si>
    <t>Are incidents of unauthorized access or discrepancies from approved visit details investigated and documented appropriately?</t>
  </si>
  <si>
    <t>Yes. CleverTap maintains a formal process for the identification, investigation, documentation, and resolution of unauthorized physical access incidents or discrepancies identified during visitor management activities. Any suspected deviation from approved access procedures is handled through established physical security and incident management processes.</t>
  </si>
  <si>
    <t>Scope, Disclosure &amp; Approval</t>
  </si>
  <si>
    <t>Do you have documented information describing the AI System, including model family/version, training or fine‑tuning approach, ownership, and country of origin?
If yes, please provide documentation (e.g., model card, architecture diagram).</t>
  </si>
  <si>
    <t>Yes. CleverTap maintains documented information describing its AI capabilities, including relevant details regarding AI system ownership, model architecture, versioning, development approach, and operational governance. AI systems are managed through defined processes to ensure transparency, accountability, security, and responsible usage.</t>
  </si>
  <si>
    <t>Have you classified the AI System (Prohibited / High‑risk / Limited / Minimal) and identified all legal or regulatory obligations triggered?
If yes, please provide the classification and supporting assessment.</t>
  </si>
  <si>
    <t>Yes. CleverTap follows a risk-based AI governance approach to assess and classify AI-enabled capabilities based on their intended use, functionality, impact, data processing considerations, and applicable legal or regulatory requirements.</t>
  </si>
  <si>
    <t>Do you maintain documented details of all data locations (at rest/in transit), approved cloud regions, and sub‑processors used for the AI System?
If yes, please provide the data flow diagram or inventory.</t>
  </si>
  <si>
    <t>Yes. CleverTap maintains documented information regarding data locations, data flows, hosting environments, approved cloud regions, and third-party service providers (including applicable sub-processors) involved in the delivery and operation of its AI-enabled capabilities. These records are maintained as part of CleverTap's broader data governance, privacy, security architecture, and third-party risk management processes.</t>
  </si>
  <si>
    <t>Privacy, Security &amp; Data Handling</t>
  </si>
  <si>
    <t>Do you have controls ensuring IndiGo Data is used only for contracted Services, not mined for unrelated purposes, not used to train general LLMs, not shared with third parties, and not processed outside approved regions; and do you segregate IndiGo data with India‑only residency?
If yes, please provide supporting policy or documentation.</t>
  </si>
  <si>
    <t>Yes. CleverTap maintains comprehensive data governance, privacy, security, and contractual control frameworks to ensure that customer data, including IndiGo data, is processed only for agreed-upon business purposes and in accordance with applicable contractual, regulatory, and privacy obligations.</t>
  </si>
  <si>
    <t>Do you maintain a documented supply‑chain governance approach for AI (tools/models/sub‑vendors), including due‑diligence status and contractual flow‑downs?
If yes, please provide the supply chain register or summary.</t>
  </si>
  <si>
    <t>Yes. CleverTap maintains a documented Third-Party Risk Management (TPRM) and supply-chain governance framework that extends to AI-related tools, models, technology providers, and sub-vendors involved in the delivery and operation of CleverTap services.</t>
  </si>
  <si>
    <t>Compliance, Governance &amp; Regulatory</t>
  </si>
  <si>
    <t>Do you have documented evidence of compliance with applicable AI, data protection, IP, security, and anti‑discrimination laws and policies, and a process to track and implement new/changed requirements?
If yes, please provide compliance summaries or registers.</t>
  </si>
  <si>
    <t>Yes. CleverTap maintains a structured compliance and regulatory governance framework to identify, assess, monitor, and implement applicable legal, regulatory, contractual, and industry requirements relevant to artificial intelligence, data protection, intellectual property, information security, and responsible technology practices.</t>
  </si>
  <si>
    <t>Quality, Fairness, Explainability &amp; Oversight</t>
  </si>
  <si>
    <t>Do you conduct documented quality assurance, robustness/adversarial testing, and bias/disparate‑impact assessments for the AI System?
If yes, please provide test results or summaries.</t>
  </si>
  <si>
    <t>Yes. CleverTap follows a structured AI quality assurance and validation approach to assess the performance, reliability, security, and responsible operation of AI-enabled capabilities. AI systems are subject to appropriate testing and review processes throughout their lifecycle, including prior to production release and during ongoing operation.</t>
  </si>
  <si>
    <t>Do you provide documented human oversight procedures, including anomaly detection, operator guidance, and a human‑accessible override/kill‑switch mechanism?
If yes, please provide SOPs or design documentation.</t>
  </si>
  <si>
    <t>Yes. CleverTap follows a structured AI governance and operational oversight framework to ensure appropriate human oversight, monitoring, and control mechanisms are applied to AI-enabled capabilities. The level of human involvement and oversight is determined based on the nature of the AI functionality, associated risk profile, and intended use case</t>
  </si>
  <si>
    <t>AI Incidents &amp; Corrective Actions</t>
  </si>
  <si>
    <t>Do you have an incident response process ensuring notification to IndiGo within 24 hours for AI incidents, hazards, harmful outputs, unintended behavior, or security/privacy breaches?
If yes, please provide the incident response procedure.</t>
  </si>
  <si>
    <t>Yes. CleverTap maintains a formal Information Security Incident Management and Response Process to identify, assess, contain, investigate, remediate, and communicate security and privacy incidents, including incidents involving AI-enabled capabilities where applicable.</t>
  </si>
  <si>
    <t>Do you have a documented process for corrective actions, suspension criteria, remediation planning, and re‑testing/validation?
If yes, please provide the procedure.</t>
  </si>
  <si>
    <t>Yes. CleverTap maintains a documented Corrective Action and Remediation Management Process to ensure that identified issues, including security vulnerabilities, operational gaps, AI-related risks, or compliance findings, are appropriately assessed, remediated, validated, and formally closed.</t>
  </si>
  <si>
    <t>Training Data, Testing &amp; Acceptance</t>
  </si>
  <si>
    <t>Do you apply governance ensuring IndiGo‑provided data is used only for Services and vendor‑provided training data is lawfully sourced and assessed for bias?
If yes, please provide the governance documentation.</t>
  </si>
  <si>
    <t>Yes. CleverTap maintains data governance, privacy, security, and responsible AI practices to ensure that customer-provided data, including IndiGo-provided data, is used only for authorized purposes and that any third-party or vendor-provided data used within AI-enabled capabilities is subject to appropriate governance, assessment, and contractual controls.</t>
  </si>
  <si>
    <t>Do you conduct acceptance testing against agreed criteria and provide testing artefacts (methodology, inputs, expected outputs, assumptions, limitations)?
If yes, please share acceptance test results or templates.</t>
  </si>
  <si>
    <t>Yes. CleverTap follows a structured quality assurance and acceptance testing process to validate that platform features, including AI-enabled capabilities where applicable, meet defined functional, technical, security, and performance requirements before production deployment.</t>
  </si>
  <si>
    <t>Change Management (AI)</t>
  </si>
  <si>
    <t>Do you have a documented change control process ensuring substantial modifications require IndiGo approval and previous versions can be rolled back immediately?
If yes, please provide the change management policy.</t>
  </si>
  <si>
    <t>Yes. CleverTap maintains a formally documented Change Management Policy and Process to ensure that changes to systems, applications, infrastructure, configurations, and services are planned, assessed, approved, tested, implemented, and monitored in a controlled manner.</t>
  </si>
  <si>
    <t>AI Reporting, Logging &amp; Audit</t>
  </si>
  <si>
    <t>Do you maintain automated logging of events, inputs/outputs, and runtime context, with minimum one‑year retention aligned to recognized best practice (e.g., ISO/IEC 42001)?
If yes, please provide logging/retention documentation.</t>
  </si>
  <si>
    <t>Yes. CleverTap maintains comprehensive logging, monitoring, and audit trail capabilities across its platform and supporting infrastructure to provide visibility into system events, operational activities, security events, and relevant processing activities. Logging controls are implemented as part of CleverTap’s broader information security, operational monitoring, and governance framework.</t>
  </si>
  <si>
    <t>IP &amp; Third‑Party Software</t>
  </si>
  <si>
    <t>Do you confirm IndiGo retains all rights to its data/outputs and provide an SBOM/AIBOM disclosing open‑source and third‑party AI components used?
If yes, please provide the SBOM/AIBOM or inventory.</t>
  </si>
  <si>
    <t>Yes. CleverTap confirms that IndiGo retains ownership of all customer-provided data processed through the CleverTap platform. Customer data is processed solely for the purpose of delivering the contracted services and in accordance with the applicable Master Services Agreement (MSA), Data Processing Agreement (DPA), and other contractual commitments. CleverTap does not claim ownership of customer data or customer-specific outputs generated through the platform.</t>
  </si>
  <si>
    <t>Handover &amp; Destruction</t>
  </si>
  <si>
    <t>Do you have procedures to hand over IndiGo datasets on request and destroy originals/copies at termination, with destruction certificates?
If yes, please provide process details or templates.</t>
  </si>
  <si>
    <t>Yes. CleverTap maintains documented data lifecycle management, data export, and secure data deletion processes to ensure that customer data is handled appropriately throughout the engagement lifecycle, including data handover upon request and secure destruction upon termination of services.</t>
  </si>
  <si>
    <t>AI Risk Management System (RMS)</t>
  </si>
  <si>
    <t>Do you maintain a documented AI Risk Management System proportionate to system risk, with defined scope and governance?
If yes, please provide the RMS summary or policy.</t>
  </si>
  <si>
    <t>Yes. CleverTap maintains an AI Risk Management approach that is integrated with its broader Information Security, Privacy, Data Governance, and Technology Risk Management frameworks. The AI Risk Management System (RMS) is designed to ensure that AI-enabled capabilities are assessed, governed, monitored, and managed in a manner proportionate to their intended use, complexity, and associated risk.</t>
  </si>
  <si>
    <t>Agentic AI Security Controls</t>
  </si>
  <si>
    <t>Do you assign each AI agent a unique, cryptographically attested identity (e.g., PKI/mTLS) using scoped, short‑lived credentials, and prohibit privilege inheritance without fresh intent validation?
If yes, please provide supporting documentation or architecture diagrams.</t>
  </si>
  <si>
    <t>CleverTap maintains strong identity, authentication, authorization, and access control mechanisms across its platform and infrastructure environments. AI-enabled capabilities are governed through established security architecture principles, including least privilege, controlled access, authentication, authorization, and monitoring.</t>
  </si>
  <si>
    <t>Do all AI‑agent communications use secure channels such as session keys, mTLS (TLS 1.3) with per‑agent certificates, digital signatures (e.g., RSA‑4096), and anti‑replay protections (nonces/timestamps)?
If yes, please provide technical documentation or protocol specifications.</t>
  </si>
  <si>
    <t>CleverTap implements industry-standard secure communication and cryptographic controls to protect communications between platform components, services, APIs, and supporting infrastructure. Communications are encrypted in transit using modern transport security protocols and are governed through established security architecture, identity, and access management controls.</t>
  </si>
  <si>
    <t>Do you enforce strict session and context controls, including 20–30 minute idle timeouts, minimal state persistence (excluding raw prompts/sensitive context), and validated context rehydration when sessions resume?
If yes, please provide policy or system behavior documentation.</t>
  </si>
  <si>
    <t>Yes. CleverTap implements session management and context handling controls as part of its Information Security, Identity and Access Management (IAM), and Secure Development practices. These controls are designed to protect user sessions, minimise the risk of unauthorised access, and ensure secure handling of application state and contextual information.</t>
  </si>
  <si>
    <t>Do you implement safeguards such as quotas, rate limits, circuit breakers, and independent policy enforcement between planning and execution components to prevent cascading failures, and conduct annual blast‑radius containment tests?
If yes, please provide relevant technical controls or test reports.</t>
  </si>
  <si>
    <t>Yes. CleverTap implements a range of resilience, reliability, and security controls to ensure the safe operation of its platform and AI-enabled capabilities. These controls are designed to prevent cascading failures, maintain service availability, and limit the impact of component-level issues through a defence-in-depth architecture and established operational governance.</t>
  </si>
  <si>
    <t>Do you implement AI security measures aligned with the OWASP Top 10 for LLMs/Agentic AI and conduct periodic red‑teaming to identify and mitigate vulnerabilities?
If yes, please provide OWASP mappings, red‑team reports, or remediation plans.</t>
  </si>
  <si>
    <t>Yes. CleverTap incorporates security controls and secure development practices that align with recognized industry frameworks and best practices for AI and application security, including guidance from the OWASP Top 10 for Large Language Model (LLM) Applications, the OWASP Agentic AI Security Initiative, and established secure software development principles. AI-enabled capabilities are subject to security reviews, testing, and continuous monitoring throughout their lifecycle.</t>
  </si>
  <si>
    <t>Do you verify MCP tools, plugins, agent‑cards, and prompt templates; maintain an SBOM/AIBOM; perform typosquat/dependency integrity checks; and provide a runtime kill‑switch to revoke compromised components?
If yes, please provide SBOM/AIBOM samples or security procedures.</t>
  </si>
  <si>
    <t>Yes. CleverTap maintains a secure software supply chain and AI governance framework to manage third-party software components, AI dependencies, plugins, and supporting technologies used within its platform. These controls are integrated into CleverTap's Secure Software Development Lifecycle (SSDLC), Third-Party Risk Management (TPRM), Vulnerability Management, and Change Management processes to reduce supply chain risk and maintain platform integrity.</t>
  </si>
  <si>
    <t>Do you prohibit unsafe eval, dynamic loading of untrusted code, and unsafe deserialization, and ensure any model‑generated code executes only in isolated, non‑root sandboxes with strict filesystem and outbound‑network restrictions?
If yes, please provide secure execution or sandboxing documentation.</t>
  </si>
  <si>
    <t>Yes. CleverTap follows secure software engineering and application security practices that prohibit the use of insecure coding patterns and implement appropriate execution controls to minimise the risk of code injection, remote code execution, and privilege escalation. These controls form part of CleverTap's Secure Software Development Lifecycle (SSDLC), Application Security, and Infrastructure Security frameworks.</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</si>
</sst>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4.0"/>
      <color theme="0"/>
      <name val="Calibri"/>
    </font>
    <font>
      <sz val="11.0"/>
      <color theme="1"/>
      <name val="Calibri"/>
    </font>
    <font/>
    <font>
      <b/>
      <sz val="11.0"/>
      <color rgb="FFFFFFFF"/>
      <name val="Calibri"/>
    </font>
    <font>
      <b/>
      <sz val="10.0"/>
      <color rgb="FFFFFFFF"/>
      <name val="Helvetica Neue"/>
    </font>
    <font>
      <b/>
      <sz val="11.0"/>
      <color theme="0"/>
      <name val="Calibri"/>
    </font>
    <font>
      <b/>
      <sz val="10.0"/>
      <color theme="1"/>
      <name val="Helvetica Neue"/>
    </font>
    <font>
      <sz val="10.0"/>
      <color theme="1"/>
      <name val="Helvetica Neue"/>
    </font>
    <font>
      <b/>
      <sz val="11.0"/>
      <color theme="1"/>
      <name val="Calibri"/>
    </font>
    <font>
      <b/>
      <u/>
      <sz val="14.0"/>
      <color theme="0"/>
      <name val="Calibri"/>
    </font>
    <font>
      <u/>
      <sz val="14.0"/>
      <color theme="1"/>
      <name val="Calibri"/>
    </font>
    <font>
      <b/>
      <u/>
      <sz val="14.0"/>
      <color theme="1"/>
      <name val="Calibri"/>
    </font>
    <font>
      <u/>
      <sz val="10.0"/>
      <color rgb="FF0000FF"/>
      <name val="Helvetica Neue"/>
    </font>
    <font>
      <b/>
      <u/>
      <sz val="12.0"/>
      <color theme="1"/>
      <name val="Calibri"/>
    </font>
    <font>
      <u/>
      <sz val="12.0"/>
      <color theme="1"/>
      <name val="Calibri"/>
    </font>
    <font>
      <u/>
      <sz val="10.0"/>
      <color theme="1"/>
      <name val="Helvetica Neue"/>
    </font>
    <font>
      <color theme="1"/>
      <name val="Calibri"/>
      <scheme val="minor"/>
    </font>
    <font>
      <u/>
      <sz val="11.0"/>
      <color theme="1"/>
      <name val="Calibri"/>
    </font>
    <font>
      <sz val="11.0"/>
      <color theme="0"/>
      <name val="Calibri"/>
    </font>
    <font>
      <b/>
      <sz val="11.0"/>
      <color rgb="FFFF0000"/>
      <name val="Calibri"/>
    </font>
    <font>
      <b/>
      <sz val="9.0"/>
      <color theme="0"/>
      <name val="Quattrocento Sans"/>
    </font>
    <font>
      <sz val="11.0"/>
      <color rgb="FF212529"/>
      <name val="Arial"/>
    </font>
  </fonts>
  <fills count="7">
    <fill>
      <patternFill patternType="none"/>
    </fill>
    <fill>
      <patternFill patternType="lightGray"/>
    </fill>
    <fill>
      <patternFill patternType="solid">
        <fgColor rgb="FF002060"/>
        <bgColor rgb="FF002060"/>
      </patternFill>
    </fill>
    <fill>
      <patternFill patternType="solid">
        <fgColor theme="0"/>
        <bgColor theme="0"/>
      </patternFill>
    </fill>
    <fill>
      <patternFill patternType="solid">
        <fgColor rgb="FFDEEAF6"/>
        <bgColor rgb="FFDEEAF6"/>
      </patternFill>
    </fill>
    <fill>
      <patternFill patternType="solid">
        <fgColor rgb="FF1F3864"/>
        <bgColor rgb="FF1F3864"/>
      </patternFill>
    </fill>
    <fill>
      <patternFill patternType="solid">
        <fgColor rgb="FFFFFFFF"/>
        <bgColor rgb="FFFFFFFF"/>
      </patternFill>
    </fill>
  </fills>
  <borders count="9">
    <border/>
    <border>
      <left style="thin">
        <color rgb="FF000000"/>
      </lef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Border="1" applyFill="1" applyFont="1"/>
    <xf borderId="3" fillId="0" fontId="3" numFmtId="0" xfId="0" applyBorder="1" applyFont="1"/>
    <xf borderId="4" fillId="2" fontId="4" numFmtId="0" xfId="0" applyAlignment="1" applyBorder="1" applyFont="1">
      <alignment horizontal="center" shrinkToFit="0" vertical="center" wrapText="1"/>
    </xf>
    <xf borderId="1" fillId="0" fontId="2" numFmtId="0" xfId="0" applyAlignment="1" applyBorder="1" applyFont="1">
      <alignment horizontal="center" vertical="center"/>
    </xf>
    <xf borderId="4" fillId="2" fontId="5" numFmtId="0" xfId="0" applyAlignment="1" applyBorder="1" applyFont="1">
      <alignment horizontal="center" shrinkToFit="0" vertical="center" wrapText="1"/>
    </xf>
    <xf borderId="4" fillId="2" fontId="6" numFmtId="0" xfId="0" applyAlignment="1" applyBorder="1" applyFont="1">
      <alignment horizontal="center" vertical="center"/>
    </xf>
    <xf borderId="4" fillId="2" fontId="6" numFmtId="0" xfId="0" applyAlignment="1" applyBorder="1" applyFont="1">
      <alignment horizontal="center" shrinkToFit="0" vertical="center" wrapText="1"/>
    </xf>
    <xf borderId="4" fillId="2" fontId="5"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9" numFmtId="0" xfId="0" applyBorder="1" applyFont="1"/>
    <xf borderId="5" fillId="2" fontId="10" numFmtId="0" xfId="0" applyAlignment="1" applyBorder="1" applyFont="1">
      <alignment horizontal="center" vertical="center"/>
    </xf>
    <xf borderId="4" fillId="0" fontId="9" numFmtId="0" xfId="0" applyAlignment="1" applyBorder="1" applyFont="1">
      <alignment horizontal="center" vertical="center"/>
    </xf>
    <xf borderId="6" fillId="0" fontId="3" numFmtId="0" xfId="0" applyBorder="1" applyFont="1"/>
    <xf borderId="7" fillId="0" fontId="3" numFmtId="0" xfId="0" applyBorder="1" applyFont="1"/>
    <xf borderId="2" fillId="3" fontId="11" numFmtId="0" xfId="0" applyBorder="1" applyFont="1"/>
    <xf borderId="4" fillId="0" fontId="2" numFmtId="0" xfId="0" applyAlignment="1" applyBorder="1" applyFont="1">
      <alignment horizontal="left" shrinkToFit="0" vertical="center" wrapText="1"/>
    </xf>
    <xf borderId="4" fillId="0" fontId="2" numFmtId="0" xfId="0" applyAlignment="1" applyBorder="1" applyFont="1">
      <alignment readingOrder="0"/>
    </xf>
    <xf borderId="4" fillId="0" fontId="2" numFmtId="0" xfId="0" applyAlignment="1" applyBorder="1" applyFont="1">
      <alignment readingOrder="0" shrinkToFit="0" wrapText="1"/>
    </xf>
    <xf borderId="2" fillId="3" fontId="12" numFmtId="0" xfId="0" applyAlignment="1" applyBorder="1" applyFont="1">
      <alignment vertical="center"/>
    </xf>
    <xf borderId="4" fillId="0" fontId="2" numFmtId="0" xfId="0" applyBorder="1" applyFont="1"/>
    <xf borderId="4" fillId="0" fontId="13" numFmtId="0" xfId="0" applyAlignment="1" applyBorder="1" applyFont="1">
      <alignment readingOrder="0" shrinkToFit="0" vertical="top" wrapText="1"/>
    </xf>
    <xf borderId="4" fillId="2" fontId="6" numFmtId="0" xfId="0" applyAlignment="1" applyBorder="1" applyFont="1">
      <alignment horizontal="center"/>
    </xf>
    <xf borderId="4" fillId="0" fontId="2" numFmtId="0" xfId="0" applyAlignment="1" applyBorder="1" applyFont="1">
      <alignment horizontal="center" vertical="center"/>
    </xf>
    <xf borderId="4" fillId="0" fontId="8" numFmtId="0" xfId="0" applyAlignment="1" applyBorder="1" applyFont="1">
      <alignment readingOrder="0" shrinkToFit="0" vertical="top" wrapText="1"/>
    </xf>
    <xf borderId="2" fillId="3" fontId="14" numFmtId="0" xfId="0" applyAlignment="1" applyBorder="1" applyFont="1">
      <alignment vertical="center"/>
    </xf>
    <xf borderId="4" fillId="0" fontId="2" numFmtId="0" xfId="0" applyAlignment="1" applyBorder="1" applyFont="1">
      <alignment horizontal="center"/>
    </xf>
    <xf borderId="4" fillId="0" fontId="8" numFmtId="0" xfId="0" applyAlignment="1" applyBorder="1" applyFont="1">
      <alignment readingOrder="0" shrinkToFit="0" vertical="top" wrapText="1"/>
    </xf>
    <xf borderId="2" fillId="3" fontId="15" numFmtId="0" xfId="0" applyAlignment="1" applyBorder="1" applyFont="1">
      <alignment vertical="center"/>
    </xf>
    <xf borderId="4" fillId="0" fontId="16" numFmtId="0" xfId="0" applyAlignment="1" applyBorder="1" applyFont="1">
      <alignment readingOrder="0" shrinkToFit="0" vertical="top" wrapText="1"/>
    </xf>
    <xf borderId="5" fillId="3" fontId="2" numFmtId="0" xfId="0" applyAlignment="1" applyBorder="1" applyFont="1">
      <alignment horizontal="left" shrinkToFit="0" vertical="center" wrapText="1"/>
    </xf>
    <xf borderId="2" fillId="3" fontId="2" numFmtId="0" xfId="0" applyAlignment="1" applyBorder="1" applyFont="1">
      <alignment shrinkToFit="0" wrapText="1"/>
    </xf>
    <xf borderId="0" fillId="0" fontId="17" numFmtId="0" xfId="0" applyFont="1"/>
    <xf borderId="4" fillId="0" fontId="18" numFmtId="0" xfId="0" applyAlignment="1" applyBorder="1" applyFont="1">
      <alignment readingOrder="0" shrinkToFit="0" wrapText="1"/>
    </xf>
    <xf borderId="2" fillId="3" fontId="2" numFmtId="0" xfId="0" applyAlignment="1" applyBorder="1" applyFont="1">
      <alignment horizontal="left" vertical="center"/>
    </xf>
    <xf borderId="5" fillId="3" fontId="2" numFmtId="0" xfId="0" applyAlignment="1" applyBorder="1" applyFont="1">
      <alignment vertical="top"/>
    </xf>
    <xf borderId="4" fillId="2" fontId="19" numFmtId="0" xfId="0" applyAlignment="1" applyBorder="1" applyFont="1">
      <alignment shrinkToFit="0" vertical="center" wrapText="1"/>
    </xf>
    <xf borderId="4" fillId="0" fontId="2" numFmtId="0" xfId="0" applyAlignment="1" applyBorder="1" applyFont="1">
      <alignment shrinkToFit="0" wrapText="1"/>
    </xf>
    <xf borderId="0" fillId="0" fontId="2" numFmtId="0" xfId="0" applyAlignment="1" applyFont="1">
      <alignment horizontal="center" vertical="center"/>
    </xf>
    <xf borderId="5" fillId="3" fontId="9" numFmtId="0" xfId="0" applyAlignment="1" applyBorder="1" applyFont="1">
      <alignment vertical="top"/>
    </xf>
    <xf borderId="5" fillId="4" fontId="20" numFmtId="0" xfId="0" applyAlignment="1" applyBorder="1" applyFill="1" applyFont="1">
      <alignment horizontal="center" vertical="center"/>
    </xf>
    <xf borderId="8" fillId="5" fontId="21" numFmtId="0" xfId="0" applyAlignment="1" applyBorder="1" applyFill="1" applyFont="1">
      <alignment horizontal="left" shrinkToFit="0" vertical="center" wrapText="1"/>
    </xf>
    <xf borderId="2" fillId="3" fontId="2" numFmtId="0" xfId="0" applyAlignment="1" applyBorder="1" applyFont="1">
      <alignment vertical="center"/>
    </xf>
    <xf borderId="4" fillId="0" fontId="9" numFmtId="0" xfId="0" applyAlignment="1" applyBorder="1" applyFont="1">
      <alignment horizontal="center" shrinkToFit="0" vertical="center" wrapText="1"/>
    </xf>
    <xf borderId="4" fillId="0" fontId="2" numFmtId="0" xfId="0" applyAlignment="1" applyBorder="1" applyFont="1">
      <alignment shrinkToFit="0" vertical="center" wrapText="1"/>
    </xf>
    <xf borderId="2" fillId="3" fontId="9" numFmtId="0" xfId="0" applyAlignment="1" applyBorder="1" applyFont="1">
      <alignment vertical="center"/>
    </xf>
    <xf borderId="0" fillId="6" fontId="22" numFmtId="0" xfId="0" applyAlignment="1" applyFill="1" applyFont="1">
      <alignment readingOrder="0" shrinkToFit="0" wrapText="1"/>
    </xf>
    <xf borderId="4" fillId="0" fontId="2" numFmtId="0" xfId="0" applyAlignment="1" applyBorder="1" applyFont="1">
      <alignment horizontal="left" shrinkToFit="0" vertical="top" wrapText="1"/>
    </xf>
    <xf borderId="0" fillId="0" fontId="17" numFmtId="0" xfId="0" applyAlignment="1" applyFont="1">
      <alignment readingOrder="0" shrinkToFit="0" wrapText="1"/>
    </xf>
    <xf borderId="0" fillId="0" fontId="9"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1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wR0X615_pyEdzIa2hmUfTWUBcCnGM6-8/view?usp=sharing" TargetMode="External"/><Relationship Id="rId2" Type="http://schemas.openxmlformats.org/officeDocument/2006/relationships/hyperlink" Target="https://drive.google.com/file/d/1pB55e1Cf3rgh238UlIo0VfH9liWZe6jr/view?usp=sharing" TargetMode="External"/><Relationship Id="rId3" Type="http://schemas.openxmlformats.org/officeDocument/2006/relationships/hyperlink" Target="http://trust.clevertap.com/" TargetMode="External"/><Relationship Id="rId4" Type="http://schemas.openxmlformats.org/officeDocument/2006/relationships/hyperlink" Target="https://drive.google.com/drive/folders/1nNB22C90etvdP2sRgxUFj2wR2vQlqGsl?usp=sharing" TargetMode="External"/><Relationship Id="rId5" Type="http://schemas.openxmlformats.org/officeDocument/2006/relationships/hyperlink" Target="https://drive.google.com/file/d/1cUA6qU46e-1wAtPVy71lsRwcTIs-IgR2/view?usp=sharing" TargetMode="External"/><Relationship Id="rId6" Type="http://schemas.openxmlformats.org/officeDocument/2006/relationships/hyperlink" Target="https://sprintos3-customerbucketef939f4a-10uzvtgngl9e7.s3.us-west-1.amazonaws.com/TrustCenterWatermarkedItem/67312174-8f98-4fef-85ef-6c587d6abda2/de7ad0ec-4900-4212-8030-e09e5f7d30b8/N%26A%20diagram.pdf?X-Amz-Algorithm=AWS4-HMAC-SHA256&amp;X-Amz-Content-Sha256=UNSIGNED-PAYLOAD&amp;X-Amz-Credential=ASIAQAUI5HT6UE52A5OW%2F20260729%2Fus-west-1%2Fs3%2Faws4_request&amp;X-Amz-Date=20260729T075735Z&amp;X-Amz-Expires=1800&amp;X-Amz-Security-Token=IQoJb3JpZ2luX2VjELD%2F%2F%2F%2F%2F%2F%2F%2F%2F%2FwEaCXVzLXdlc3QtMSJHMEUCIQDrCmLz3K4xH25h%2FBlhUxHAhLWBT9UAIEvzAfvV16iQoQIgCO%2FgeH9fLGV9StedlKFnK0oNM8Gj0AXrdk3a8T4l2dUqhgQIeRADGgwwMDEzNjA4NzA2NTMiDL3NgNh26qrQNLCI4SrjA0iXWfmsR3ETSewgiLHB1WISIDTUOPvB013OjQMDZ2jlkQt%2BLl8ybCiAyMEfdAHvR0BQGdq9yP2SFRe141rxRmqi3DzsGbEGO8DqivFKxbg5ufRwsj0FFEOUAMl7I7594FZoHPorUSUUCVJxQbgLdSobUarbjMQmt4iRk32IRdvecIZfLKgtlV%2Bgx%2BJ6VpLROa%2F5eLYbBGl5lWr3Q2hcPa%2FgFfDulbMWLCcumlzZetMrxTEZ3zXadEyTnVJA9wnrBMFJBC64NPeUXiGMUUAmjoBMiNlJo9Nh6oiyvRDL7tHRxL%2F%2FfE9Zw7jg8cTEdWdFnKqvS%2B9snrQ3dMO0XyiGC79fLj3RFgaTwM707god9RxV1KjPApB%2FGRoqD2vE9MaRwe3OOyQCh9xLvoRgDHBDTROgWusWTEK2QdcR5gMCGexdcEplEM1ZD2VNUatnVslTUvqFsl7JWLmTzrSamuzNUVQjmKQxQ4IewqrkFUdrsoouEujVai7xHpgXJ%2Bi%2B9%2BnBeAsc%2B8dIHLPw5gES1BXg00NvCRjX7M4ZmRtoPaTCTXiEp3J%2FG37vj9mzB95IlKk2p%2FFWx56TzM3PFtzFllvoSOOiVhd30jOPTGAwftdsJ3ncpRatp1ve7uM3Hiqo%2FuR85x6IFzDi26bTBjqmAQwZYEcpR2Lr4wZBuTvYwxz3MOBobJIlrvKoE6CfW6NscxFKbwE3L4dWmHk%2FLoWSBOSGxnOaQLqanjzy3wjeYtZVbA5p3L2PZyGJj3aTRIXIaT7zKXoV9d8yNN1gXz%2FZDabMcRSoSWoH2HSa0t30P7Ln3YGjg6z6EbycoomeYnrLSP3EBBpmYfV%2FlW%2FM4i9GhHW%2FMe%2BcEfq1hSM%2FCapfxRcqUpfzHqQ%3D&amp;X-Amz-Signature=bc09eb5b3a8070c35b043143feff0338b28f3359f574ea5fb9740934bb8caf74&amp;X-Amz-SignedHeaders=host&amp;x-amz-checksum-mode=ENABLED&amp;x-id=GetObject"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clevertap.com/docs/audit-logs" TargetMode="External"/><Relationship Id="rId2" Type="http://schemas.openxmlformats.org/officeDocument/2006/relationships/hyperlink" Target="https://docs.clevertap.com/docs/role-based-access-control" TargetMode="External"/><Relationship Id="rId3" Type="http://schemas.openxmlformats.org/officeDocument/2006/relationships/hyperlink" Target="https://docs.clevertap.com/docs/manage-users" TargetMode="External"/><Relationship Id="rId4" Type="http://schemas.openxmlformats.org/officeDocument/2006/relationships/hyperlink" Target="https://docs.clevertap.com/docs/security-overview" TargetMode="External"/><Relationship Id="rId10" Type="http://schemas.openxmlformats.org/officeDocument/2006/relationships/drawing" Target="../drawings/drawing4.xml"/><Relationship Id="rId9" Type="http://schemas.openxmlformats.org/officeDocument/2006/relationships/hyperlink" Target="https://trust.clevertap.com/" TargetMode="External"/><Relationship Id="rId5" Type="http://schemas.openxmlformats.org/officeDocument/2006/relationships/hyperlink" Target="https://trust.clevertap.com/" TargetMode="External"/><Relationship Id="rId6" Type="http://schemas.openxmlformats.org/officeDocument/2006/relationships/hyperlink" Target="https://trust.clevertap.com/" TargetMode="External"/><Relationship Id="rId7" Type="http://schemas.openxmlformats.org/officeDocument/2006/relationships/hyperlink" Target="https://developer.clevertap.com/docs/api-request-limit" TargetMode="External"/><Relationship Id="rId8" Type="http://schemas.openxmlformats.org/officeDocument/2006/relationships/hyperlink" Target="https://developer.clevertap.com/docs/authenticati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0.14"/>
    <col customWidth="1" min="3" max="3" width="44.0"/>
    <col customWidth="1" min="4" max="4" width="8.86"/>
    <col customWidth="1" min="5" max="5" width="11.14"/>
    <col customWidth="1" min="6" max="6" width="19.14"/>
    <col customWidth="1" min="7" max="7" width="44.86"/>
    <col customWidth="1" min="8" max="26" width="8.86"/>
  </cols>
  <sheetData>
    <row r="1">
      <c r="A1" s="2"/>
      <c r="B1" s="2"/>
      <c r="C1" s="2"/>
      <c r="D1" s="2"/>
      <c r="E1" s="2"/>
      <c r="F1" s="2"/>
      <c r="G1" s="2"/>
      <c r="H1" s="2"/>
      <c r="I1" s="2"/>
      <c r="J1" s="2"/>
      <c r="K1" s="2"/>
      <c r="L1" s="2"/>
      <c r="M1" s="2"/>
      <c r="N1" s="2"/>
      <c r="O1" s="2"/>
      <c r="P1" s="2"/>
      <c r="Q1" s="2"/>
      <c r="R1" s="2"/>
      <c r="S1" s="2"/>
      <c r="T1" s="2"/>
      <c r="U1" s="2"/>
      <c r="V1" s="2"/>
      <c r="W1" s="2"/>
      <c r="X1" s="2"/>
      <c r="Y1" s="2"/>
      <c r="Z1" s="2"/>
    </row>
    <row r="2" ht="37.5" customHeight="1">
      <c r="A2" s="13" t="s">
        <v>16</v>
      </c>
      <c r="B2" s="15"/>
      <c r="C2" s="16"/>
      <c r="D2" s="17"/>
      <c r="E2" s="17"/>
      <c r="F2" s="17"/>
      <c r="G2" s="17"/>
      <c r="H2" s="17"/>
      <c r="I2" s="2"/>
      <c r="J2" s="2"/>
      <c r="K2" s="2"/>
      <c r="L2" s="2"/>
      <c r="M2" s="2"/>
      <c r="N2" s="2"/>
      <c r="O2" s="2"/>
      <c r="P2" s="2"/>
      <c r="Q2" s="2"/>
      <c r="R2" s="2"/>
      <c r="S2" s="2"/>
      <c r="T2" s="2"/>
      <c r="U2" s="2"/>
      <c r="V2" s="2"/>
      <c r="W2" s="2"/>
      <c r="X2" s="2"/>
      <c r="Y2" s="2"/>
      <c r="Z2" s="2"/>
    </row>
    <row r="3">
      <c r="A3" s="21"/>
      <c r="B3" s="17"/>
      <c r="C3" s="17"/>
      <c r="D3" s="17"/>
      <c r="E3" s="17"/>
      <c r="F3" s="17"/>
      <c r="G3" s="17"/>
      <c r="H3" s="17"/>
      <c r="I3" s="2"/>
      <c r="J3" s="2"/>
      <c r="K3" s="2"/>
      <c r="L3" s="2"/>
      <c r="M3" s="2"/>
      <c r="N3" s="2"/>
      <c r="O3" s="2"/>
      <c r="P3" s="2"/>
      <c r="Q3" s="2"/>
      <c r="R3" s="2"/>
      <c r="S3" s="2"/>
      <c r="T3" s="2"/>
      <c r="U3" s="2"/>
      <c r="V3" s="2"/>
      <c r="W3" s="2"/>
      <c r="X3" s="2"/>
      <c r="Y3" s="2"/>
      <c r="Z3" s="2"/>
    </row>
    <row r="4">
      <c r="A4" s="27" t="s">
        <v>26</v>
      </c>
      <c r="B4" s="2"/>
      <c r="C4" s="2"/>
      <c r="D4" s="2"/>
      <c r="E4" s="2"/>
      <c r="F4" s="2"/>
      <c r="G4" s="2"/>
      <c r="H4" s="2"/>
      <c r="I4" s="2"/>
      <c r="J4" s="2"/>
      <c r="K4" s="2"/>
      <c r="L4" s="2"/>
      <c r="M4" s="2"/>
      <c r="N4" s="2"/>
      <c r="O4" s="2"/>
      <c r="P4" s="2"/>
      <c r="Q4" s="2"/>
      <c r="R4" s="2"/>
      <c r="S4" s="2"/>
      <c r="T4" s="2"/>
      <c r="U4" s="2"/>
      <c r="V4" s="2"/>
      <c r="W4" s="2"/>
      <c r="X4" s="2"/>
      <c r="Y4" s="2"/>
      <c r="Z4" s="2"/>
    </row>
    <row r="5">
      <c r="A5" s="30"/>
      <c r="B5" s="2"/>
      <c r="C5" s="2"/>
      <c r="D5" s="2"/>
      <c r="E5" s="2"/>
      <c r="F5" s="2"/>
      <c r="G5" s="2"/>
      <c r="H5" s="2"/>
      <c r="I5" s="2"/>
      <c r="J5" s="2"/>
      <c r="K5" s="2"/>
      <c r="L5" s="2"/>
      <c r="M5" s="2"/>
      <c r="N5" s="2"/>
      <c r="O5" s="2"/>
      <c r="P5" s="2"/>
      <c r="Q5" s="2"/>
      <c r="R5" s="2"/>
      <c r="S5" s="2"/>
      <c r="T5" s="2"/>
      <c r="U5" s="2"/>
      <c r="V5" s="2"/>
      <c r="W5" s="2"/>
      <c r="X5" s="2"/>
      <c r="Y5" s="2"/>
      <c r="Z5" s="2"/>
    </row>
    <row r="6" ht="54.75" customHeight="1">
      <c r="A6" s="32" t="s">
        <v>36</v>
      </c>
      <c r="B6" s="15"/>
      <c r="C6" s="16"/>
      <c r="D6" s="33"/>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7" t="s">
        <v>50</v>
      </c>
      <c r="B8" s="2"/>
      <c r="C8" s="2"/>
      <c r="D8" s="2"/>
      <c r="E8" s="2"/>
      <c r="F8" s="2"/>
      <c r="G8" s="2"/>
      <c r="H8" s="2"/>
      <c r="I8" s="2"/>
      <c r="J8" s="2"/>
      <c r="K8" s="2"/>
      <c r="L8" s="2"/>
      <c r="M8" s="2"/>
      <c r="N8" s="2"/>
      <c r="O8" s="2"/>
      <c r="P8" s="2"/>
      <c r="Q8" s="2"/>
      <c r="R8" s="2"/>
      <c r="S8" s="2"/>
      <c r="T8" s="2"/>
      <c r="U8" s="2"/>
      <c r="V8" s="2"/>
      <c r="W8" s="2"/>
      <c r="X8" s="2"/>
      <c r="Y8" s="2"/>
      <c r="Z8" s="2"/>
    </row>
    <row r="9">
      <c r="A9" s="36"/>
      <c r="B9" s="2"/>
      <c r="C9" s="2"/>
      <c r="D9" s="2"/>
      <c r="E9" s="2"/>
      <c r="F9" s="2"/>
      <c r="G9" s="2"/>
      <c r="H9" s="2"/>
      <c r="I9" s="2"/>
      <c r="J9" s="2"/>
      <c r="K9" s="2"/>
      <c r="L9" s="2"/>
      <c r="M9" s="2"/>
      <c r="N9" s="2"/>
      <c r="O9" s="2"/>
      <c r="P9" s="2"/>
      <c r="Q9" s="2"/>
      <c r="R9" s="2"/>
      <c r="S9" s="2"/>
      <c r="T9" s="2"/>
      <c r="U9" s="2"/>
      <c r="V9" s="2"/>
      <c r="W9" s="2"/>
      <c r="X9" s="2"/>
      <c r="Y9" s="2"/>
      <c r="Z9" s="2"/>
    </row>
    <row r="10">
      <c r="A10" s="37" t="s">
        <v>61</v>
      </c>
      <c r="B10" s="15"/>
      <c r="C10" s="15"/>
      <c r="D10" s="15"/>
      <c r="E10" s="15"/>
      <c r="F10" s="15"/>
      <c r="G10" s="16"/>
      <c r="H10" s="2"/>
      <c r="I10" s="2"/>
      <c r="J10" s="2"/>
      <c r="K10" s="2"/>
      <c r="L10" s="2"/>
      <c r="M10" s="2"/>
      <c r="N10" s="2"/>
      <c r="O10" s="2"/>
      <c r="P10" s="2"/>
      <c r="Q10" s="2"/>
      <c r="R10" s="2"/>
      <c r="S10" s="2"/>
      <c r="T10" s="2"/>
      <c r="U10" s="2"/>
      <c r="V10" s="2"/>
      <c r="W10" s="2"/>
      <c r="X10" s="2"/>
      <c r="Y10" s="2"/>
      <c r="Z10" s="2"/>
    </row>
    <row r="11">
      <c r="A11" s="37" t="s">
        <v>67</v>
      </c>
      <c r="B11" s="15"/>
      <c r="C11" s="15"/>
      <c r="D11" s="15"/>
      <c r="E11" s="15"/>
      <c r="F11" s="15"/>
      <c r="G11" s="16"/>
      <c r="H11" s="2"/>
      <c r="I11" s="2"/>
      <c r="J11" s="2"/>
      <c r="K11" s="2"/>
      <c r="L11" s="2"/>
      <c r="M11" s="2"/>
      <c r="N11" s="2"/>
      <c r="O11" s="2"/>
      <c r="P11" s="2"/>
      <c r="Q11" s="2"/>
      <c r="R11" s="2"/>
      <c r="S11" s="2"/>
      <c r="T11" s="2"/>
      <c r="U11" s="2"/>
      <c r="V11" s="2"/>
      <c r="W11" s="2"/>
      <c r="X11" s="2"/>
      <c r="Y11" s="2"/>
      <c r="Z11" s="2"/>
    </row>
    <row r="12">
      <c r="A12" s="37" t="s">
        <v>71</v>
      </c>
      <c r="B12" s="15"/>
      <c r="C12" s="15"/>
      <c r="D12" s="15"/>
      <c r="E12" s="15"/>
      <c r="F12" s="15"/>
      <c r="G12" s="16"/>
      <c r="H12" s="2"/>
      <c r="I12" s="2"/>
      <c r="J12" s="2"/>
      <c r="K12" s="2"/>
      <c r="L12" s="2"/>
      <c r="M12" s="2"/>
      <c r="N12" s="2"/>
      <c r="O12" s="2"/>
      <c r="P12" s="2"/>
      <c r="Q12" s="2"/>
      <c r="R12" s="2"/>
      <c r="S12" s="2"/>
      <c r="T12" s="2"/>
      <c r="U12" s="2"/>
      <c r="V12" s="2"/>
      <c r="W12" s="2"/>
      <c r="X12" s="2"/>
      <c r="Y12" s="2"/>
      <c r="Z12" s="2"/>
    </row>
    <row r="13">
      <c r="A13" s="41" t="s">
        <v>73</v>
      </c>
      <c r="B13" s="15"/>
      <c r="C13" s="15"/>
      <c r="D13" s="15"/>
      <c r="E13" s="15"/>
      <c r="F13" s="15"/>
      <c r="G13" s="16"/>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7" t="s">
        <v>78</v>
      </c>
      <c r="B15" s="2"/>
      <c r="C15" s="2"/>
      <c r="D15" s="2"/>
      <c r="E15" s="2"/>
      <c r="F15" s="2"/>
      <c r="G15" s="2"/>
      <c r="H15" s="2"/>
      <c r="I15" s="2"/>
      <c r="J15" s="2"/>
      <c r="K15" s="2"/>
      <c r="L15" s="2"/>
      <c r="M15" s="2"/>
      <c r="N15" s="2"/>
      <c r="O15" s="2"/>
      <c r="P15" s="2"/>
      <c r="Q15" s="2"/>
      <c r="R15" s="2"/>
      <c r="S15" s="2"/>
      <c r="T15" s="2"/>
      <c r="U15" s="2"/>
      <c r="V15" s="2"/>
      <c r="W15" s="2"/>
      <c r="X15" s="2"/>
      <c r="Y15" s="2"/>
      <c r="Z15" s="2"/>
    </row>
    <row r="16">
      <c r="A16" s="36"/>
      <c r="B16" s="2"/>
      <c r="C16" s="2"/>
      <c r="D16" s="2"/>
      <c r="E16" s="2"/>
      <c r="F16" s="2"/>
      <c r="G16" s="2"/>
      <c r="H16" s="2"/>
      <c r="I16" s="2"/>
      <c r="J16" s="2"/>
      <c r="K16" s="2"/>
      <c r="L16" s="2"/>
      <c r="M16" s="2"/>
      <c r="N16" s="2"/>
      <c r="O16" s="2"/>
      <c r="P16" s="2"/>
      <c r="Q16" s="2"/>
      <c r="R16" s="2"/>
      <c r="S16" s="2"/>
      <c r="T16" s="2"/>
      <c r="U16" s="2"/>
      <c r="V16" s="2"/>
      <c r="W16" s="2"/>
      <c r="X16" s="2"/>
      <c r="Y16" s="2"/>
      <c r="Z16" s="2"/>
    </row>
    <row r="17">
      <c r="A17" s="44" t="s">
        <v>88</v>
      </c>
      <c r="B17" s="36"/>
      <c r="C17" s="36"/>
      <c r="D17" s="36"/>
      <c r="E17" s="36"/>
      <c r="F17" s="36"/>
      <c r="G17" s="36"/>
      <c r="H17" s="2"/>
      <c r="I17" s="2"/>
      <c r="J17" s="2"/>
      <c r="K17" s="2"/>
      <c r="L17" s="2"/>
      <c r="M17" s="2"/>
      <c r="N17" s="2"/>
      <c r="O17" s="2"/>
      <c r="P17" s="2"/>
      <c r="Q17" s="2"/>
      <c r="R17" s="2"/>
      <c r="S17" s="2"/>
      <c r="T17" s="2"/>
      <c r="U17" s="2"/>
      <c r="V17" s="2"/>
      <c r="W17" s="2"/>
      <c r="X17" s="2"/>
      <c r="Y17" s="2"/>
      <c r="Z17" s="2"/>
    </row>
    <row r="18">
      <c r="A18" s="36" t="s">
        <v>92</v>
      </c>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2"/>
      <c r="B19" s="2"/>
      <c r="C19" s="2"/>
      <c r="D19" s="2"/>
      <c r="E19" s="2"/>
      <c r="F19" s="2"/>
      <c r="G19" s="2"/>
      <c r="H19" s="36"/>
      <c r="I19" s="36"/>
      <c r="J19" s="36"/>
      <c r="K19" s="36"/>
      <c r="L19" s="36"/>
      <c r="M19" s="36"/>
      <c r="N19" s="36"/>
      <c r="O19" s="36"/>
      <c r="P19" s="36"/>
      <c r="Q19" s="36"/>
      <c r="R19" s="36"/>
      <c r="S19" s="36"/>
      <c r="T19" s="36"/>
      <c r="U19" s="36"/>
      <c r="V19" s="36"/>
      <c r="W19" s="36"/>
      <c r="X19" s="36"/>
      <c r="Y19" s="36"/>
      <c r="Z19" s="36"/>
    </row>
    <row r="20">
      <c r="A20" s="27" t="s">
        <v>97</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36"/>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44" t="s">
        <v>102</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44" t="s">
        <v>105</v>
      </c>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7" t="s">
        <v>110</v>
      </c>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3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7" t="s">
        <v>117</v>
      </c>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4" t="s">
        <v>122</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44"/>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7"/>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44"/>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2:C2"/>
    <mergeCell ref="A6:C6"/>
    <mergeCell ref="A10:G10"/>
    <mergeCell ref="A11:G11"/>
    <mergeCell ref="A12:G12"/>
    <mergeCell ref="A13:G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51.14"/>
    <col customWidth="1" min="3" max="26" width="8.86"/>
  </cols>
  <sheetData>
    <row r="1">
      <c r="A1" s="1" t="s">
        <v>0</v>
      </c>
      <c r="B1" s="3"/>
    </row>
    <row r="2">
      <c r="A2" s="5"/>
      <c r="B2" s="3"/>
    </row>
    <row r="3">
      <c r="A3" s="7" t="s">
        <v>5</v>
      </c>
      <c r="B3" s="24" t="str">
        <f>IF(OR(B10&gt;=3,B9&gt;=6),"Unsatisfactory",IF(OR(AND(B10&gt;=1,B10&lt;=2),AND(B9&gt;=4,B9&lt;=5)),"Requires Attention","Satisfactory"))</f>
        <v>Satisfactory</v>
      </c>
    </row>
    <row r="4">
      <c r="A4" s="25" t="s">
        <v>23</v>
      </c>
      <c r="B4" s="28">
        <f>COUNTA(Questionnaire!E2:E137)</f>
        <v>136</v>
      </c>
    </row>
    <row r="5">
      <c r="A5" s="25" t="s">
        <v>29</v>
      </c>
      <c r="B5" s="28">
        <f>COUNTA(Questionnaire!G2:G138)</f>
        <v>0</v>
      </c>
    </row>
    <row r="6">
      <c r="A6" s="25" t="s">
        <v>32</v>
      </c>
      <c r="B6" s="28">
        <f>COUNTIF(Questionnaire!$G$2:$G$137,"pass*")</f>
        <v>0</v>
      </c>
    </row>
    <row r="7">
      <c r="A7" s="25" t="s">
        <v>34</v>
      </c>
      <c r="B7" s="28">
        <f>COUNTIF(Questionnaire!$G$2:$G$137,"Not Applicable")</f>
        <v>0</v>
      </c>
    </row>
    <row r="8">
      <c r="A8" s="25" t="s">
        <v>35</v>
      </c>
      <c r="B8" s="28">
        <f>COUNTIF(Questionnaire!$H$2:$H$137,"LOW")</f>
        <v>0</v>
      </c>
    </row>
    <row r="9">
      <c r="A9" s="25" t="s">
        <v>39</v>
      </c>
      <c r="B9" s="28">
        <f>COUNTIF(Questionnaire!$H$2:$H$137,"MEDIUM")</f>
        <v>0</v>
      </c>
    </row>
    <row r="10">
      <c r="A10" s="25" t="s">
        <v>40</v>
      </c>
      <c r="B10" s="28">
        <f>COUNTIF(Questionnaire!$H$2:$H$137,"HIGH")</f>
        <v>0</v>
      </c>
    </row>
    <row r="11">
      <c r="A11" s="25" t="s">
        <v>45</v>
      </c>
      <c r="B11" s="28">
        <f>B9+B10</f>
        <v>0</v>
      </c>
    </row>
    <row r="12">
      <c r="A12" s="25"/>
      <c r="B12" s="28"/>
    </row>
    <row r="13">
      <c r="A13" s="7" t="s">
        <v>47</v>
      </c>
      <c r="B13" s="38" t="str">
        <f>IF(B3="Unsatisfactory","Significant control breakdowns identified. Immediate remediation required or risk acceptance by leadership. (Medium gaps: "&amp;B9&amp;" | High gaps: "&amp;B10&amp;").",IF(B3="Requires Attention","Some control deficiencies exist but are not critical. Remediation plan needed; operations can continue under monitoring. (Medium gaps: "&amp;B9&amp;" | High gaps: "&amp;B10&amp;").","Vendor demonstrates effective control implementation with only minor or documentation-level findings. Risks are well managed and acceptable. (Medium gaps: "&amp;B9&amp;" | High gaps: "&amp;B10&amp;")."))</f>
        <v>Vendor demonstrates effective control implementation with only minor or documentation-level findings. Risks are well managed and acceptable. (Medium gaps: 0 | High gaps: 0).</v>
      </c>
    </row>
    <row r="14">
      <c r="A14" s="25"/>
      <c r="B14" s="22"/>
    </row>
    <row r="15" hidden="1">
      <c r="A15" s="14" t="s">
        <v>68</v>
      </c>
      <c r="B15" s="39" t="s">
        <v>69</v>
      </c>
    </row>
    <row r="16">
      <c r="A16" s="40"/>
    </row>
    <row r="17">
      <c r="A17" s="40"/>
    </row>
    <row r="18">
      <c r="A18" s="40"/>
    </row>
    <row r="19">
      <c r="A19" s="40"/>
    </row>
    <row r="20">
      <c r="A20" s="40"/>
    </row>
    <row r="21" ht="15.75" customHeight="1">
      <c r="A21" s="40"/>
    </row>
    <row r="22" ht="15.75" customHeight="1">
      <c r="A22" s="40"/>
    </row>
    <row r="23" ht="15.75" customHeight="1">
      <c r="A23" s="40"/>
    </row>
    <row r="24" ht="15.75" customHeight="1">
      <c r="A24" s="40"/>
    </row>
    <row r="25" ht="15.75" customHeight="1">
      <c r="A25" s="40"/>
    </row>
    <row r="26" ht="15.75" customHeight="1">
      <c r="A26" s="40"/>
    </row>
    <row r="27" ht="15.75" customHeight="1">
      <c r="A27" s="40"/>
    </row>
    <row r="28" ht="15.75" customHeight="1">
      <c r="A28" s="40"/>
    </row>
    <row r="29" ht="15.75" customHeight="1">
      <c r="A29" s="40"/>
    </row>
    <row r="30" ht="15.75" customHeight="1">
      <c r="A30" s="40"/>
    </row>
    <row r="31" ht="15.75" customHeight="1">
      <c r="A31" s="40"/>
    </row>
    <row r="32" ht="15.75" customHeight="1">
      <c r="A32" s="40"/>
    </row>
    <row r="33" ht="15.75" customHeight="1">
      <c r="A33" s="40"/>
    </row>
    <row r="34" ht="15.75" customHeight="1">
      <c r="A34" s="40"/>
    </row>
    <row r="35" ht="15.75" customHeight="1">
      <c r="A35" s="40"/>
    </row>
    <row r="36" ht="15.75" customHeight="1">
      <c r="A36" s="40"/>
    </row>
    <row r="37" ht="15.75" customHeight="1">
      <c r="A37" s="40"/>
    </row>
    <row r="38" ht="15.75" customHeight="1">
      <c r="A38" s="40"/>
    </row>
    <row r="39" ht="15.75" customHeight="1">
      <c r="A39" s="40"/>
    </row>
    <row r="40" ht="15.75" customHeight="1">
      <c r="A40" s="40"/>
    </row>
    <row r="41" ht="15.75" customHeight="1">
      <c r="A41" s="40"/>
    </row>
    <row r="42" ht="15.75" customHeight="1">
      <c r="A42" s="40"/>
    </row>
    <row r="43" ht="15.75" customHeight="1">
      <c r="A43" s="40"/>
    </row>
    <row r="44" ht="15.75" customHeight="1">
      <c r="A44" s="40"/>
    </row>
    <row r="45" ht="15.75" customHeight="1">
      <c r="A45" s="40"/>
    </row>
    <row r="46" ht="15.75" customHeight="1">
      <c r="A46" s="40"/>
    </row>
    <row r="47" ht="15.75" customHeight="1">
      <c r="A47" s="40"/>
    </row>
    <row r="48" ht="15.75" customHeight="1">
      <c r="A48" s="40"/>
    </row>
    <row r="49" ht="15.75" customHeight="1">
      <c r="A49" s="40"/>
    </row>
    <row r="50" ht="15.75" customHeight="1">
      <c r="A50" s="40"/>
    </row>
    <row r="51" ht="15.75" customHeight="1">
      <c r="A51" s="40"/>
    </row>
    <row r="52" ht="15.75" customHeight="1">
      <c r="A52" s="40"/>
    </row>
    <row r="53" ht="15.75" customHeight="1">
      <c r="A53" s="40"/>
    </row>
    <row r="54" ht="15.75" customHeight="1">
      <c r="A54" s="40"/>
    </row>
    <row r="55" ht="15.75" customHeight="1">
      <c r="A55" s="40"/>
    </row>
    <row r="56" ht="15.75" customHeight="1">
      <c r="A56" s="40"/>
    </row>
    <row r="57" ht="15.75" customHeight="1">
      <c r="A57" s="40"/>
    </row>
    <row r="58" ht="15.75" customHeight="1">
      <c r="A58" s="40"/>
    </row>
    <row r="59" ht="15.75" customHeight="1">
      <c r="A59" s="40"/>
    </row>
    <row r="60" ht="15.75" customHeight="1">
      <c r="A60" s="40"/>
    </row>
    <row r="61" ht="15.75" customHeight="1">
      <c r="A61" s="40"/>
    </row>
    <row r="62" ht="15.75" customHeight="1">
      <c r="A62" s="40"/>
    </row>
    <row r="63" ht="15.75" customHeight="1">
      <c r="A63" s="40"/>
    </row>
    <row r="64" ht="15.75" customHeight="1">
      <c r="A64" s="40"/>
    </row>
    <row r="65" ht="15.75" customHeight="1">
      <c r="A65" s="40"/>
    </row>
    <row r="66" ht="15.75" customHeight="1">
      <c r="A66" s="40"/>
    </row>
    <row r="67" ht="15.75" customHeight="1">
      <c r="A67" s="40"/>
    </row>
    <row r="68" ht="15.75" customHeight="1">
      <c r="A68" s="40"/>
    </row>
    <row r="69" ht="15.75" customHeight="1">
      <c r="A69" s="40"/>
    </row>
    <row r="70" ht="15.75" customHeight="1">
      <c r="A70" s="40"/>
    </row>
    <row r="71" ht="15.75" customHeight="1">
      <c r="A71" s="40"/>
    </row>
    <row r="72" ht="15.75" customHeight="1">
      <c r="A72" s="40"/>
    </row>
    <row r="73" ht="15.75" customHeight="1">
      <c r="A73" s="40"/>
    </row>
    <row r="74" ht="15.75" customHeight="1">
      <c r="A74" s="40"/>
    </row>
    <row r="75" ht="15.75" customHeight="1">
      <c r="A75" s="40"/>
    </row>
    <row r="76" ht="15.75" customHeight="1">
      <c r="A76" s="40"/>
    </row>
    <row r="77" ht="15.75" customHeight="1">
      <c r="A77" s="40"/>
    </row>
    <row r="78" ht="15.75" customHeight="1">
      <c r="A78" s="40"/>
    </row>
    <row r="79" ht="15.75" customHeight="1">
      <c r="A79" s="40"/>
    </row>
    <row r="80" ht="15.75" customHeight="1">
      <c r="A80" s="40"/>
    </row>
    <row r="81" ht="15.75" customHeight="1">
      <c r="A81" s="40"/>
    </row>
    <row r="82" ht="15.75" customHeight="1">
      <c r="A82" s="40"/>
    </row>
    <row r="83" ht="15.75" customHeight="1">
      <c r="A83" s="40"/>
    </row>
    <row r="84" ht="15.75" customHeight="1">
      <c r="A84" s="40"/>
    </row>
    <row r="85" ht="15.75" customHeight="1">
      <c r="A85" s="40"/>
    </row>
    <row r="86" ht="15.75" customHeight="1">
      <c r="A86" s="40"/>
    </row>
    <row r="87" ht="15.75" customHeight="1">
      <c r="A87" s="40"/>
    </row>
    <row r="88" ht="15.75" customHeight="1">
      <c r="A88" s="40"/>
    </row>
    <row r="89" ht="15.75" customHeight="1">
      <c r="A89" s="40"/>
    </row>
    <row r="90" ht="15.75" customHeight="1">
      <c r="A90" s="40"/>
    </row>
    <row r="91" ht="15.75" customHeight="1">
      <c r="A91" s="40"/>
    </row>
    <row r="92" ht="15.75" customHeight="1">
      <c r="A92" s="40"/>
    </row>
    <row r="93" ht="15.75" customHeight="1">
      <c r="A93" s="40"/>
    </row>
    <row r="94" ht="15.75" customHeight="1">
      <c r="A94" s="40"/>
    </row>
    <row r="95" ht="15.75" customHeight="1">
      <c r="A95" s="40"/>
    </row>
    <row r="96" ht="15.75" customHeight="1">
      <c r="A96" s="40"/>
    </row>
    <row r="97" ht="15.75" customHeight="1">
      <c r="A97" s="40"/>
    </row>
    <row r="98" ht="15.75" customHeight="1">
      <c r="A98" s="40"/>
    </row>
    <row r="99" ht="15.75" customHeight="1">
      <c r="A99" s="40"/>
    </row>
    <row r="100" ht="15.75" customHeight="1">
      <c r="A100" s="40"/>
    </row>
    <row r="101" ht="15.75" customHeight="1">
      <c r="A101" s="40"/>
    </row>
    <row r="102" ht="15.75" customHeight="1">
      <c r="A102" s="40"/>
    </row>
    <row r="103" ht="15.75" customHeight="1">
      <c r="A103" s="40"/>
    </row>
    <row r="104" ht="15.75" customHeight="1">
      <c r="A104" s="40"/>
    </row>
    <row r="105" ht="15.75" customHeight="1">
      <c r="A105" s="40"/>
    </row>
    <row r="106" ht="15.75" customHeight="1">
      <c r="A106" s="40"/>
    </row>
    <row r="107" ht="15.75" customHeight="1">
      <c r="A107" s="40"/>
    </row>
    <row r="108" ht="15.75" customHeight="1">
      <c r="A108" s="40"/>
    </row>
    <row r="109" ht="15.75" customHeight="1">
      <c r="A109" s="40"/>
    </row>
    <row r="110" ht="15.75" customHeight="1">
      <c r="A110" s="40"/>
    </row>
    <row r="111" ht="15.75" customHeight="1">
      <c r="A111" s="40"/>
    </row>
    <row r="112" ht="15.75" customHeight="1">
      <c r="A112" s="40"/>
    </row>
    <row r="113" ht="15.75" customHeight="1">
      <c r="A113" s="40"/>
    </row>
    <row r="114" ht="15.75" customHeight="1">
      <c r="A114" s="40"/>
    </row>
    <row r="115" ht="15.75" customHeight="1">
      <c r="A115" s="40"/>
    </row>
    <row r="116" ht="15.75" customHeight="1">
      <c r="A116" s="40"/>
    </row>
    <row r="117" ht="15.75" customHeight="1">
      <c r="A117" s="40"/>
    </row>
    <row r="118" ht="15.75" customHeight="1">
      <c r="A118" s="40"/>
    </row>
    <row r="119" ht="15.75" customHeight="1">
      <c r="A119" s="40"/>
    </row>
    <row r="120" ht="15.75" customHeight="1">
      <c r="A120" s="40"/>
    </row>
    <row r="121" ht="15.75" customHeight="1">
      <c r="A121" s="40"/>
    </row>
    <row r="122" ht="15.75" customHeight="1">
      <c r="A122" s="40"/>
    </row>
    <row r="123" ht="15.75" customHeight="1">
      <c r="A123" s="40"/>
    </row>
    <row r="124" ht="15.75" customHeight="1">
      <c r="A124" s="40"/>
    </row>
    <row r="125" ht="15.75" customHeight="1">
      <c r="A125" s="40"/>
    </row>
    <row r="126" ht="15.75" customHeight="1">
      <c r="A126" s="40"/>
    </row>
    <row r="127" ht="15.75" customHeight="1">
      <c r="A127" s="40"/>
    </row>
    <row r="128" ht="15.75" customHeight="1">
      <c r="A128" s="40"/>
    </row>
    <row r="129" ht="15.75" customHeight="1">
      <c r="A129" s="40"/>
    </row>
    <row r="130" ht="15.75" customHeight="1">
      <c r="A130" s="40"/>
    </row>
    <row r="131" ht="15.75" customHeight="1">
      <c r="A131" s="40"/>
    </row>
    <row r="132" ht="15.75" customHeight="1">
      <c r="A132" s="40"/>
    </row>
    <row r="133" ht="15.75" customHeight="1">
      <c r="A133" s="40"/>
    </row>
    <row r="134" ht="15.75" customHeight="1">
      <c r="A134" s="40"/>
    </row>
    <row r="135" ht="15.75" customHeight="1">
      <c r="A135" s="40"/>
    </row>
    <row r="136" ht="15.75" customHeight="1">
      <c r="A136" s="40"/>
    </row>
    <row r="137" ht="15.75" customHeight="1">
      <c r="A137" s="40"/>
    </row>
    <row r="138" ht="15.75" customHeight="1">
      <c r="A138" s="40"/>
    </row>
    <row r="139" ht="15.75" customHeight="1">
      <c r="A139" s="40"/>
    </row>
    <row r="140" ht="15.75" customHeight="1">
      <c r="A140" s="40"/>
    </row>
    <row r="141" ht="15.75" customHeight="1">
      <c r="A141" s="40"/>
    </row>
    <row r="142" ht="15.75" customHeight="1">
      <c r="A142" s="40"/>
    </row>
    <row r="143" ht="15.75" customHeight="1">
      <c r="A143" s="40"/>
    </row>
    <row r="144" ht="15.75" customHeight="1">
      <c r="A144" s="40"/>
    </row>
    <row r="145" ht="15.75" customHeight="1">
      <c r="A145" s="40"/>
    </row>
    <row r="146" ht="15.75" customHeight="1">
      <c r="A146" s="40"/>
    </row>
    <row r="147" ht="15.75" customHeight="1">
      <c r="A147" s="40"/>
    </row>
    <row r="148" ht="15.75" customHeight="1">
      <c r="A148" s="40"/>
    </row>
    <row r="149" ht="15.75" customHeight="1">
      <c r="A149" s="40"/>
    </row>
    <row r="150" ht="15.75" customHeight="1">
      <c r="A150" s="40"/>
    </row>
    <row r="151" ht="15.75" customHeight="1">
      <c r="A151" s="40"/>
    </row>
    <row r="152" ht="15.75" customHeight="1">
      <c r="A152" s="40"/>
    </row>
    <row r="153" ht="15.75" customHeight="1">
      <c r="A153" s="40"/>
    </row>
    <row r="154" ht="15.75" customHeight="1">
      <c r="A154" s="40"/>
    </row>
    <row r="155" ht="15.75" customHeight="1">
      <c r="A155" s="40"/>
    </row>
    <row r="156" ht="15.75" customHeight="1">
      <c r="A156" s="40"/>
    </row>
    <row r="157" ht="15.75" customHeight="1">
      <c r="A157" s="40"/>
    </row>
    <row r="158" ht="15.75" customHeight="1">
      <c r="A158" s="40"/>
    </row>
    <row r="159" ht="15.75" customHeight="1">
      <c r="A159" s="40"/>
    </row>
    <row r="160" ht="15.75" customHeight="1">
      <c r="A160" s="40"/>
    </row>
    <row r="161" ht="15.75" customHeight="1">
      <c r="A161" s="40"/>
    </row>
    <row r="162" ht="15.75" customHeight="1">
      <c r="A162" s="40"/>
    </row>
    <row r="163" ht="15.75" customHeight="1">
      <c r="A163" s="40"/>
    </row>
    <row r="164" ht="15.75" customHeight="1">
      <c r="A164" s="40"/>
    </row>
    <row r="165" ht="15.75" customHeight="1">
      <c r="A165" s="40"/>
    </row>
    <row r="166" ht="15.75" customHeight="1">
      <c r="A166" s="40"/>
    </row>
    <row r="167" ht="15.75" customHeight="1">
      <c r="A167" s="40"/>
    </row>
    <row r="168" ht="15.75" customHeight="1">
      <c r="A168" s="40"/>
    </row>
    <row r="169" ht="15.75" customHeight="1">
      <c r="A169" s="40"/>
    </row>
    <row r="170" ht="15.75" customHeight="1">
      <c r="A170" s="40"/>
    </row>
    <row r="171" ht="15.75" customHeight="1">
      <c r="A171" s="40"/>
    </row>
    <row r="172" ht="15.75" customHeight="1">
      <c r="A172" s="40"/>
    </row>
    <row r="173" ht="15.75" customHeight="1">
      <c r="A173" s="40"/>
    </row>
    <row r="174" ht="15.75" customHeight="1">
      <c r="A174" s="40"/>
    </row>
    <row r="175" ht="15.75" customHeight="1">
      <c r="A175" s="40"/>
    </row>
    <row r="176" ht="15.75" customHeight="1">
      <c r="A176" s="40"/>
    </row>
    <row r="177" ht="15.75" customHeight="1">
      <c r="A177" s="40"/>
    </row>
    <row r="178" ht="15.75" customHeight="1">
      <c r="A178" s="40"/>
    </row>
    <row r="179" ht="15.75" customHeight="1">
      <c r="A179" s="40"/>
    </row>
    <row r="180" ht="15.75" customHeight="1">
      <c r="A180" s="40"/>
    </row>
    <row r="181" ht="15.75" customHeight="1">
      <c r="A181" s="40"/>
    </row>
    <row r="182" ht="15.75" customHeight="1">
      <c r="A182" s="40"/>
    </row>
    <row r="183" ht="15.75" customHeight="1">
      <c r="A183" s="40"/>
    </row>
    <row r="184" ht="15.75" customHeight="1">
      <c r="A184" s="40"/>
    </row>
    <row r="185" ht="15.75" customHeight="1">
      <c r="A185" s="40"/>
    </row>
    <row r="186" ht="15.75" customHeight="1">
      <c r="A186" s="40"/>
    </row>
    <row r="187" ht="15.75" customHeight="1">
      <c r="A187" s="40"/>
    </row>
    <row r="188" ht="15.75" customHeight="1">
      <c r="A188" s="40"/>
    </row>
    <row r="189" ht="15.75" customHeight="1">
      <c r="A189" s="40"/>
    </row>
    <row r="190" ht="15.75" customHeight="1">
      <c r="A190" s="40"/>
    </row>
    <row r="191" ht="15.75" customHeight="1">
      <c r="A191" s="40"/>
    </row>
    <row r="192" ht="15.75" customHeight="1">
      <c r="A192" s="40"/>
    </row>
    <row r="193" ht="15.75" customHeight="1">
      <c r="A193" s="40"/>
    </row>
    <row r="194" ht="15.75" customHeight="1">
      <c r="A194" s="40"/>
    </row>
    <row r="195" ht="15.75" customHeight="1">
      <c r="A195" s="40"/>
    </row>
    <row r="196" ht="15.75" customHeight="1">
      <c r="A196" s="40"/>
    </row>
    <row r="197" ht="15.75" customHeight="1">
      <c r="A197" s="40"/>
    </row>
    <row r="198" ht="15.75" customHeight="1">
      <c r="A198" s="40"/>
    </row>
    <row r="199" ht="15.75" customHeight="1">
      <c r="A199" s="40"/>
    </row>
    <row r="200" ht="15.75" customHeight="1">
      <c r="A200" s="40"/>
    </row>
    <row r="201" ht="15.75" customHeight="1">
      <c r="A201" s="40"/>
    </row>
    <row r="202" ht="15.75" customHeight="1">
      <c r="A202" s="40"/>
    </row>
    <row r="203" ht="15.75" customHeight="1">
      <c r="A203" s="40"/>
    </row>
    <row r="204" ht="15.75" customHeight="1">
      <c r="A204" s="40"/>
    </row>
    <row r="205" ht="15.75" customHeight="1">
      <c r="A205" s="40"/>
    </row>
    <row r="206" ht="15.75" customHeight="1">
      <c r="A206" s="40"/>
    </row>
    <row r="207" ht="15.75" customHeight="1">
      <c r="A207" s="40"/>
    </row>
    <row r="208" ht="15.75" customHeight="1">
      <c r="A208" s="40"/>
    </row>
    <row r="209" ht="15.75" customHeight="1">
      <c r="A209" s="40"/>
    </row>
    <row r="210" ht="15.75" customHeight="1">
      <c r="A210" s="40"/>
    </row>
    <row r="211" ht="15.75" customHeight="1">
      <c r="A211" s="40"/>
    </row>
    <row r="212" ht="15.75" customHeight="1">
      <c r="A212" s="40"/>
    </row>
    <row r="213" ht="15.75" customHeight="1">
      <c r="A213" s="40"/>
    </row>
    <row r="214" ht="15.75" customHeight="1">
      <c r="A214" s="40"/>
    </row>
    <row r="215" ht="15.75" customHeight="1">
      <c r="A215" s="40"/>
    </row>
    <row r="216" ht="15.75" customHeight="1">
      <c r="A216" s="40"/>
    </row>
    <row r="217" ht="15.75" customHeight="1">
      <c r="A217" s="40"/>
    </row>
    <row r="218" ht="15.75" customHeight="1">
      <c r="A218" s="40"/>
    </row>
    <row r="219" ht="15.75" customHeight="1">
      <c r="A219" s="40"/>
    </row>
    <row r="220" ht="15.75" customHeight="1">
      <c r="A220" s="40"/>
    </row>
    <row r="221" ht="15.75" customHeight="1">
      <c r="A221" s="40"/>
    </row>
    <row r="222" ht="15.75" customHeight="1">
      <c r="A222" s="40"/>
    </row>
    <row r="223" ht="15.75" customHeight="1">
      <c r="A223" s="40"/>
    </row>
    <row r="224" ht="15.75" customHeight="1">
      <c r="A224" s="40"/>
    </row>
    <row r="225" ht="15.75" customHeight="1">
      <c r="A225" s="40"/>
    </row>
    <row r="226" ht="15.75" customHeight="1">
      <c r="A226" s="40"/>
    </row>
    <row r="227" ht="15.75" customHeight="1">
      <c r="A227" s="40"/>
    </row>
    <row r="228" ht="15.75" customHeight="1">
      <c r="A228" s="40"/>
    </row>
    <row r="229" ht="15.75" customHeight="1">
      <c r="A229" s="40"/>
    </row>
    <row r="230" ht="15.75" customHeight="1">
      <c r="A230" s="40"/>
    </row>
    <row r="231" ht="15.75" customHeight="1">
      <c r="A231" s="40"/>
    </row>
    <row r="232" ht="15.75" customHeight="1">
      <c r="A232" s="40"/>
    </row>
    <row r="233" ht="15.75" customHeight="1">
      <c r="A233" s="40"/>
    </row>
    <row r="234" ht="15.75" customHeight="1">
      <c r="A234" s="40"/>
    </row>
    <row r="235" ht="15.75" customHeight="1">
      <c r="A235" s="40"/>
    </row>
    <row r="236" ht="15.75" customHeight="1">
      <c r="A236" s="40"/>
    </row>
    <row r="237" ht="15.75" customHeight="1">
      <c r="A237" s="40"/>
    </row>
    <row r="238" ht="15.75" customHeight="1">
      <c r="A238" s="40"/>
    </row>
    <row r="239" ht="15.75" customHeight="1">
      <c r="A239" s="40"/>
    </row>
    <row r="240" ht="15.75" customHeight="1">
      <c r="A240" s="40"/>
    </row>
    <row r="241" ht="15.75" customHeight="1">
      <c r="A241" s="40"/>
    </row>
    <row r="242" ht="15.75" customHeight="1">
      <c r="A242" s="40"/>
    </row>
    <row r="243" ht="15.75" customHeight="1">
      <c r="A243" s="40"/>
    </row>
    <row r="244" ht="15.75" customHeight="1">
      <c r="A244" s="40"/>
    </row>
    <row r="245" ht="15.75" customHeight="1">
      <c r="A245" s="40"/>
    </row>
    <row r="246" ht="15.75" customHeight="1">
      <c r="A246" s="40"/>
    </row>
    <row r="247" ht="15.75" customHeight="1">
      <c r="A247" s="40"/>
    </row>
    <row r="248" ht="15.75" customHeight="1">
      <c r="A248" s="40"/>
    </row>
    <row r="249" ht="15.75" customHeight="1">
      <c r="A249" s="40"/>
    </row>
    <row r="250" ht="15.75" customHeight="1">
      <c r="A250" s="40"/>
    </row>
    <row r="251" ht="15.75" customHeight="1">
      <c r="A251" s="40"/>
    </row>
    <row r="252" ht="15.75" customHeight="1">
      <c r="A252" s="40"/>
    </row>
    <row r="253" ht="15.75" customHeight="1">
      <c r="A253" s="40"/>
    </row>
    <row r="254" ht="15.75" customHeight="1">
      <c r="A254" s="40"/>
    </row>
    <row r="255" ht="15.75" customHeight="1">
      <c r="A255" s="40"/>
    </row>
    <row r="256" ht="15.75" customHeight="1">
      <c r="A256" s="40"/>
    </row>
    <row r="257" ht="15.75" customHeight="1">
      <c r="A257" s="40"/>
    </row>
    <row r="258" ht="15.75" customHeight="1">
      <c r="A258" s="40"/>
    </row>
    <row r="259" ht="15.75" customHeight="1">
      <c r="A259" s="40"/>
    </row>
    <row r="260" ht="15.75" customHeight="1">
      <c r="A260" s="40"/>
    </row>
    <row r="261" ht="15.75" customHeight="1">
      <c r="A261" s="40"/>
    </row>
    <row r="262" ht="15.75" customHeight="1">
      <c r="A262" s="40"/>
    </row>
    <row r="263" ht="15.75" customHeight="1">
      <c r="A263" s="40"/>
    </row>
    <row r="264" ht="15.75" customHeight="1">
      <c r="A264" s="40"/>
    </row>
    <row r="265" ht="15.75" customHeight="1">
      <c r="A265" s="40"/>
    </row>
    <row r="266" ht="15.75" customHeight="1">
      <c r="A266" s="40"/>
    </row>
    <row r="267" ht="15.75" customHeight="1">
      <c r="A267" s="40"/>
    </row>
    <row r="268" ht="15.75" customHeight="1">
      <c r="A268" s="40"/>
    </row>
    <row r="269" ht="15.75" customHeight="1">
      <c r="A269" s="40"/>
    </row>
    <row r="270" ht="15.75" customHeight="1">
      <c r="A270" s="40"/>
    </row>
    <row r="271" ht="15.75" customHeight="1">
      <c r="A271" s="40"/>
    </row>
    <row r="272" ht="15.75" customHeight="1">
      <c r="A272" s="40"/>
    </row>
    <row r="273" ht="15.75" customHeight="1">
      <c r="A273" s="40"/>
    </row>
    <row r="274" ht="15.75" customHeight="1">
      <c r="A274" s="40"/>
    </row>
    <row r="275" ht="15.75" customHeight="1">
      <c r="A275" s="40"/>
    </row>
    <row r="276" ht="15.75" customHeight="1">
      <c r="A276" s="40"/>
    </row>
    <row r="277" ht="15.75" customHeight="1">
      <c r="A277" s="40"/>
    </row>
    <row r="278" ht="15.75" customHeight="1">
      <c r="A278" s="40"/>
    </row>
    <row r="279" ht="15.75" customHeight="1">
      <c r="A279" s="40"/>
    </row>
    <row r="280" ht="15.75" customHeight="1">
      <c r="A280" s="40"/>
    </row>
    <row r="281" ht="15.75" customHeight="1">
      <c r="A281" s="40"/>
    </row>
    <row r="282" ht="15.75" customHeight="1">
      <c r="A282" s="40"/>
    </row>
    <row r="283" ht="15.75" customHeight="1">
      <c r="A283" s="40"/>
    </row>
    <row r="284" ht="15.75" customHeight="1">
      <c r="A284" s="40"/>
    </row>
    <row r="285" ht="15.75" customHeight="1">
      <c r="A285" s="40"/>
    </row>
    <row r="286" ht="15.75" customHeight="1">
      <c r="A286" s="40"/>
    </row>
    <row r="287" ht="15.75" customHeight="1">
      <c r="A287" s="40"/>
    </row>
    <row r="288" ht="15.75" customHeight="1">
      <c r="A288" s="40"/>
    </row>
    <row r="289" ht="15.75" customHeight="1">
      <c r="A289" s="40"/>
    </row>
    <row r="290" ht="15.75" customHeight="1">
      <c r="A290" s="40"/>
    </row>
    <row r="291" ht="15.75" customHeight="1">
      <c r="A291" s="40"/>
    </row>
    <row r="292" ht="15.75" customHeight="1">
      <c r="A292" s="40"/>
    </row>
    <row r="293" ht="15.75" customHeight="1">
      <c r="A293" s="40"/>
    </row>
    <row r="294" ht="15.75" customHeight="1">
      <c r="A294" s="40"/>
    </row>
    <row r="295" ht="15.75" customHeight="1">
      <c r="A295" s="40"/>
    </row>
    <row r="296" ht="15.75" customHeight="1">
      <c r="A296" s="40"/>
    </row>
    <row r="297" ht="15.75" customHeight="1">
      <c r="A297" s="40"/>
    </row>
    <row r="298" ht="15.75" customHeight="1">
      <c r="A298" s="40"/>
    </row>
    <row r="299" ht="15.75" customHeight="1">
      <c r="A299" s="40"/>
    </row>
    <row r="300" ht="15.75" customHeight="1">
      <c r="A300" s="40"/>
    </row>
    <row r="301" ht="15.75" customHeight="1">
      <c r="A301" s="40"/>
    </row>
    <row r="302" ht="15.75" customHeight="1">
      <c r="A302" s="40"/>
    </row>
    <row r="303" ht="15.75" customHeight="1">
      <c r="A303" s="40"/>
    </row>
    <row r="304" ht="15.75" customHeight="1">
      <c r="A304" s="40"/>
    </row>
    <row r="305" ht="15.75" customHeight="1">
      <c r="A305" s="40"/>
    </row>
    <row r="306" ht="15.75" customHeight="1">
      <c r="A306" s="40"/>
    </row>
    <row r="307" ht="15.75" customHeight="1">
      <c r="A307" s="40"/>
    </row>
    <row r="308" ht="15.75" customHeight="1">
      <c r="A308" s="40"/>
    </row>
    <row r="309" ht="15.75" customHeight="1">
      <c r="A309" s="40"/>
    </row>
    <row r="310" ht="15.75" customHeight="1">
      <c r="A310" s="40"/>
    </row>
    <row r="311" ht="15.75" customHeight="1">
      <c r="A311" s="40"/>
    </row>
    <row r="312" ht="15.75" customHeight="1">
      <c r="A312" s="40"/>
    </row>
    <row r="313" ht="15.75" customHeight="1">
      <c r="A313" s="40"/>
    </row>
    <row r="314" ht="15.75" customHeight="1">
      <c r="A314" s="40"/>
    </row>
    <row r="315" ht="15.75" customHeight="1">
      <c r="A315" s="40"/>
    </row>
    <row r="316" ht="15.75" customHeight="1">
      <c r="A316" s="40"/>
    </row>
    <row r="317" ht="15.75" customHeight="1">
      <c r="A317" s="40"/>
    </row>
    <row r="318" ht="15.75" customHeight="1">
      <c r="A318" s="40"/>
    </row>
    <row r="319" ht="15.75" customHeight="1">
      <c r="A319" s="40"/>
    </row>
    <row r="320" ht="15.75" customHeight="1">
      <c r="A320" s="40"/>
    </row>
    <row r="321" ht="15.75" customHeight="1">
      <c r="A321" s="40"/>
    </row>
    <row r="322" ht="15.75" customHeight="1">
      <c r="A322" s="40"/>
    </row>
    <row r="323" ht="15.75" customHeight="1">
      <c r="A323" s="40"/>
    </row>
    <row r="324" ht="15.75" customHeight="1">
      <c r="A324" s="40"/>
    </row>
    <row r="325" ht="15.75" customHeight="1">
      <c r="A325" s="40"/>
    </row>
    <row r="326" ht="15.75" customHeight="1">
      <c r="A326" s="40"/>
    </row>
    <row r="327" ht="15.75" customHeight="1">
      <c r="A327" s="40"/>
    </row>
    <row r="328" ht="15.75" customHeight="1">
      <c r="A328" s="40"/>
    </row>
    <row r="329" ht="15.75" customHeight="1">
      <c r="A329" s="40"/>
    </row>
    <row r="330" ht="15.75" customHeight="1">
      <c r="A330" s="40"/>
    </row>
    <row r="331" ht="15.75" customHeight="1">
      <c r="A331" s="40"/>
    </row>
    <row r="332" ht="15.75" customHeight="1">
      <c r="A332" s="40"/>
    </row>
    <row r="333" ht="15.75" customHeight="1">
      <c r="A333" s="40"/>
    </row>
    <row r="334" ht="15.75" customHeight="1">
      <c r="A334" s="40"/>
    </row>
    <row r="335" ht="15.75" customHeight="1">
      <c r="A335" s="40"/>
    </row>
    <row r="336" ht="15.75" customHeight="1">
      <c r="A336" s="40"/>
    </row>
    <row r="337" ht="15.75" customHeight="1">
      <c r="A337" s="40"/>
    </row>
    <row r="338" ht="15.75" customHeight="1">
      <c r="A338" s="40"/>
    </row>
    <row r="339" ht="15.75" customHeight="1">
      <c r="A339" s="40"/>
    </row>
    <row r="340" ht="15.75" customHeight="1">
      <c r="A340" s="40"/>
    </row>
    <row r="341" ht="15.75" customHeight="1">
      <c r="A341" s="40"/>
    </row>
    <row r="342" ht="15.75" customHeight="1">
      <c r="A342" s="40"/>
    </row>
    <row r="343" ht="15.75" customHeight="1">
      <c r="A343" s="40"/>
    </row>
    <row r="344" ht="15.75" customHeight="1">
      <c r="A344" s="40"/>
    </row>
    <row r="345" ht="15.75" customHeight="1">
      <c r="A345" s="40"/>
    </row>
    <row r="346" ht="15.75" customHeight="1">
      <c r="A346" s="40"/>
    </row>
    <row r="347" ht="15.75" customHeight="1">
      <c r="A347" s="40"/>
    </row>
    <row r="348" ht="15.75" customHeight="1">
      <c r="A348" s="40"/>
    </row>
    <row r="349" ht="15.75" customHeight="1">
      <c r="A349" s="40"/>
    </row>
    <row r="350" ht="15.75" customHeight="1">
      <c r="A350" s="40"/>
    </row>
    <row r="351" ht="15.75" customHeight="1">
      <c r="A351" s="40"/>
    </row>
    <row r="352" ht="15.75" customHeight="1">
      <c r="A352" s="40"/>
    </row>
    <row r="353" ht="15.75" customHeight="1">
      <c r="A353" s="40"/>
    </row>
    <row r="354" ht="15.75" customHeight="1">
      <c r="A354" s="40"/>
    </row>
    <row r="355" ht="15.75" customHeight="1">
      <c r="A355" s="40"/>
    </row>
    <row r="356" ht="15.75" customHeight="1">
      <c r="A356" s="40"/>
    </row>
    <row r="357" ht="15.75" customHeight="1">
      <c r="A357" s="40"/>
    </row>
    <row r="358" ht="15.75" customHeight="1">
      <c r="A358" s="40"/>
    </row>
    <row r="359" ht="15.75" customHeight="1">
      <c r="A359" s="40"/>
    </row>
    <row r="360" ht="15.75" customHeight="1">
      <c r="A360" s="40"/>
    </row>
    <row r="361" ht="15.75" customHeight="1">
      <c r="A361" s="40"/>
    </row>
    <row r="362" ht="15.75" customHeight="1">
      <c r="A362" s="40"/>
    </row>
    <row r="363" ht="15.75" customHeight="1">
      <c r="A363" s="40"/>
    </row>
    <row r="364" ht="15.75" customHeight="1">
      <c r="A364" s="40"/>
    </row>
    <row r="365" ht="15.75" customHeight="1">
      <c r="A365" s="40"/>
    </row>
    <row r="366" ht="15.75" customHeight="1">
      <c r="A366" s="40"/>
    </row>
    <row r="367" ht="15.75" customHeight="1">
      <c r="A367" s="40"/>
    </row>
    <row r="368" ht="15.75" customHeight="1">
      <c r="A368" s="40"/>
    </row>
    <row r="369" ht="15.75" customHeight="1">
      <c r="A369" s="40"/>
    </row>
    <row r="370" ht="15.75" customHeight="1">
      <c r="A370" s="40"/>
    </row>
    <row r="371" ht="15.75" customHeight="1">
      <c r="A371" s="40"/>
    </row>
    <row r="372" ht="15.75" customHeight="1">
      <c r="A372" s="40"/>
    </row>
    <row r="373" ht="15.75" customHeight="1">
      <c r="A373" s="40"/>
    </row>
    <row r="374" ht="15.75" customHeight="1">
      <c r="A374" s="40"/>
    </row>
    <row r="375" ht="15.75" customHeight="1">
      <c r="A375" s="40"/>
    </row>
    <row r="376" ht="15.75" customHeight="1">
      <c r="A376" s="40"/>
    </row>
    <row r="377" ht="15.75" customHeight="1">
      <c r="A377" s="40"/>
    </row>
    <row r="378" ht="15.75" customHeight="1">
      <c r="A378" s="40"/>
    </row>
    <row r="379" ht="15.75" customHeight="1">
      <c r="A379" s="40"/>
    </row>
    <row r="380" ht="15.75" customHeight="1">
      <c r="A380" s="40"/>
    </row>
    <row r="381" ht="15.75" customHeight="1">
      <c r="A381" s="40"/>
    </row>
    <row r="382" ht="15.75" customHeight="1">
      <c r="A382" s="40"/>
    </row>
    <row r="383" ht="15.75" customHeight="1">
      <c r="A383" s="40"/>
    </row>
    <row r="384" ht="15.75" customHeight="1">
      <c r="A384" s="40"/>
    </row>
    <row r="385" ht="15.75" customHeight="1">
      <c r="A385" s="40"/>
    </row>
    <row r="386" ht="15.75" customHeight="1">
      <c r="A386" s="40"/>
    </row>
    <row r="387" ht="15.75" customHeight="1">
      <c r="A387" s="40"/>
    </row>
    <row r="388" ht="15.75" customHeight="1">
      <c r="A388" s="40"/>
    </row>
    <row r="389" ht="15.75" customHeight="1">
      <c r="A389" s="40"/>
    </row>
    <row r="390" ht="15.75" customHeight="1">
      <c r="A390" s="40"/>
    </row>
    <row r="391" ht="15.75" customHeight="1">
      <c r="A391" s="40"/>
    </row>
    <row r="392" ht="15.75" customHeight="1">
      <c r="A392" s="40"/>
    </row>
    <row r="393" ht="15.75" customHeight="1">
      <c r="A393" s="40"/>
    </row>
    <row r="394" ht="15.75" customHeight="1">
      <c r="A394" s="40"/>
    </row>
    <row r="395" ht="15.75" customHeight="1">
      <c r="A395" s="40"/>
    </row>
    <row r="396" ht="15.75" customHeight="1">
      <c r="A396" s="40"/>
    </row>
    <row r="397" ht="15.75" customHeight="1">
      <c r="A397" s="40"/>
    </row>
    <row r="398" ht="15.75" customHeight="1">
      <c r="A398" s="40"/>
    </row>
    <row r="399" ht="15.75" customHeight="1">
      <c r="A399" s="40"/>
    </row>
    <row r="400" ht="15.75" customHeight="1">
      <c r="A400" s="40"/>
    </row>
    <row r="401" ht="15.75" customHeight="1">
      <c r="A401" s="40"/>
    </row>
    <row r="402" ht="15.75" customHeight="1">
      <c r="A402" s="40"/>
    </row>
    <row r="403" ht="15.75" customHeight="1">
      <c r="A403" s="40"/>
    </row>
    <row r="404" ht="15.75" customHeight="1">
      <c r="A404" s="40"/>
    </row>
    <row r="405" ht="15.75" customHeight="1">
      <c r="A405" s="40"/>
    </row>
    <row r="406" ht="15.75" customHeight="1">
      <c r="A406" s="40"/>
    </row>
    <row r="407" ht="15.75" customHeight="1">
      <c r="A407" s="40"/>
    </row>
    <row r="408" ht="15.75" customHeight="1">
      <c r="A408" s="40"/>
    </row>
    <row r="409" ht="15.75" customHeight="1">
      <c r="A409" s="40"/>
    </row>
    <row r="410" ht="15.75" customHeight="1">
      <c r="A410" s="40"/>
    </row>
    <row r="411" ht="15.75" customHeight="1">
      <c r="A411" s="40"/>
    </row>
    <row r="412" ht="15.75" customHeight="1">
      <c r="A412" s="40"/>
    </row>
    <row r="413" ht="15.75" customHeight="1">
      <c r="A413" s="40"/>
    </row>
    <row r="414" ht="15.75" customHeight="1">
      <c r="A414" s="40"/>
    </row>
    <row r="415" ht="15.75" customHeight="1">
      <c r="A415" s="40"/>
    </row>
    <row r="416" ht="15.75" customHeight="1">
      <c r="A416" s="40"/>
    </row>
    <row r="417" ht="15.75" customHeight="1">
      <c r="A417" s="40"/>
    </row>
    <row r="418" ht="15.75" customHeight="1">
      <c r="A418" s="40"/>
    </row>
    <row r="419" ht="15.75" customHeight="1">
      <c r="A419" s="40"/>
    </row>
    <row r="420" ht="15.75" customHeight="1">
      <c r="A420" s="40"/>
    </row>
    <row r="421" ht="15.75" customHeight="1">
      <c r="A421" s="40"/>
    </row>
    <row r="422" ht="15.75" customHeight="1">
      <c r="A422" s="40"/>
    </row>
    <row r="423" ht="15.75" customHeight="1">
      <c r="A423" s="40"/>
    </row>
    <row r="424" ht="15.75" customHeight="1">
      <c r="A424" s="40"/>
    </row>
    <row r="425" ht="15.75" customHeight="1">
      <c r="A425" s="40"/>
    </row>
    <row r="426" ht="15.75" customHeight="1">
      <c r="A426" s="40"/>
    </row>
    <row r="427" ht="15.75" customHeight="1">
      <c r="A427" s="40"/>
    </row>
    <row r="428" ht="15.75" customHeight="1">
      <c r="A428" s="40"/>
    </row>
    <row r="429" ht="15.75" customHeight="1">
      <c r="A429" s="40"/>
    </row>
    <row r="430" ht="15.75" customHeight="1">
      <c r="A430" s="40"/>
    </row>
    <row r="431" ht="15.75" customHeight="1">
      <c r="A431" s="40"/>
    </row>
    <row r="432" ht="15.75" customHeight="1">
      <c r="A432" s="40"/>
    </row>
    <row r="433" ht="15.75" customHeight="1">
      <c r="A433" s="40"/>
    </row>
    <row r="434" ht="15.75" customHeight="1">
      <c r="A434" s="40"/>
    </row>
    <row r="435" ht="15.75" customHeight="1">
      <c r="A435" s="40"/>
    </row>
    <row r="436" ht="15.75" customHeight="1">
      <c r="A436" s="40"/>
    </row>
    <row r="437" ht="15.75" customHeight="1">
      <c r="A437" s="40"/>
    </row>
    <row r="438" ht="15.75" customHeight="1">
      <c r="A438" s="40"/>
    </row>
    <row r="439" ht="15.75" customHeight="1">
      <c r="A439" s="40"/>
    </row>
    <row r="440" ht="15.75" customHeight="1">
      <c r="A440" s="40"/>
    </row>
    <row r="441" ht="15.75" customHeight="1">
      <c r="A441" s="40"/>
    </row>
    <row r="442" ht="15.75" customHeight="1">
      <c r="A442" s="40"/>
    </row>
    <row r="443" ht="15.75" customHeight="1">
      <c r="A443" s="40"/>
    </row>
    <row r="444" ht="15.75" customHeight="1">
      <c r="A444" s="40"/>
    </row>
    <row r="445" ht="15.75" customHeight="1">
      <c r="A445" s="40"/>
    </row>
    <row r="446" ht="15.75" customHeight="1">
      <c r="A446" s="40"/>
    </row>
    <row r="447" ht="15.75" customHeight="1">
      <c r="A447" s="40"/>
    </row>
    <row r="448" ht="15.75" customHeight="1">
      <c r="A448" s="40"/>
    </row>
    <row r="449" ht="15.75" customHeight="1">
      <c r="A449" s="40"/>
    </row>
    <row r="450" ht="15.75" customHeight="1">
      <c r="A450" s="40"/>
    </row>
    <row r="451" ht="15.75" customHeight="1">
      <c r="A451" s="40"/>
    </row>
    <row r="452" ht="15.75" customHeight="1">
      <c r="A452" s="40"/>
    </row>
    <row r="453" ht="15.75" customHeight="1">
      <c r="A453" s="40"/>
    </row>
    <row r="454" ht="15.75" customHeight="1">
      <c r="A454" s="40"/>
    </row>
    <row r="455" ht="15.75" customHeight="1">
      <c r="A455" s="40"/>
    </row>
    <row r="456" ht="15.75" customHeight="1">
      <c r="A456" s="40"/>
    </row>
    <row r="457" ht="15.75" customHeight="1">
      <c r="A457" s="40"/>
    </row>
    <row r="458" ht="15.75" customHeight="1">
      <c r="A458" s="40"/>
    </row>
    <row r="459" ht="15.75" customHeight="1">
      <c r="A459" s="40"/>
    </row>
    <row r="460" ht="15.75" customHeight="1">
      <c r="A460" s="40"/>
    </row>
    <row r="461" ht="15.75" customHeight="1">
      <c r="A461" s="40"/>
    </row>
    <row r="462" ht="15.75" customHeight="1">
      <c r="A462" s="40"/>
    </row>
    <row r="463" ht="15.75" customHeight="1">
      <c r="A463" s="40"/>
    </row>
    <row r="464" ht="15.75" customHeight="1">
      <c r="A464" s="40"/>
    </row>
    <row r="465" ht="15.75" customHeight="1">
      <c r="A465" s="40"/>
    </row>
    <row r="466" ht="15.75" customHeight="1">
      <c r="A466" s="40"/>
    </row>
    <row r="467" ht="15.75" customHeight="1">
      <c r="A467" s="40"/>
    </row>
    <row r="468" ht="15.75" customHeight="1">
      <c r="A468" s="40"/>
    </row>
    <row r="469" ht="15.75" customHeight="1">
      <c r="A469" s="40"/>
    </row>
    <row r="470" ht="15.75" customHeight="1">
      <c r="A470" s="40"/>
    </row>
    <row r="471" ht="15.75" customHeight="1">
      <c r="A471" s="40"/>
    </row>
    <row r="472" ht="15.75" customHeight="1">
      <c r="A472" s="40"/>
    </row>
    <row r="473" ht="15.75" customHeight="1">
      <c r="A473" s="40"/>
    </row>
    <row r="474" ht="15.75" customHeight="1">
      <c r="A474" s="40"/>
    </row>
    <row r="475" ht="15.75" customHeight="1">
      <c r="A475" s="40"/>
    </row>
    <row r="476" ht="15.75" customHeight="1">
      <c r="A476" s="40"/>
    </row>
    <row r="477" ht="15.75" customHeight="1">
      <c r="A477" s="40"/>
    </row>
    <row r="478" ht="15.75" customHeight="1">
      <c r="A478" s="40"/>
    </row>
    <row r="479" ht="15.75" customHeight="1">
      <c r="A479" s="40"/>
    </row>
    <row r="480" ht="15.75" customHeight="1">
      <c r="A480" s="40"/>
    </row>
    <row r="481" ht="15.75" customHeight="1">
      <c r="A481" s="40"/>
    </row>
    <row r="482" ht="15.75" customHeight="1">
      <c r="A482" s="40"/>
    </row>
    <row r="483" ht="15.75" customHeight="1">
      <c r="A483" s="40"/>
    </row>
    <row r="484" ht="15.75" customHeight="1">
      <c r="A484" s="40"/>
    </row>
    <row r="485" ht="15.75" customHeight="1">
      <c r="A485" s="40"/>
    </row>
    <row r="486" ht="15.75" customHeight="1">
      <c r="A486" s="40"/>
    </row>
    <row r="487" ht="15.75" customHeight="1">
      <c r="A487" s="40"/>
    </row>
    <row r="488" ht="15.75" customHeight="1">
      <c r="A488" s="40"/>
    </row>
    <row r="489" ht="15.75" customHeight="1">
      <c r="A489" s="40"/>
    </row>
    <row r="490" ht="15.75" customHeight="1">
      <c r="A490" s="40"/>
    </row>
    <row r="491" ht="15.75" customHeight="1">
      <c r="A491" s="40"/>
    </row>
    <row r="492" ht="15.75" customHeight="1">
      <c r="A492" s="40"/>
    </row>
    <row r="493" ht="15.75" customHeight="1">
      <c r="A493" s="40"/>
    </row>
    <row r="494" ht="15.75" customHeight="1">
      <c r="A494" s="40"/>
    </row>
    <row r="495" ht="15.75" customHeight="1">
      <c r="A495" s="40"/>
    </row>
    <row r="496" ht="15.75" customHeight="1">
      <c r="A496" s="40"/>
    </row>
    <row r="497" ht="15.75" customHeight="1">
      <c r="A497" s="40"/>
    </row>
    <row r="498" ht="15.75" customHeight="1">
      <c r="A498" s="40"/>
    </row>
    <row r="499" ht="15.75" customHeight="1">
      <c r="A499" s="40"/>
    </row>
    <row r="500" ht="15.75" customHeight="1">
      <c r="A500" s="40"/>
    </row>
    <row r="501" ht="15.75" customHeight="1">
      <c r="A501" s="40"/>
    </row>
    <row r="502" ht="15.75" customHeight="1">
      <c r="A502" s="40"/>
    </row>
    <row r="503" ht="15.75" customHeight="1">
      <c r="A503" s="40"/>
    </row>
    <row r="504" ht="15.75" customHeight="1">
      <c r="A504" s="40"/>
    </row>
    <row r="505" ht="15.75" customHeight="1">
      <c r="A505" s="40"/>
    </row>
    <row r="506" ht="15.75" customHeight="1">
      <c r="A506" s="40"/>
    </row>
    <row r="507" ht="15.75" customHeight="1">
      <c r="A507" s="40"/>
    </row>
    <row r="508" ht="15.75" customHeight="1">
      <c r="A508" s="40"/>
    </row>
    <row r="509" ht="15.75" customHeight="1">
      <c r="A509" s="40"/>
    </row>
    <row r="510" ht="15.75" customHeight="1">
      <c r="A510" s="40"/>
    </row>
    <row r="511" ht="15.75" customHeight="1">
      <c r="A511" s="40"/>
    </row>
    <row r="512" ht="15.75" customHeight="1">
      <c r="A512" s="40"/>
    </row>
    <row r="513" ht="15.75" customHeight="1">
      <c r="A513" s="40"/>
    </row>
    <row r="514" ht="15.75" customHeight="1">
      <c r="A514" s="40"/>
    </row>
    <row r="515" ht="15.75" customHeight="1">
      <c r="A515" s="40"/>
    </row>
    <row r="516" ht="15.75" customHeight="1">
      <c r="A516" s="40"/>
    </row>
    <row r="517" ht="15.75" customHeight="1">
      <c r="A517" s="40"/>
    </row>
    <row r="518" ht="15.75" customHeight="1">
      <c r="A518" s="40"/>
    </row>
    <row r="519" ht="15.75" customHeight="1">
      <c r="A519" s="40"/>
    </row>
    <row r="520" ht="15.75" customHeight="1">
      <c r="A520" s="40"/>
    </row>
    <row r="521" ht="15.75" customHeight="1">
      <c r="A521" s="40"/>
    </row>
    <row r="522" ht="15.75" customHeight="1">
      <c r="A522" s="40"/>
    </row>
    <row r="523" ht="15.75" customHeight="1">
      <c r="A523" s="40"/>
    </row>
    <row r="524" ht="15.75" customHeight="1">
      <c r="A524" s="40"/>
    </row>
    <row r="525" ht="15.75" customHeight="1">
      <c r="A525" s="40"/>
    </row>
    <row r="526" ht="15.75" customHeight="1">
      <c r="A526" s="40"/>
    </row>
    <row r="527" ht="15.75" customHeight="1">
      <c r="A527" s="40"/>
    </row>
    <row r="528" ht="15.75" customHeight="1">
      <c r="A528" s="40"/>
    </row>
    <row r="529" ht="15.75" customHeight="1">
      <c r="A529" s="40"/>
    </row>
    <row r="530" ht="15.75" customHeight="1">
      <c r="A530" s="40"/>
    </row>
    <row r="531" ht="15.75" customHeight="1">
      <c r="A531" s="40"/>
    </row>
    <row r="532" ht="15.75" customHeight="1">
      <c r="A532" s="40"/>
    </row>
    <row r="533" ht="15.75" customHeight="1">
      <c r="A533" s="40"/>
    </row>
    <row r="534" ht="15.75" customHeight="1">
      <c r="A534" s="40"/>
    </row>
    <row r="535" ht="15.75" customHeight="1">
      <c r="A535" s="40"/>
    </row>
    <row r="536" ht="15.75" customHeight="1">
      <c r="A536" s="40"/>
    </row>
    <row r="537" ht="15.75" customHeight="1">
      <c r="A537" s="40"/>
    </row>
    <row r="538" ht="15.75" customHeight="1">
      <c r="A538" s="40"/>
    </row>
    <row r="539" ht="15.75" customHeight="1">
      <c r="A539" s="40"/>
    </row>
    <row r="540" ht="15.75" customHeight="1">
      <c r="A540" s="40"/>
    </row>
    <row r="541" ht="15.75" customHeight="1">
      <c r="A541" s="40"/>
    </row>
    <row r="542" ht="15.75" customHeight="1">
      <c r="A542" s="40"/>
    </row>
    <row r="543" ht="15.75" customHeight="1">
      <c r="A543" s="40"/>
    </row>
    <row r="544" ht="15.75" customHeight="1">
      <c r="A544" s="40"/>
    </row>
    <row r="545" ht="15.75" customHeight="1">
      <c r="A545" s="40"/>
    </row>
    <row r="546" ht="15.75" customHeight="1">
      <c r="A546" s="40"/>
    </row>
    <row r="547" ht="15.75" customHeight="1">
      <c r="A547" s="40"/>
    </row>
    <row r="548" ht="15.75" customHeight="1">
      <c r="A548" s="40"/>
    </row>
    <row r="549" ht="15.75" customHeight="1">
      <c r="A549" s="40"/>
    </row>
    <row r="550" ht="15.75" customHeight="1">
      <c r="A550" s="40"/>
    </row>
    <row r="551" ht="15.75" customHeight="1">
      <c r="A551" s="40"/>
    </row>
    <row r="552" ht="15.75" customHeight="1">
      <c r="A552" s="40"/>
    </row>
    <row r="553" ht="15.75" customHeight="1">
      <c r="A553" s="40"/>
    </row>
    <row r="554" ht="15.75" customHeight="1">
      <c r="A554" s="40"/>
    </row>
    <row r="555" ht="15.75" customHeight="1">
      <c r="A555" s="40"/>
    </row>
    <row r="556" ht="15.75" customHeight="1">
      <c r="A556" s="40"/>
    </row>
    <row r="557" ht="15.75" customHeight="1">
      <c r="A557" s="40"/>
    </row>
    <row r="558" ht="15.75" customHeight="1">
      <c r="A558" s="40"/>
    </row>
    <row r="559" ht="15.75" customHeight="1">
      <c r="A559" s="40"/>
    </row>
    <row r="560" ht="15.75" customHeight="1">
      <c r="A560" s="40"/>
    </row>
    <row r="561" ht="15.75" customHeight="1">
      <c r="A561" s="40"/>
    </row>
    <row r="562" ht="15.75" customHeight="1">
      <c r="A562" s="40"/>
    </row>
    <row r="563" ht="15.75" customHeight="1">
      <c r="A563" s="40"/>
    </row>
    <row r="564" ht="15.75" customHeight="1">
      <c r="A564" s="40"/>
    </row>
    <row r="565" ht="15.75" customHeight="1">
      <c r="A565" s="40"/>
    </row>
    <row r="566" ht="15.75" customHeight="1">
      <c r="A566" s="40"/>
    </row>
    <row r="567" ht="15.75" customHeight="1">
      <c r="A567" s="40"/>
    </row>
    <row r="568" ht="15.75" customHeight="1">
      <c r="A568" s="40"/>
    </row>
    <row r="569" ht="15.75" customHeight="1">
      <c r="A569" s="40"/>
    </row>
    <row r="570" ht="15.75" customHeight="1">
      <c r="A570" s="40"/>
    </row>
    <row r="571" ht="15.75" customHeight="1">
      <c r="A571" s="40"/>
    </row>
    <row r="572" ht="15.75" customHeight="1">
      <c r="A572" s="40"/>
    </row>
    <row r="573" ht="15.75" customHeight="1">
      <c r="A573" s="40"/>
    </row>
    <row r="574" ht="15.75" customHeight="1">
      <c r="A574" s="40"/>
    </row>
    <row r="575" ht="15.75" customHeight="1">
      <c r="A575" s="40"/>
    </row>
    <row r="576" ht="15.75" customHeight="1">
      <c r="A576" s="40"/>
    </row>
    <row r="577" ht="15.75" customHeight="1">
      <c r="A577" s="40"/>
    </row>
    <row r="578" ht="15.75" customHeight="1">
      <c r="A578" s="40"/>
    </row>
    <row r="579" ht="15.75" customHeight="1">
      <c r="A579" s="40"/>
    </row>
    <row r="580" ht="15.75" customHeight="1">
      <c r="A580" s="40"/>
    </row>
    <row r="581" ht="15.75" customHeight="1">
      <c r="A581" s="40"/>
    </row>
    <row r="582" ht="15.75" customHeight="1">
      <c r="A582" s="40"/>
    </row>
    <row r="583" ht="15.75" customHeight="1">
      <c r="A583" s="40"/>
    </row>
    <row r="584" ht="15.75" customHeight="1">
      <c r="A584" s="40"/>
    </row>
    <row r="585" ht="15.75" customHeight="1">
      <c r="A585" s="40"/>
    </row>
    <row r="586" ht="15.75" customHeight="1">
      <c r="A586" s="40"/>
    </row>
    <row r="587" ht="15.75" customHeight="1">
      <c r="A587" s="40"/>
    </row>
    <row r="588" ht="15.75" customHeight="1">
      <c r="A588" s="40"/>
    </row>
    <row r="589" ht="15.75" customHeight="1">
      <c r="A589" s="40"/>
    </row>
    <row r="590" ht="15.75" customHeight="1">
      <c r="A590" s="40"/>
    </row>
    <row r="591" ht="15.75" customHeight="1">
      <c r="A591" s="40"/>
    </row>
    <row r="592" ht="15.75" customHeight="1">
      <c r="A592" s="40"/>
    </row>
    <row r="593" ht="15.75" customHeight="1">
      <c r="A593" s="40"/>
    </row>
    <row r="594" ht="15.75" customHeight="1">
      <c r="A594" s="40"/>
    </row>
    <row r="595" ht="15.75" customHeight="1">
      <c r="A595" s="40"/>
    </row>
    <row r="596" ht="15.75" customHeight="1">
      <c r="A596" s="40"/>
    </row>
    <row r="597" ht="15.75" customHeight="1">
      <c r="A597" s="40"/>
    </row>
    <row r="598" ht="15.75" customHeight="1">
      <c r="A598" s="40"/>
    </row>
    <row r="599" ht="15.75" customHeight="1">
      <c r="A599" s="40"/>
    </row>
    <row r="600" ht="15.75" customHeight="1">
      <c r="A600" s="40"/>
    </row>
    <row r="601" ht="15.75" customHeight="1">
      <c r="A601" s="40"/>
    </row>
    <row r="602" ht="15.75" customHeight="1">
      <c r="A602" s="40"/>
    </row>
    <row r="603" ht="15.75" customHeight="1">
      <c r="A603" s="40"/>
    </row>
    <row r="604" ht="15.75" customHeight="1">
      <c r="A604" s="40"/>
    </row>
    <row r="605" ht="15.75" customHeight="1">
      <c r="A605" s="40"/>
    </row>
    <row r="606" ht="15.75" customHeight="1">
      <c r="A606" s="40"/>
    </row>
    <row r="607" ht="15.75" customHeight="1">
      <c r="A607" s="40"/>
    </row>
    <row r="608" ht="15.75" customHeight="1">
      <c r="A608" s="40"/>
    </row>
    <row r="609" ht="15.75" customHeight="1">
      <c r="A609" s="40"/>
    </row>
    <row r="610" ht="15.75" customHeight="1">
      <c r="A610" s="40"/>
    </row>
    <row r="611" ht="15.75" customHeight="1">
      <c r="A611" s="40"/>
    </row>
    <row r="612" ht="15.75" customHeight="1">
      <c r="A612" s="40"/>
    </row>
    <row r="613" ht="15.75" customHeight="1">
      <c r="A613" s="40"/>
    </row>
    <row r="614" ht="15.75" customHeight="1">
      <c r="A614" s="40"/>
    </row>
    <row r="615" ht="15.75" customHeight="1">
      <c r="A615" s="40"/>
    </row>
    <row r="616" ht="15.75" customHeight="1">
      <c r="A616" s="40"/>
    </row>
    <row r="617" ht="15.75" customHeight="1">
      <c r="A617" s="40"/>
    </row>
    <row r="618" ht="15.75" customHeight="1">
      <c r="A618" s="40"/>
    </row>
    <row r="619" ht="15.75" customHeight="1">
      <c r="A619" s="40"/>
    </row>
    <row r="620" ht="15.75" customHeight="1">
      <c r="A620" s="40"/>
    </row>
    <row r="621" ht="15.75" customHeight="1">
      <c r="A621" s="40"/>
    </row>
    <row r="622" ht="15.75" customHeight="1">
      <c r="A622" s="40"/>
    </row>
    <row r="623" ht="15.75" customHeight="1">
      <c r="A623" s="40"/>
    </row>
    <row r="624" ht="15.75" customHeight="1">
      <c r="A624" s="40"/>
    </row>
    <row r="625" ht="15.75" customHeight="1">
      <c r="A625" s="40"/>
    </row>
    <row r="626" ht="15.75" customHeight="1">
      <c r="A626" s="40"/>
    </row>
    <row r="627" ht="15.75" customHeight="1">
      <c r="A627" s="40"/>
    </row>
    <row r="628" ht="15.75" customHeight="1">
      <c r="A628" s="40"/>
    </row>
    <row r="629" ht="15.75" customHeight="1">
      <c r="A629" s="40"/>
    </row>
    <row r="630" ht="15.75" customHeight="1">
      <c r="A630" s="40"/>
    </row>
    <row r="631" ht="15.75" customHeight="1">
      <c r="A631" s="40"/>
    </row>
    <row r="632" ht="15.75" customHeight="1">
      <c r="A632" s="40"/>
    </row>
    <row r="633" ht="15.75" customHeight="1">
      <c r="A633" s="40"/>
    </row>
    <row r="634" ht="15.75" customHeight="1">
      <c r="A634" s="40"/>
    </row>
    <row r="635" ht="15.75" customHeight="1">
      <c r="A635" s="40"/>
    </row>
    <row r="636" ht="15.75" customHeight="1">
      <c r="A636" s="40"/>
    </row>
    <row r="637" ht="15.75" customHeight="1">
      <c r="A637" s="40"/>
    </row>
    <row r="638" ht="15.75" customHeight="1">
      <c r="A638" s="40"/>
    </row>
    <row r="639" ht="15.75" customHeight="1">
      <c r="A639" s="40"/>
    </row>
    <row r="640" ht="15.75" customHeight="1">
      <c r="A640" s="40"/>
    </row>
    <row r="641" ht="15.75" customHeight="1">
      <c r="A641" s="40"/>
    </row>
    <row r="642" ht="15.75" customHeight="1">
      <c r="A642" s="40"/>
    </row>
    <row r="643" ht="15.75" customHeight="1">
      <c r="A643" s="40"/>
    </row>
    <row r="644" ht="15.75" customHeight="1">
      <c r="A644" s="40"/>
    </row>
    <row r="645" ht="15.75" customHeight="1">
      <c r="A645" s="40"/>
    </row>
    <row r="646" ht="15.75" customHeight="1">
      <c r="A646" s="40"/>
    </row>
    <row r="647" ht="15.75" customHeight="1">
      <c r="A647" s="40"/>
    </row>
    <row r="648" ht="15.75" customHeight="1">
      <c r="A648" s="40"/>
    </row>
    <row r="649" ht="15.75" customHeight="1">
      <c r="A649" s="40"/>
    </row>
    <row r="650" ht="15.75" customHeight="1">
      <c r="A650" s="40"/>
    </row>
    <row r="651" ht="15.75" customHeight="1">
      <c r="A651" s="40"/>
    </row>
    <row r="652" ht="15.75" customHeight="1">
      <c r="A652" s="40"/>
    </row>
    <row r="653" ht="15.75" customHeight="1">
      <c r="A653" s="40"/>
    </row>
    <row r="654" ht="15.75" customHeight="1">
      <c r="A654" s="40"/>
    </row>
    <row r="655" ht="15.75" customHeight="1">
      <c r="A655" s="40"/>
    </row>
    <row r="656" ht="15.75" customHeight="1">
      <c r="A656" s="40"/>
    </row>
    <row r="657" ht="15.75" customHeight="1">
      <c r="A657" s="40"/>
    </row>
    <row r="658" ht="15.75" customHeight="1">
      <c r="A658" s="40"/>
    </row>
    <row r="659" ht="15.75" customHeight="1">
      <c r="A659" s="40"/>
    </row>
    <row r="660" ht="15.75" customHeight="1">
      <c r="A660" s="40"/>
    </row>
    <row r="661" ht="15.75" customHeight="1">
      <c r="A661" s="40"/>
    </row>
    <row r="662" ht="15.75" customHeight="1">
      <c r="A662" s="40"/>
    </row>
    <row r="663" ht="15.75" customHeight="1">
      <c r="A663" s="40"/>
    </row>
    <row r="664" ht="15.75" customHeight="1">
      <c r="A664" s="40"/>
    </row>
    <row r="665" ht="15.75" customHeight="1">
      <c r="A665" s="40"/>
    </row>
    <row r="666" ht="15.75" customHeight="1">
      <c r="A666" s="40"/>
    </row>
    <row r="667" ht="15.75" customHeight="1">
      <c r="A667" s="40"/>
    </row>
    <row r="668" ht="15.75" customHeight="1">
      <c r="A668" s="40"/>
    </row>
    <row r="669" ht="15.75" customHeight="1">
      <c r="A669" s="40"/>
    </row>
    <row r="670" ht="15.75" customHeight="1">
      <c r="A670" s="40"/>
    </row>
    <row r="671" ht="15.75" customHeight="1">
      <c r="A671" s="40"/>
    </row>
    <row r="672" ht="15.75" customHeight="1">
      <c r="A672" s="40"/>
    </row>
    <row r="673" ht="15.75" customHeight="1">
      <c r="A673" s="40"/>
    </row>
    <row r="674" ht="15.75" customHeight="1">
      <c r="A674" s="40"/>
    </row>
    <row r="675" ht="15.75" customHeight="1">
      <c r="A675" s="40"/>
    </row>
    <row r="676" ht="15.75" customHeight="1">
      <c r="A676" s="40"/>
    </row>
    <row r="677" ht="15.75" customHeight="1">
      <c r="A677" s="40"/>
    </row>
    <row r="678" ht="15.75" customHeight="1">
      <c r="A678" s="40"/>
    </row>
    <row r="679" ht="15.75" customHeight="1">
      <c r="A679" s="40"/>
    </row>
    <row r="680" ht="15.75" customHeight="1">
      <c r="A680" s="40"/>
    </row>
    <row r="681" ht="15.75" customHeight="1">
      <c r="A681" s="40"/>
    </row>
    <row r="682" ht="15.75" customHeight="1">
      <c r="A682" s="40"/>
    </row>
    <row r="683" ht="15.75" customHeight="1">
      <c r="A683" s="40"/>
    </row>
    <row r="684" ht="15.75" customHeight="1">
      <c r="A684" s="40"/>
    </row>
    <row r="685" ht="15.75" customHeight="1">
      <c r="A685" s="40"/>
    </row>
    <row r="686" ht="15.75" customHeight="1">
      <c r="A686" s="40"/>
    </row>
    <row r="687" ht="15.75" customHeight="1">
      <c r="A687" s="40"/>
    </row>
    <row r="688" ht="15.75" customHeight="1">
      <c r="A688" s="40"/>
    </row>
    <row r="689" ht="15.75" customHeight="1">
      <c r="A689" s="40"/>
    </row>
    <row r="690" ht="15.75" customHeight="1">
      <c r="A690" s="40"/>
    </row>
    <row r="691" ht="15.75" customHeight="1">
      <c r="A691" s="40"/>
    </row>
    <row r="692" ht="15.75" customHeight="1">
      <c r="A692" s="40"/>
    </row>
    <row r="693" ht="15.75" customHeight="1">
      <c r="A693" s="40"/>
    </row>
    <row r="694" ht="15.75" customHeight="1">
      <c r="A694" s="40"/>
    </row>
    <row r="695" ht="15.75" customHeight="1">
      <c r="A695" s="40"/>
    </row>
    <row r="696" ht="15.75" customHeight="1">
      <c r="A696" s="40"/>
    </row>
    <row r="697" ht="15.75" customHeight="1">
      <c r="A697" s="40"/>
    </row>
    <row r="698" ht="15.75" customHeight="1">
      <c r="A698" s="40"/>
    </row>
    <row r="699" ht="15.75" customHeight="1">
      <c r="A699" s="40"/>
    </row>
    <row r="700" ht="15.75" customHeight="1">
      <c r="A700" s="40"/>
    </row>
    <row r="701" ht="15.75" customHeight="1">
      <c r="A701" s="40"/>
    </row>
    <row r="702" ht="15.75" customHeight="1">
      <c r="A702" s="40"/>
    </row>
    <row r="703" ht="15.75" customHeight="1">
      <c r="A703" s="40"/>
    </row>
    <row r="704" ht="15.75" customHeight="1">
      <c r="A704" s="40"/>
    </row>
    <row r="705" ht="15.75" customHeight="1">
      <c r="A705" s="40"/>
    </row>
    <row r="706" ht="15.75" customHeight="1">
      <c r="A706" s="40"/>
    </row>
    <row r="707" ht="15.75" customHeight="1">
      <c r="A707" s="40"/>
    </row>
    <row r="708" ht="15.75" customHeight="1">
      <c r="A708" s="40"/>
    </row>
    <row r="709" ht="15.75" customHeight="1">
      <c r="A709" s="40"/>
    </row>
    <row r="710" ht="15.75" customHeight="1">
      <c r="A710" s="40"/>
    </row>
    <row r="711" ht="15.75" customHeight="1">
      <c r="A711" s="40"/>
    </row>
    <row r="712" ht="15.75" customHeight="1">
      <c r="A712" s="40"/>
    </row>
    <row r="713" ht="15.75" customHeight="1">
      <c r="A713" s="40"/>
    </row>
    <row r="714" ht="15.75" customHeight="1">
      <c r="A714" s="40"/>
    </row>
    <row r="715" ht="15.75" customHeight="1">
      <c r="A715" s="40"/>
    </row>
    <row r="716" ht="15.75" customHeight="1">
      <c r="A716" s="40"/>
    </row>
    <row r="717" ht="15.75" customHeight="1">
      <c r="A717" s="40"/>
    </row>
    <row r="718" ht="15.75" customHeight="1">
      <c r="A718" s="40"/>
    </row>
    <row r="719" ht="15.75" customHeight="1">
      <c r="A719" s="40"/>
    </row>
    <row r="720" ht="15.75" customHeight="1">
      <c r="A720" s="40"/>
    </row>
    <row r="721" ht="15.75" customHeight="1">
      <c r="A721" s="40"/>
    </row>
    <row r="722" ht="15.75" customHeight="1">
      <c r="A722" s="40"/>
    </row>
    <row r="723" ht="15.75" customHeight="1">
      <c r="A723" s="40"/>
    </row>
    <row r="724" ht="15.75" customHeight="1">
      <c r="A724" s="40"/>
    </row>
    <row r="725" ht="15.75" customHeight="1">
      <c r="A725" s="40"/>
    </row>
    <row r="726" ht="15.75" customHeight="1">
      <c r="A726" s="40"/>
    </row>
    <row r="727" ht="15.75" customHeight="1">
      <c r="A727" s="40"/>
    </row>
    <row r="728" ht="15.75" customHeight="1">
      <c r="A728" s="40"/>
    </row>
    <row r="729" ht="15.75" customHeight="1">
      <c r="A729" s="40"/>
    </row>
    <row r="730" ht="15.75" customHeight="1">
      <c r="A730" s="40"/>
    </row>
    <row r="731" ht="15.75" customHeight="1">
      <c r="A731" s="40"/>
    </row>
    <row r="732" ht="15.75" customHeight="1">
      <c r="A732" s="40"/>
    </row>
    <row r="733" ht="15.75" customHeight="1">
      <c r="A733" s="40"/>
    </row>
    <row r="734" ht="15.75" customHeight="1">
      <c r="A734" s="40"/>
    </row>
    <row r="735" ht="15.75" customHeight="1">
      <c r="A735" s="40"/>
    </row>
    <row r="736" ht="15.75" customHeight="1">
      <c r="A736" s="40"/>
    </row>
    <row r="737" ht="15.75" customHeight="1">
      <c r="A737" s="40"/>
    </row>
    <row r="738" ht="15.75" customHeight="1">
      <c r="A738" s="40"/>
    </row>
    <row r="739" ht="15.75" customHeight="1">
      <c r="A739" s="40"/>
    </row>
    <row r="740" ht="15.75" customHeight="1">
      <c r="A740" s="40"/>
    </row>
    <row r="741" ht="15.75" customHeight="1">
      <c r="A741" s="40"/>
    </row>
    <row r="742" ht="15.75" customHeight="1">
      <c r="A742" s="40"/>
    </row>
    <row r="743" ht="15.75" customHeight="1">
      <c r="A743" s="40"/>
    </row>
    <row r="744" ht="15.75" customHeight="1">
      <c r="A744" s="40"/>
    </row>
    <row r="745" ht="15.75" customHeight="1">
      <c r="A745" s="40"/>
    </row>
    <row r="746" ht="15.75" customHeight="1">
      <c r="A746" s="40"/>
    </row>
    <row r="747" ht="15.75" customHeight="1">
      <c r="A747" s="40"/>
    </row>
    <row r="748" ht="15.75" customHeight="1">
      <c r="A748" s="40"/>
    </row>
    <row r="749" ht="15.75" customHeight="1">
      <c r="A749" s="40"/>
    </row>
    <row r="750" ht="15.75" customHeight="1">
      <c r="A750" s="40"/>
    </row>
    <row r="751" ht="15.75" customHeight="1">
      <c r="A751" s="40"/>
    </row>
    <row r="752" ht="15.75" customHeight="1">
      <c r="A752" s="40"/>
    </row>
    <row r="753" ht="15.75" customHeight="1">
      <c r="A753" s="40"/>
    </row>
    <row r="754" ht="15.75" customHeight="1">
      <c r="A754" s="40"/>
    </row>
    <row r="755" ht="15.75" customHeight="1">
      <c r="A755" s="40"/>
    </row>
    <row r="756" ht="15.75" customHeight="1">
      <c r="A756" s="40"/>
    </row>
    <row r="757" ht="15.75" customHeight="1">
      <c r="A757" s="40"/>
    </row>
    <row r="758" ht="15.75" customHeight="1">
      <c r="A758" s="40"/>
    </row>
    <row r="759" ht="15.75" customHeight="1">
      <c r="A759" s="40"/>
    </row>
    <row r="760" ht="15.75" customHeight="1">
      <c r="A760" s="40"/>
    </row>
    <row r="761" ht="15.75" customHeight="1">
      <c r="A761" s="40"/>
    </row>
    <row r="762" ht="15.75" customHeight="1">
      <c r="A762" s="40"/>
    </row>
    <row r="763" ht="15.75" customHeight="1">
      <c r="A763" s="40"/>
    </row>
    <row r="764" ht="15.75" customHeight="1">
      <c r="A764" s="40"/>
    </row>
    <row r="765" ht="15.75" customHeight="1">
      <c r="A765" s="40"/>
    </row>
    <row r="766" ht="15.75" customHeight="1">
      <c r="A766" s="40"/>
    </row>
    <row r="767" ht="15.75" customHeight="1">
      <c r="A767" s="40"/>
    </row>
    <row r="768" ht="15.75" customHeight="1">
      <c r="A768" s="40"/>
    </row>
    <row r="769" ht="15.75" customHeight="1">
      <c r="A769" s="40"/>
    </row>
    <row r="770" ht="15.75" customHeight="1">
      <c r="A770" s="40"/>
    </row>
    <row r="771" ht="15.75" customHeight="1">
      <c r="A771" s="40"/>
    </row>
    <row r="772" ht="15.75" customHeight="1">
      <c r="A772" s="40"/>
    </row>
    <row r="773" ht="15.75" customHeight="1">
      <c r="A773" s="40"/>
    </row>
    <row r="774" ht="15.75" customHeight="1">
      <c r="A774" s="40"/>
    </row>
    <row r="775" ht="15.75" customHeight="1">
      <c r="A775" s="40"/>
    </row>
    <row r="776" ht="15.75" customHeight="1">
      <c r="A776" s="40"/>
    </row>
    <row r="777" ht="15.75" customHeight="1">
      <c r="A777" s="40"/>
    </row>
    <row r="778" ht="15.75" customHeight="1">
      <c r="A778" s="40"/>
    </row>
    <row r="779" ht="15.75" customHeight="1">
      <c r="A779" s="40"/>
    </row>
    <row r="780" ht="15.75" customHeight="1">
      <c r="A780" s="40"/>
    </row>
    <row r="781" ht="15.75" customHeight="1">
      <c r="A781" s="40"/>
    </row>
    <row r="782" ht="15.75" customHeight="1">
      <c r="A782" s="40"/>
    </row>
    <row r="783" ht="15.75" customHeight="1">
      <c r="A783" s="40"/>
    </row>
    <row r="784" ht="15.75" customHeight="1">
      <c r="A784" s="40"/>
    </row>
    <row r="785" ht="15.75" customHeight="1">
      <c r="A785" s="40"/>
    </row>
    <row r="786" ht="15.75" customHeight="1">
      <c r="A786" s="40"/>
    </row>
    <row r="787" ht="15.75" customHeight="1">
      <c r="A787" s="40"/>
    </row>
    <row r="788" ht="15.75" customHeight="1">
      <c r="A788" s="40"/>
    </row>
    <row r="789" ht="15.75" customHeight="1">
      <c r="A789" s="40"/>
    </row>
    <row r="790" ht="15.75" customHeight="1">
      <c r="A790" s="40"/>
    </row>
    <row r="791" ht="15.75" customHeight="1">
      <c r="A791" s="40"/>
    </row>
    <row r="792" ht="15.75" customHeight="1">
      <c r="A792" s="40"/>
    </row>
    <row r="793" ht="15.75" customHeight="1">
      <c r="A793" s="40"/>
    </row>
    <row r="794" ht="15.75" customHeight="1">
      <c r="A794" s="40"/>
    </row>
    <row r="795" ht="15.75" customHeight="1">
      <c r="A795" s="40"/>
    </row>
    <row r="796" ht="15.75" customHeight="1">
      <c r="A796" s="40"/>
    </row>
    <row r="797" ht="15.75" customHeight="1">
      <c r="A797" s="40"/>
    </row>
    <row r="798" ht="15.75" customHeight="1">
      <c r="A798" s="40"/>
    </row>
    <row r="799" ht="15.75" customHeight="1">
      <c r="A799" s="40"/>
    </row>
    <row r="800" ht="15.75" customHeight="1">
      <c r="A800" s="40"/>
    </row>
    <row r="801" ht="15.75" customHeight="1">
      <c r="A801" s="40"/>
    </row>
    <row r="802" ht="15.75" customHeight="1">
      <c r="A802" s="40"/>
    </row>
    <row r="803" ht="15.75" customHeight="1">
      <c r="A803" s="40"/>
    </row>
    <row r="804" ht="15.75" customHeight="1">
      <c r="A804" s="40"/>
    </row>
    <row r="805" ht="15.75" customHeight="1">
      <c r="A805" s="40"/>
    </row>
    <row r="806" ht="15.75" customHeight="1">
      <c r="A806" s="40"/>
    </row>
    <row r="807" ht="15.75" customHeight="1">
      <c r="A807" s="40"/>
    </row>
    <row r="808" ht="15.75" customHeight="1">
      <c r="A808" s="40"/>
    </row>
    <row r="809" ht="15.75" customHeight="1">
      <c r="A809" s="40"/>
    </row>
    <row r="810" ht="15.75" customHeight="1">
      <c r="A810" s="40"/>
    </row>
    <row r="811" ht="15.75" customHeight="1">
      <c r="A811" s="40"/>
    </row>
    <row r="812" ht="15.75" customHeight="1">
      <c r="A812" s="40"/>
    </row>
    <row r="813" ht="15.75" customHeight="1">
      <c r="A813" s="40"/>
    </row>
    <row r="814" ht="15.75" customHeight="1">
      <c r="A814" s="40"/>
    </row>
    <row r="815" ht="15.75" customHeight="1">
      <c r="A815" s="40"/>
    </row>
    <row r="816" ht="15.75" customHeight="1">
      <c r="A816" s="40"/>
    </row>
    <row r="817" ht="15.75" customHeight="1">
      <c r="A817" s="40"/>
    </row>
    <row r="818" ht="15.75" customHeight="1">
      <c r="A818" s="40"/>
    </row>
    <row r="819" ht="15.75" customHeight="1">
      <c r="A819" s="40"/>
    </row>
    <row r="820" ht="15.75" customHeight="1">
      <c r="A820" s="40"/>
    </row>
    <row r="821" ht="15.75" customHeight="1">
      <c r="A821" s="40"/>
    </row>
    <row r="822" ht="15.75" customHeight="1">
      <c r="A822" s="40"/>
    </row>
    <row r="823" ht="15.75" customHeight="1">
      <c r="A823" s="40"/>
    </row>
    <row r="824" ht="15.75" customHeight="1">
      <c r="A824" s="40"/>
    </row>
    <row r="825" ht="15.75" customHeight="1">
      <c r="A825" s="40"/>
    </row>
    <row r="826" ht="15.75" customHeight="1">
      <c r="A826" s="40"/>
    </row>
    <row r="827" ht="15.75" customHeight="1">
      <c r="A827" s="40"/>
    </row>
    <row r="828" ht="15.75" customHeight="1">
      <c r="A828" s="40"/>
    </row>
    <row r="829" ht="15.75" customHeight="1">
      <c r="A829" s="40"/>
    </row>
    <row r="830" ht="15.75" customHeight="1">
      <c r="A830" s="40"/>
    </row>
    <row r="831" ht="15.75" customHeight="1">
      <c r="A831" s="40"/>
    </row>
    <row r="832" ht="15.75" customHeight="1">
      <c r="A832" s="40"/>
    </row>
    <row r="833" ht="15.75" customHeight="1">
      <c r="A833" s="40"/>
    </row>
    <row r="834" ht="15.75" customHeight="1">
      <c r="A834" s="40"/>
    </row>
    <row r="835" ht="15.75" customHeight="1">
      <c r="A835" s="40"/>
    </row>
    <row r="836" ht="15.75" customHeight="1">
      <c r="A836" s="40"/>
    </row>
    <row r="837" ht="15.75" customHeight="1">
      <c r="A837" s="40"/>
    </row>
    <row r="838" ht="15.75" customHeight="1">
      <c r="A838" s="40"/>
    </row>
    <row r="839" ht="15.75" customHeight="1">
      <c r="A839" s="40"/>
    </row>
    <row r="840" ht="15.75" customHeight="1">
      <c r="A840" s="40"/>
    </row>
    <row r="841" ht="15.75" customHeight="1">
      <c r="A841" s="40"/>
    </row>
    <row r="842" ht="15.75" customHeight="1">
      <c r="A842" s="40"/>
    </row>
    <row r="843" ht="15.75" customHeight="1">
      <c r="A843" s="40"/>
    </row>
    <row r="844" ht="15.75" customHeight="1">
      <c r="A844" s="40"/>
    </row>
    <row r="845" ht="15.75" customHeight="1">
      <c r="A845" s="40"/>
    </row>
    <row r="846" ht="15.75" customHeight="1">
      <c r="A846" s="40"/>
    </row>
    <row r="847" ht="15.75" customHeight="1">
      <c r="A847" s="40"/>
    </row>
    <row r="848" ht="15.75" customHeight="1">
      <c r="A848" s="40"/>
    </row>
    <row r="849" ht="15.75" customHeight="1">
      <c r="A849" s="40"/>
    </row>
    <row r="850" ht="15.75" customHeight="1">
      <c r="A850" s="40"/>
    </row>
    <row r="851" ht="15.75" customHeight="1">
      <c r="A851" s="40"/>
    </row>
    <row r="852" ht="15.75" customHeight="1">
      <c r="A852" s="40"/>
    </row>
    <row r="853" ht="15.75" customHeight="1">
      <c r="A853" s="40"/>
    </row>
    <row r="854" ht="15.75" customHeight="1">
      <c r="A854" s="40"/>
    </row>
    <row r="855" ht="15.75" customHeight="1">
      <c r="A855" s="40"/>
    </row>
    <row r="856" ht="15.75" customHeight="1">
      <c r="A856" s="40"/>
    </row>
    <row r="857" ht="15.75" customHeight="1">
      <c r="A857" s="40"/>
    </row>
    <row r="858" ht="15.75" customHeight="1">
      <c r="A858" s="40"/>
    </row>
    <row r="859" ht="15.75" customHeight="1">
      <c r="A859" s="40"/>
    </row>
    <row r="860" ht="15.75" customHeight="1">
      <c r="A860" s="40"/>
    </row>
    <row r="861" ht="15.75" customHeight="1">
      <c r="A861" s="40"/>
    </row>
    <row r="862" ht="15.75" customHeight="1">
      <c r="A862" s="40"/>
    </row>
    <row r="863" ht="15.75" customHeight="1">
      <c r="A863" s="40"/>
    </row>
    <row r="864" ht="15.75" customHeight="1">
      <c r="A864" s="40"/>
    </row>
    <row r="865" ht="15.75" customHeight="1">
      <c r="A865" s="40"/>
    </row>
    <row r="866" ht="15.75" customHeight="1">
      <c r="A866" s="40"/>
    </row>
    <row r="867" ht="15.75" customHeight="1">
      <c r="A867" s="40"/>
    </row>
    <row r="868" ht="15.75" customHeight="1">
      <c r="A868" s="40"/>
    </row>
    <row r="869" ht="15.75" customHeight="1">
      <c r="A869" s="40"/>
    </row>
    <row r="870" ht="15.75" customHeight="1">
      <c r="A870" s="40"/>
    </row>
    <row r="871" ht="15.75" customHeight="1">
      <c r="A871" s="40"/>
    </row>
    <row r="872" ht="15.75" customHeight="1">
      <c r="A872" s="40"/>
    </row>
    <row r="873" ht="15.75" customHeight="1">
      <c r="A873" s="40"/>
    </row>
    <row r="874" ht="15.75" customHeight="1">
      <c r="A874" s="40"/>
    </row>
    <row r="875" ht="15.75" customHeight="1">
      <c r="A875" s="40"/>
    </row>
    <row r="876" ht="15.75" customHeight="1">
      <c r="A876" s="40"/>
    </row>
    <row r="877" ht="15.75" customHeight="1">
      <c r="A877" s="40"/>
    </row>
    <row r="878" ht="15.75" customHeight="1">
      <c r="A878" s="40"/>
    </row>
    <row r="879" ht="15.75" customHeight="1">
      <c r="A879" s="40"/>
    </row>
    <row r="880" ht="15.75" customHeight="1">
      <c r="A880" s="40"/>
    </row>
    <row r="881" ht="15.75" customHeight="1">
      <c r="A881" s="40"/>
    </row>
    <row r="882" ht="15.75" customHeight="1">
      <c r="A882" s="40"/>
    </row>
    <row r="883" ht="15.75" customHeight="1">
      <c r="A883" s="40"/>
    </row>
    <row r="884" ht="15.75" customHeight="1">
      <c r="A884" s="40"/>
    </row>
    <row r="885" ht="15.75" customHeight="1">
      <c r="A885" s="40"/>
    </row>
    <row r="886" ht="15.75" customHeight="1">
      <c r="A886" s="40"/>
    </row>
    <row r="887" ht="15.75" customHeight="1">
      <c r="A887" s="40"/>
    </row>
    <row r="888" ht="15.75" customHeight="1">
      <c r="A888" s="40"/>
    </row>
    <row r="889" ht="15.75" customHeight="1">
      <c r="A889" s="40"/>
    </row>
    <row r="890" ht="15.75" customHeight="1">
      <c r="A890" s="40"/>
    </row>
    <row r="891" ht="15.75" customHeight="1">
      <c r="A891" s="40"/>
    </row>
    <row r="892" ht="15.75" customHeight="1">
      <c r="A892" s="40"/>
    </row>
    <row r="893" ht="15.75" customHeight="1">
      <c r="A893" s="40"/>
    </row>
    <row r="894" ht="15.75" customHeight="1">
      <c r="A894" s="40"/>
    </row>
    <row r="895" ht="15.75" customHeight="1">
      <c r="A895" s="40"/>
    </row>
    <row r="896" ht="15.75" customHeight="1">
      <c r="A896" s="40"/>
    </row>
    <row r="897" ht="15.75" customHeight="1">
      <c r="A897" s="40"/>
    </row>
    <row r="898" ht="15.75" customHeight="1">
      <c r="A898" s="40"/>
    </row>
    <row r="899" ht="15.75" customHeight="1">
      <c r="A899" s="40"/>
    </row>
    <row r="900" ht="15.75" customHeight="1">
      <c r="A900" s="40"/>
    </row>
    <row r="901" ht="15.75" customHeight="1">
      <c r="A901" s="40"/>
    </row>
    <row r="902" ht="15.75" customHeight="1">
      <c r="A902" s="40"/>
    </row>
    <row r="903" ht="15.75" customHeight="1">
      <c r="A903" s="40"/>
    </row>
    <row r="904" ht="15.75" customHeight="1">
      <c r="A904" s="40"/>
    </row>
    <row r="905" ht="15.75" customHeight="1">
      <c r="A905" s="40"/>
    </row>
    <row r="906" ht="15.75" customHeight="1">
      <c r="A906" s="40"/>
    </row>
    <row r="907" ht="15.75" customHeight="1">
      <c r="A907" s="40"/>
    </row>
    <row r="908" ht="15.75" customHeight="1">
      <c r="A908" s="40"/>
    </row>
    <row r="909" ht="15.75" customHeight="1">
      <c r="A909" s="40"/>
    </row>
    <row r="910" ht="15.75" customHeight="1">
      <c r="A910" s="40"/>
    </row>
    <row r="911" ht="15.75" customHeight="1">
      <c r="A911" s="40"/>
    </row>
    <row r="912" ht="15.75" customHeight="1">
      <c r="A912" s="40"/>
    </row>
    <row r="913" ht="15.75" customHeight="1">
      <c r="A913" s="40"/>
    </row>
    <row r="914" ht="15.75" customHeight="1">
      <c r="A914" s="40"/>
    </row>
    <row r="915" ht="15.75" customHeight="1">
      <c r="A915" s="40"/>
    </row>
    <row r="916" ht="15.75" customHeight="1">
      <c r="A916" s="40"/>
    </row>
    <row r="917" ht="15.75" customHeight="1">
      <c r="A917" s="40"/>
    </row>
    <row r="918" ht="15.75" customHeight="1">
      <c r="A918" s="40"/>
    </row>
    <row r="919" ht="15.75" customHeight="1">
      <c r="A919" s="40"/>
    </row>
    <row r="920" ht="15.75" customHeight="1">
      <c r="A920" s="40"/>
    </row>
    <row r="921" ht="15.75" customHeight="1">
      <c r="A921" s="40"/>
    </row>
    <row r="922" ht="15.75" customHeight="1">
      <c r="A922" s="40"/>
    </row>
    <row r="923" ht="15.75" customHeight="1">
      <c r="A923" s="40"/>
    </row>
    <row r="924" ht="15.75" customHeight="1">
      <c r="A924" s="40"/>
    </row>
    <row r="925" ht="15.75" customHeight="1">
      <c r="A925" s="40"/>
    </row>
    <row r="926" ht="15.75" customHeight="1">
      <c r="A926" s="40"/>
    </row>
    <row r="927" ht="15.75" customHeight="1">
      <c r="A927" s="40"/>
    </row>
    <row r="928" ht="15.75" customHeight="1">
      <c r="A928" s="40"/>
    </row>
    <row r="929" ht="15.75" customHeight="1">
      <c r="A929" s="40"/>
    </row>
    <row r="930" ht="15.75" customHeight="1">
      <c r="A930" s="40"/>
    </row>
    <row r="931" ht="15.75" customHeight="1">
      <c r="A931" s="40"/>
    </row>
    <row r="932" ht="15.75" customHeight="1">
      <c r="A932" s="40"/>
    </row>
    <row r="933" ht="15.75" customHeight="1">
      <c r="A933" s="40"/>
    </row>
    <row r="934" ht="15.75" customHeight="1">
      <c r="A934" s="40"/>
    </row>
    <row r="935" ht="15.75" customHeight="1">
      <c r="A935" s="40"/>
    </row>
    <row r="936" ht="15.75" customHeight="1">
      <c r="A936" s="40"/>
    </row>
    <row r="937" ht="15.75" customHeight="1">
      <c r="A937" s="40"/>
    </row>
    <row r="938" ht="15.75" customHeight="1">
      <c r="A938" s="40"/>
    </row>
    <row r="939" ht="15.75" customHeight="1">
      <c r="A939" s="40"/>
    </row>
    <row r="940" ht="15.75" customHeight="1">
      <c r="A940" s="40"/>
    </row>
    <row r="941" ht="15.75" customHeight="1">
      <c r="A941" s="40"/>
    </row>
    <row r="942" ht="15.75" customHeight="1">
      <c r="A942" s="40"/>
    </row>
    <row r="943" ht="15.75" customHeight="1">
      <c r="A943" s="40"/>
    </row>
    <row r="944" ht="15.75" customHeight="1">
      <c r="A944" s="40"/>
    </row>
    <row r="945" ht="15.75" customHeight="1">
      <c r="A945" s="40"/>
    </row>
    <row r="946" ht="15.75" customHeight="1">
      <c r="A946" s="40"/>
    </row>
    <row r="947" ht="15.75" customHeight="1">
      <c r="A947" s="40"/>
    </row>
    <row r="948" ht="15.75" customHeight="1">
      <c r="A948" s="40"/>
    </row>
    <row r="949" ht="15.75" customHeight="1">
      <c r="A949" s="40"/>
    </row>
    <row r="950" ht="15.75" customHeight="1">
      <c r="A950" s="40"/>
    </row>
    <row r="951" ht="15.75" customHeight="1">
      <c r="A951" s="40"/>
    </row>
    <row r="952" ht="15.75" customHeight="1">
      <c r="A952" s="40"/>
    </row>
    <row r="953" ht="15.75" customHeight="1">
      <c r="A953" s="40"/>
    </row>
    <row r="954" ht="15.75" customHeight="1">
      <c r="A954" s="40"/>
    </row>
    <row r="955" ht="15.75" customHeight="1">
      <c r="A955" s="40"/>
    </row>
    <row r="956" ht="15.75" customHeight="1">
      <c r="A956" s="40"/>
    </row>
    <row r="957" ht="15.75" customHeight="1">
      <c r="A957" s="40"/>
    </row>
    <row r="958" ht="15.75" customHeight="1">
      <c r="A958" s="40"/>
    </row>
    <row r="959" ht="15.75" customHeight="1">
      <c r="A959" s="40"/>
    </row>
    <row r="960" ht="15.75" customHeight="1">
      <c r="A960" s="40"/>
    </row>
    <row r="961" ht="15.75" customHeight="1">
      <c r="A961" s="40"/>
    </row>
    <row r="962" ht="15.75" customHeight="1">
      <c r="A962" s="40"/>
    </row>
    <row r="963" ht="15.75" customHeight="1">
      <c r="A963" s="40"/>
    </row>
    <row r="964" ht="15.75" customHeight="1">
      <c r="A964" s="40"/>
    </row>
    <row r="965" ht="15.75" customHeight="1">
      <c r="A965" s="40"/>
    </row>
    <row r="966" ht="15.75" customHeight="1">
      <c r="A966" s="40"/>
    </row>
    <row r="967" ht="15.75" customHeight="1">
      <c r="A967" s="40"/>
    </row>
    <row r="968" ht="15.75" customHeight="1">
      <c r="A968" s="40"/>
    </row>
    <row r="969" ht="15.75" customHeight="1">
      <c r="A969" s="40"/>
    </row>
    <row r="970" ht="15.75" customHeight="1">
      <c r="A970" s="40"/>
    </row>
    <row r="971" ht="15.75" customHeight="1">
      <c r="A971" s="40"/>
    </row>
    <row r="972" ht="15.75" customHeight="1">
      <c r="A972" s="40"/>
    </row>
    <row r="973" ht="15.75" customHeight="1">
      <c r="A973" s="40"/>
    </row>
    <row r="974" ht="15.75" customHeight="1">
      <c r="A974" s="40"/>
    </row>
    <row r="975" ht="15.75" customHeight="1">
      <c r="A975" s="40"/>
    </row>
    <row r="976" ht="15.75" customHeight="1">
      <c r="A976" s="40"/>
    </row>
    <row r="977" ht="15.75" customHeight="1">
      <c r="A977" s="40"/>
    </row>
    <row r="978" ht="15.75" customHeight="1">
      <c r="A978" s="40"/>
    </row>
    <row r="979" ht="15.75" customHeight="1">
      <c r="A979" s="40"/>
    </row>
    <row r="980" ht="15.75" customHeight="1">
      <c r="A980" s="40"/>
    </row>
    <row r="981" ht="15.75" customHeight="1">
      <c r="A981" s="40"/>
    </row>
    <row r="982" ht="15.75" customHeight="1">
      <c r="A982" s="40"/>
    </row>
    <row r="983" ht="15.75" customHeight="1">
      <c r="A983" s="40"/>
    </row>
    <row r="984" ht="15.75" customHeight="1">
      <c r="A984" s="40"/>
    </row>
    <row r="985" ht="15.75" customHeight="1">
      <c r="A985" s="40"/>
    </row>
    <row r="986" ht="15.75" customHeight="1">
      <c r="A986" s="40"/>
    </row>
    <row r="987" ht="15.75" customHeight="1">
      <c r="A987" s="40"/>
    </row>
    <row r="988" ht="15.75" customHeight="1">
      <c r="A988" s="40"/>
    </row>
    <row r="989" ht="15.75" customHeight="1">
      <c r="A989" s="40"/>
    </row>
    <row r="990" ht="15.75" customHeight="1">
      <c r="A990" s="40"/>
    </row>
    <row r="991" ht="15.75" customHeight="1">
      <c r="A991" s="40"/>
    </row>
    <row r="992" ht="15.75" customHeight="1">
      <c r="A992" s="40"/>
    </row>
    <row r="993" ht="15.75" customHeight="1">
      <c r="A993" s="40"/>
    </row>
    <row r="994" ht="15.75" customHeight="1">
      <c r="A994" s="40"/>
    </row>
    <row r="995" ht="15.75" customHeight="1">
      <c r="A995" s="40"/>
    </row>
    <row r="996" ht="15.75" customHeight="1">
      <c r="A996" s="40"/>
    </row>
    <row r="997" ht="15.75" customHeight="1">
      <c r="A997" s="40"/>
    </row>
    <row r="998" ht="15.75" customHeight="1">
      <c r="A998" s="40"/>
    </row>
    <row r="999" ht="15.75" customHeight="1">
      <c r="A999" s="40"/>
    </row>
    <row r="1000" ht="15.75" customHeight="1">
      <c r="A1000" s="40"/>
    </row>
  </sheetData>
  <mergeCells count="2">
    <mergeCell ref="A1:B1"/>
    <mergeCell ref="A2:B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5.86"/>
    <col customWidth="1" min="3" max="3" width="79.29"/>
    <col customWidth="1" min="4" max="26" width="8.86"/>
  </cols>
  <sheetData>
    <row r="1" ht="31.5" customHeight="1">
      <c r="A1" s="6" t="s">
        <v>1</v>
      </c>
      <c r="B1" s="6" t="s">
        <v>7</v>
      </c>
      <c r="C1" s="9" t="s">
        <v>9</v>
      </c>
    </row>
    <row r="2" ht="67.5" customHeight="1">
      <c r="A2" s="10">
        <v>1.0</v>
      </c>
      <c r="B2" s="11" t="s">
        <v>12</v>
      </c>
      <c r="C2" s="23" t="s">
        <v>14</v>
      </c>
    </row>
    <row r="3" ht="59.25" customHeight="1">
      <c r="A3" s="10">
        <v>2.0</v>
      </c>
      <c r="B3" s="11" t="s">
        <v>22</v>
      </c>
      <c r="C3" s="26" t="s">
        <v>24</v>
      </c>
    </row>
    <row r="4" ht="55.5" customHeight="1">
      <c r="A4" s="10">
        <v>3.0</v>
      </c>
      <c r="B4" s="11" t="s">
        <v>25</v>
      </c>
      <c r="C4" s="26" t="s">
        <v>27</v>
      </c>
    </row>
    <row r="5" ht="69.75" customHeight="1">
      <c r="A5" s="10">
        <v>4.0</v>
      </c>
      <c r="B5" s="11" t="s">
        <v>28</v>
      </c>
      <c r="C5" s="29" t="s">
        <v>30</v>
      </c>
    </row>
    <row r="6" ht="66.75" customHeight="1">
      <c r="A6" s="10">
        <v>5.0</v>
      </c>
      <c r="B6" s="11" t="s">
        <v>31</v>
      </c>
      <c r="C6" s="31" t="s">
        <v>33</v>
      </c>
    </row>
    <row r="7" ht="55.5" customHeight="1">
      <c r="A7" s="10">
        <v>6.0</v>
      </c>
      <c r="B7" s="11" t="s">
        <v>37</v>
      </c>
      <c r="C7" s="23" t="s">
        <v>38</v>
      </c>
    </row>
    <row r="8" ht="55.5" customHeight="1">
      <c r="A8" s="10">
        <v>7.0</v>
      </c>
      <c r="B8" s="11" t="s">
        <v>42</v>
      </c>
      <c r="C8" s="23" t="s">
        <v>43</v>
      </c>
    </row>
    <row r="9" ht="55.5" customHeight="1">
      <c r="A9" s="10">
        <v>8.0</v>
      </c>
      <c r="B9" s="11" t="s">
        <v>48</v>
      </c>
      <c r="C9" s="31" t="s">
        <v>49</v>
      </c>
    </row>
    <row r="10" ht="55.5" customHeight="1">
      <c r="A10" s="10">
        <v>9.0</v>
      </c>
      <c r="B10" s="11" t="s">
        <v>51</v>
      </c>
      <c r="C10" s="31"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6"/>
    <hyperlink r:id="rId3" ref="C7"/>
    <hyperlink r:id="rId4" ref="C8"/>
    <hyperlink r:id="rId5" ref="C9"/>
    <hyperlink r:id="rId6" ref="C10"/>
  </hyperlinks>
  <printOptions/>
  <pageMargins bottom="0.75" footer="0.0" header="0.0" left="0.7" right="0.7" top="0.75"/>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41.43"/>
    <col customWidth="1" min="3" max="3" width="27.43"/>
    <col customWidth="1" min="4" max="4" width="44.43"/>
    <col customWidth="1" min="5" max="5" width="21.0"/>
    <col customWidth="1" min="6" max="6" width="29.43"/>
    <col customWidth="1" min="7" max="7" width="25.43"/>
    <col customWidth="1" hidden="1" min="8" max="8" width="19.0"/>
    <col customWidth="1" min="9" max="9" width="27.43"/>
    <col customWidth="1" min="10" max="11" width="8.86"/>
    <col customWidth="1" hidden="1" min="12" max="13" width="8.86"/>
    <col customWidth="1" min="14" max="14" width="8.86"/>
    <col customWidth="1" hidden="1" min="15" max="21" width="8.86"/>
    <col customWidth="1" min="22" max="22" width="8.86"/>
    <col customWidth="1" hidden="1" min="23" max="23" width="8.86"/>
    <col customWidth="1" min="24" max="26" width="8.86"/>
  </cols>
  <sheetData>
    <row r="1" ht="27.0" customHeight="1">
      <c r="A1" s="4" t="s">
        <v>2</v>
      </c>
      <c r="B1" s="4" t="s">
        <v>3</v>
      </c>
      <c r="C1" s="4" t="s">
        <v>4</v>
      </c>
      <c r="D1" s="4" t="s">
        <v>6</v>
      </c>
      <c r="E1" s="8" t="s">
        <v>8</v>
      </c>
      <c r="F1" s="4" t="s">
        <v>10</v>
      </c>
      <c r="G1" s="4" t="s">
        <v>11</v>
      </c>
      <c r="H1" s="12" t="s">
        <v>13</v>
      </c>
      <c r="I1" s="8" t="s">
        <v>15</v>
      </c>
    </row>
    <row r="2" ht="87.0" customHeight="1">
      <c r="A2" s="14">
        <v>1.0</v>
      </c>
      <c r="B2" s="14" t="s">
        <v>17</v>
      </c>
      <c r="C2" s="14" t="s">
        <v>18</v>
      </c>
      <c r="D2" s="18" t="s">
        <v>19</v>
      </c>
      <c r="E2" s="19" t="s">
        <v>20</v>
      </c>
      <c r="F2" s="20" t="s">
        <v>21</v>
      </c>
      <c r="G2" s="22"/>
      <c r="H2" s="22" t="str">
        <f t="shared" ref="H2:H101" si="1">IF(TRIM(G2)="","NA",IF(ISNUMBER(SEARCH("not applicable",LOWER(TRIM(G2)))),"NA",IF(LEFT(LOWER(TRIM(G2)),4)="pass","NONE",IF(OR(ISNUMBER(SEARCH("fail - high",LOWER(TRIM(G2)))),ISNUMBER(SEARCH("fail – high",LOWER(TRIM(G2))))),"HIGH",IF(OR(ISNUMBER(SEARCH("fail - medium",LOWER(TRIM(G2)))),ISNUMBER(SEARCH("fail – medium",LOWER(TRIM(G2))))),"MEDIUM",IF(OR(ISNUMBER(SEARCH("fail - low",LOWER(TRIM(G2)))),ISNUMBER(SEARCH("fail – low",LOWER(TRIM(G2))))),"LOW",IF(LEFT(LOWER(TRIM(G2)),4)="fail","MEDIUM","NA")))))))</f>
        <v>NA</v>
      </c>
      <c r="I2" s="22"/>
      <c r="S2" s="34" t="s">
        <v>41</v>
      </c>
      <c r="W2" s="34" t="s">
        <v>20</v>
      </c>
    </row>
    <row r="3" ht="202.5" customHeight="1">
      <c r="A3" s="14">
        <v>2.0</v>
      </c>
      <c r="B3" s="14" t="s">
        <v>17</v>
      </c>
      <c r="C3" s="14" t="s">
        <v>18</v>
      </c>
      <c r="D3" s="18" t="s">
        <v>44</v>
      </c>
      <c r="E3" s="19" t="s">
        <v>20</v>
      </c>
      <c r="F3" s="35" t="s">
        <v>46</v>
      </c>
      <c r="G3" s="22"/>
      <c r="H3" s="22" t="str">
        <f t="shared" si="1"/>
        <v>NA</v>
      </c>
      <c r="I3" s="22"/>
      <c r="L3" s="34" t="s">
        <v>52</v>
      </c>
      <c r="R3" s="34" t="s">
        <v>54</v>
      </c>
      <c r="W3" s="34" t="s">
        <v>55</v>
      </c>
    </row>
    <row r="4" ht="115.5" customHeight="1">
      <c r="A4" s="14">
        <v>3.0</v>
      </c>
      <c r="B4" s="14" t="s">
        <v>17</v>
      </c>
      <c r="C4" s="14" t="s">
        <v>18</v>
      </c>
      <c r="D4" s="18" t="s">
        <v>56</v>
      </c>
      <c r="E4" s="19" t="s">
        <v>20</v>
      </c>
      <c r="F4" s="35" t="s">
        <v>57</v>
      </c>
      <c r="G4" s="22"/>
      <c r="H4" s="22" t="str">
        <f t="shared" si="1"/>
        <v>NA</v>
      </c>
      <c r="I4" s="22"/>
      <c r="S4" s="34" t="s">
        <v>58</v>
      </c>
      <c r="W4" s="34" t="s">
        <v>59</v>
      </c>
    </row>
    <row r="5" ht="261.0" customHeight="1">
      <c r="A5" s="14">
        <v>4.0</v>
      </c>
      <c r="B5" s="14" t="s">
        <v>17</v>
      </c>
      <c r="C5" s="14" t="s">
        <v>18</v>
      </c>
      <c r="D5" s="18" t="s">
        <v>60</v>
      </c>
      <c r="E5" s="19" t="s">
        <v>20</v>
      </c>
      <c r="F5" s="20" t="s">
        <v>62</v>
      </c>
      <c r="G5" s="22"/>
      <c r="H5" s="22" t="str">
        <f t="shared" si="1"/>
        <v>NA</v>
      </c>
      <c r="I5" s="22"/>
      <c r="M5" s="34" t="s">
        <v>63</v>
      </c>
      <c r="S5" s="34" t="s">
        <v>64</v>
      </c>
    </row>
    <row r="6" ht="202.5" customHeight="1">
      <c r="A6" s="14">
        <v>5.0</v>
      </c>
      <c r="B6" s="14" t="s">
        <v>17</v>
      </c>
      <c r="C6" s="14" t="s">
        <v>18</v>
      </c>
      <c r="D6" s="18" t="s">
        <v>65</v>
      </c>
      <c r="E6" s="19" t="s">
        <v>20</v>
      </c>
      <c r="F6" s="20" t="s">
        <v>66</v>
      </c>
      <c r="G6" s="22"/>
      <c r="H6" s="22" t="str">
        <f t="shared" si="1"/>
        <v>NA</v>
      </c>
      <c r="I6" s="22"/>
      <c r="S6" s="34" t="s">
        <v>59</v>
      </c>
    </row>
    <row r="7" ht="130.5" customHeight="1">
      <c r="A7" s="14">
        <v>6.0</v>
      </c>
      <c r="B7" s="14" t="s">
        <v>17</v>
      </c>
      <c r="C7" s="14" t="s">
        <v>18</v>
      </c>
      <c r="D7" s="18" t="s">
        <v>70</v>
      </c>
      <c r="E7" s="19" t="s">
        <v>20</v>
      </c>
      <c r="F7" s="35" t="s">
        <v>72</v>
      </c>
      <c r="G7" s="22"/>
      <c r="H7" s="22" t="str">
        <f t="shared" si="1"/>
        <v>NA</v>
      </c>
      <c r="I7" s="22"/>
    </row>
    <row r="8" ht="217.5" customHeight="1">
      <c r="A8" s="14">
        <v>7.0</v>
      </c>
      <c r="B8" s="14" t="s">
        <v>17</v>
      </c>
      <c r="C8" s="14" t="s">
        <v>18</v>
      </c>
      <c r="D8" s="18" t="s">
        <v>74</v>
      </c>
      <c r="E8" s="19" t="s">
        <v>20</v>
      </c>
      <c r="F8" s="20" t="s">
        <v>75</v>
      </c>
      <c r="G8" s="22"/>
      <c r="H8" s="22" t="str">
        <f t="shared" si="1"/>
        <v>NA</v>
      </c>
      <c r="I8" s="22"/>
    </row>
    <row r="9" ht="101.25" customHeight="1">
      <c r="A9" s="14">
        <v>8.0</v>
      </c>
      <c r="B9" s="14" t="s">
        <v>17</v>
      </c>
      <c r="C9" s="14" t="s">
        <v>18</v>
      </c>
      <c r="D9" s="18" t="s">
        <v>76</v>
      </c>
      <c r="E9" s="19" t="s">
        <v>20</v>
      </c>
      <c r="F9" s="20" t="s">
        <v>77</v>
      </c>
      <c r="G9" s="22"/>
      <c r="H9" s="22" t="str">
        <f t="shared" si="1"/>
        <v>NA</v>
      </c>
      <c r="I9" s="22"/>
    </row>
    <row r="10" ht="87.0" customHeight="1">
      <c r="A10" s="14">
        <v>9.0</v>
      </c>
      <c r="B10" s="14" t="s">
        <v>17</v>
      </c>
      <c r="C10" s="14" t="s">
        <v>18</v>
      </c>
      <c r="D10" s="18" t="s">
        <v>79</v>
      </c>
      <c r="E10" s="19" t="s">
        <v>20</v>
      </c>
      <c r="F10" s="35" t="s">
        <v>80</v>
      </c>
      <c r="G10" s="22"/>
      <c r="H10" s="22" t="str">
        <f t="shared" si="1"/>
        <v>NA</v>
      </c>
      <c r="I10" s="22"/>
    </row>
    <row r="11" ht="115.5" customHeight="1">
      <c r="A11" s="14">
        <v>10.0</v>
      </c>
      <c r="B11" s="14" t="s">
        <v>17</v>
      </c>
      <c r="C11" s="14" t="s">
        <v>18</v>
      </c>
      <c r="D11" s="18" t="s">
        <v>82</v>
      </c>
      <c r="E11" s="19" t="s">
        <v>20</v>
      </c>
      <c r="F11" s="20" t="s">
        <v>84</v>
      </c>
      <c r="G11" s="22"/>
      <c r="H11" s="22" t="str">
        <f t="shared" si="1"/>
        <v>NA</v>
      </c>
      <c r="I11" s="22"/>
    </row>
    <row r="12" ht="87.0" customHeight="1">
      <c r="A12" s="14">
        <v>11.0</v>
      </c>
      <c r="B12" s="14" t="s">
        <v>17</v>
      </c>
      <c r="C12" s="14" t="s">
        <v>18</v>
      </c>
      <c r="D12" s="18" t="s">
        <v>89</v>
      </c>
      <c r="E12" s="19" t="s">
        <v>20</v>
      </c>
      <c r="F12" s="20" t="s">
        <v>90</v>
      </c>
      <c r="G12" s="22"/>
      <c r="H12" s="22" t="str">
        <f t="shared" si="1"/>
        <v>NA</v>
      </c>
      <c r="I12" s="22"/>
    </row>
    <row r="13" ht="87.0" customHeight="1">
      <c r="A13" s="14">
        <v>12.0</v>
      </c>
      <c r="B13" s="14" t="s">
        <v>17</v>
      </c>
      <c r="C13" s="14" t="s">
        <v>18</v>
      </c>
      <c r="D13" s="18" t="s">
        <v>91</v>
      </c>
      <c r="E13" s="19" t="s">
        <v>20</v>
      </c>
      <c r="F13" s="20" t="s">
        <v>93</v>
      </c>
      <c r="G13" s="22"/>
      <c r="H13" s="22" t="str">
        <f t="shared" si="1"/>
        <v>NA</v>
      </c>
      <c r="I13" s="22"/>
    </row>
    <row r="14" ht="87.0" customHeight="1">
      <c r="A14" s="14">
        <v>13.0</v>
      </c>
      <c r="B14" s="45" t="s">
        <v>94</v>
      </c>
      <c r="C14" s="45" t="s">
        <v>18</v>
      </c>
      <c r="D14" s="46" t="s">
        <v>95</v>
      </c>
      <c r="E14" s="19" t="s">
        <v>20</v>
      </c>
      <c r="F14" s="35" t="s">
        <v>96</v>
      </c>
      <c r="G14" s="22"/>
      <c r="H14" s="22" t="str">
        <f t="shared" si="1"/>
        <v>NA</v>
      </c>
      <c r="I14" s="22"/>
    </row>
    <row r="15" ht="144.75" customHeight="1">
      <c r="A15" s="14">
        <v>14.0</v>
      </c>
      <c r="B15" s="45" t="s">
        <v>94</v>
      </c>
      <c r="C15" s="45" t="s">
        <v>18</v>
      </c>
      <c r="D15" s="18" t="s">
        <v>98</v>
      </c>
      <c r="E15" s="19" t="s">
        <v>20</v>
      </c>
      <c r="F15" s="20" t="s">
        <v>99</v>
      </c>
      <c r="G15" s="22"/>
      <c r="H15" s="22" t="str">
        <f t="shared" si="1"/>
        <v>NA</v>
      </c>
      <c r="I15" s="22"/>
    </row>
    <row r="16" ht="144.75" customHeight="1">
      <c r="A16" s="14">
        <v>15.0</v>
      </c>
      <c r="B16" s="45" t="s">
        <v>94</v>
      </c>
      <c r="C16" s="45" t="s">
        <v>18</v>
      </c>
      <c r="D16" s="18" t="s">
        <v>100</v>
      </c>
      <c r="E16" s="19" t="s">
        <v>20</v>
      </c>
      <c r="F16" s="35" t="s">
        <v>101</v>
      </c>
      <c r="G16" s="22"/>
      <c r="H16" s="22" t="str">
        <f t="shared" si="1"/>
        <v>NA</v>
      </c>
      <c r="I16" s="22"/>
    </row>
    <row r="17" ht="101.25" customHeight="1">
      <c r="A17" s="14">
        <v>16.0</v>
      </c>
      <c r="B17" s="45" t="s">
        <v>94</v>
      </c>
      <c r="C17" s="45" t="s">
        <v>18</v>
      </c>
      <c r="D17" s="46" t="s">
        <v>103</v>
      </c>
      <c r="E17" s="19" t="s">
        <v>20</v>
      </c>
      <c r="F17" s="20" t="s">
        <v>104</v>
      </c>
      <c r="G17" s="22"/>
      <c r="H17" s="22" t="str">
        <f t="shared" si="1"/>
        <v>NA</v>
      </c>
      <c r="I17" s="22"/>
    </row>
    <row r="18" ht="101.25" customHeight="1">
      <c r="A18" s="14">
        <v>17.0</v>
      </c>
      <c r="B18" s="45" t="s">
        <v>94</v>
      </c>
      <c r="C18" s="45" t="s">
        <v>18</v>
      </c>
      <c r="D18" s="18" t="s">
        <v>106</v>
      </c>
      <c r="E18" s="19" t="s">
        <v>20</v>
      </c>
      <c r="F18" s="35" t="s">
        <v>107</v>
      </c>
      <c r="G18" s="22"/>
      <c r="H18" s="22" t="str">
        <f t="shared" si="1"/>
        <v>NA</v>
      </c>
      <c r="I18" s="22"/>
    </row>
    <row r="19" ht="87.0" customHeight="1">
      <c r="A19" s="14">
        <v>18.0</v>
      </c>
      <c r="B19" s="45" t="s">
        <v>94</v>
      </c>
      <c r="C19" s="45" t="s">
        <v>18</v>
      </c>
      <c r="D19" s="18" t="s">
        <v>108</v>
      </c>
      <c r="E19" s="19" t="s">
        <v>20</v>
      </c>
      <c r="F19" s="20" t="s">
        <v>109</v>
      </c>
      <c r="G19" s="22"/>
      <c r="H19" s="22" t="str">
        <f t="shared" si="1"/>
        <v>NA</v>
      </c>
      <c r="I19" s="22"/>
    </row>
    <row r="20" ht="115.5" customHeight="1">
      <c r="A20" s="14">
        <v>19.0</v>
      </c>
      <c r="B20" s="45" t="s">
        <v>94</v>
      </c>
      <c r="C20" s="45" t="s">
        <v>18</v>
      </c>
      <c r="D20" s="18" t="s">
        <v>111</v>
      </c>
      <c r="E20" s="19" t="s">
        <v>20</v>
      </c>
      <c r="F20" s="35" t="s">
        <v>115</v>
      </c>
      <c r="G20" s="22"/>
      <c r="H20" s="22" t="str">
        <f t="shared" si="1"/>
        <v>NA</v>
      </c>
      <c r="I20" s="22"/>
    </row>
    <row r="21" ht="101.25" customHeight="1">
      <c r="A21" s="14">
        <v>20.0</v>
      </c>
      <c r="B21" s="14" t="s">
        <v>116</v>
      </c>
      <c r="C21" s="14" t="s">
        <v>118</v>
      </c>
      <c r="D21" s="18" t="s">
        <v>119</v>
      </c>
      <c r="E21" s="19" t="s">
        <v>20</v>
      </c>
      <c r="F21" s="20" t="s">
        <v>120</v>
      </c>
      <c r="G21" s="22"/>
      <c r="H21" s="22" t="str">
        <f t="shared" si="1"/>
        <v>NA</v>
      </c>
      <c r="I21" s="22"/>
    </row>
    <row r="22" ht="159.0" customHeight="1">
      <c r="A22" s="14">
        <v>21.0</v>
      </c>
      <c r="B22" s="14" t="s">
        <v>116</v>
      </c>
      <c r="C22" s="14" t="s">
        <v>18</v>
      </c>
      <c r="D22" s="18" t="s">
        <v>121</v>
      </c>
      <c r="E22" s="19" t="s">
        <v>20</v>
      </c>
      <c r="F22" s="20" t="s">
        <v>123</v>
      </c>
      <c r="G22" s="22"/>
      <c r="H22" s="22" t="str">
        <f t="shared" si="1"/>
        <v>NA</v>
      </c>
      <c r="I22" s="22"/>
    </row>
    <row r="23" ht="174.0" customHeight="1">
      <c r="A23" s="14">
        <v>22.0</v>
      </c>
      <c r="B23" s="14" t="s">
        <v>116</v>
      </c>
      <c r="C23" s="14" t="s">
        <v>18</v>
      </c>
      <c r="D23" s="18" t="s">
        <v>124</v>
      </c>
      <c r="E23" s="19" t="s">
        <v>20</v>
      </c>
      <c r="F23" s="20" t="s">
        <v>125</v>
      </c>
      <c r="G23" s="22"/>
      <c r="H23" s="22" t="str">
        <f t="shared" si="1"/>
        <v>NA</v>
      </c>
      <c r="I23" s="22"/>
    </row>
    <row r="24" ht="115.5" customHeight="1">
      <c r="A24" s="14">
        <v>23.0</v>
      </c>
      <c r="B24" s="14" t="s">
        <v>126</v>
      </c>
      <c r="C24" s="14" t="s">
        <v>18</v>
      </c>
      <c r="D24" s="18" t="s">
        <v>127</v>
      </c>
      <c r="E24" s="19" t="s">
        <v>20</v>
      </c>
      <c r="F24" s="20" t="s">
        <v>128</v>
      </c>
      <c r="G24" s="22"/>
      <c r="H24" s="22" t="str">
        <f t="shared" si="1"/>
        <v>NA</v>
      </c>
      <c r="I24" s="22"/>
    </row>
    <row r="25" ht="202.5" customHeight="1">
      <c r="A25" s="14">
        <v>24.0</v>
      </c>
      <c r="B25" s="14" t="s">
        <v>126</v>
      </c>
      <c r="C25" s="14" t="s">
        <v>18</v>
      </c>
      <c r="D25" s="18" t="s">
        <v>129</v>
      </c>
      <c r="E25" s="19" t="s">
        <v>20</v>
      </c>
      <c r="F25" s="20" t="s">
        <v>130</v>
      </c>
      <c r="G25" s="22"/>
      <c r="H25" s="22" t="str">
        <f t="shared" si="1"/>
        <v>NA</v>
      </c>
      <c r="I25" s="22"/>
    </row>
    <row r="26" ht="202.5" customHeight="1">
      <c r="A26" s="14">
        <v>25.0</v>
      </c>
      <c r="B26" s="14" t="s">
        <v>131</v>
      </c>
      <c r="C26" s="14" t="s">
        <v>18</v>
      </c>
      <c r="D26" s="18" t="s">
        <v>132</v>
      </c>
      <c r="E26" s="19" t="s">
        <v>20</v>
      </c>
      <c r="F26" s="20" t="s">
        <v>133</v>
      </c>
      <c r="G26" s="22"/>
      <c r="H26" s="22" t="str">
        <f t="shared" si="1"/>
        <v>NA</v>
      </c>
      <c r="I26" s="22"/>
    </row>
    <row r="27" ht="72.0" customHeight="1">
      <c r="A27" s="14">
        <v>26.0</v>
      </c>
      <c r="B27" s="14" t="s">
        <v>131</v>
      </c>
      <c r="C27" s="14" t="s">
        <v>18</v>
      </c>
      <c r="D27" s="18" t="s">
        <v>134</v>
      </c>
      <c r="E27" s="19" t="s">
        <v>20</v>
      </c>
      <c r="F27" s="20" t="s">
        <v>135</v>
      </c>
      <c r="G27" s="22"/>
      <c r="H27" s="22" t="str">
        <f t="shared" si="1"/>
        <v>NA</v>
      </c>
      <c r="I27" s="22"/>
    </row>
    <row r="28" ht="159.0" customHeight="1">
      <c r="A28" s="14">
        <v>27.0</v>
      </c>
      <c r="B28" s="14" t="s">
        <v>131</v>
      </c>
      <c r="C28" s="14" t="s">
        <v>18</v>
      </c>
      <c r="D28" s="18" t="s">
        <v>136</v>
      </c>
      <c r="E28" s="19" t="s">
        <v>20</v>
      </c>
      <c r="F28" s="20" t="s">
        <v>137</v>
      </c>
      <c r="G28" s="22"/>
      <c r="H28" s="22" t="str">
        <f t="shared" si="1"/>
        <v>NA</v>
      </c>
      <c r="I28" s="22"/>
    </row>
    <row r="29" ht="87.0" customHeight="1">
      <c r="A29" s="14">
        <v>28.0</v>
      </c>
      <c r="B29" s="14" t="s">
        <v>131</v>
      </c>
      <c r="C29" s="14" t="s">
        <v>18</v>
      </c>
      <c r="D29" s="18" t="s">
        <v>138</v>
      </c>
      <c r="E29" s="19" t="s">
        <v>20</v>
      </c>
      <c r="F29" s="20" t="s">
        <v>139</v>
      </c>
      <c r="G29" s="22"/>
      <c r="H29" s="22" t="str">
        <f t="shared" si="1"/>
        <v>NA</v>
      </c>
      <c r="I29" s="22"/>
    </row>
    <row r="30" ht="87.0" customHeight="1">
      <c r="A30" s="14">
        <v>29.0</v>
      </c>
      <c r="B30" s="14" t="s">
        <v>140</v>
      </c>
      <c r="C30" s="14" t="s">
        <v>18</v>
      </c>
      <c r="D30" s="18" t="s">
        <v>141</v>
      </c>
      <c r="E30" s="19" t="s">
        <v>20</v>
      </c>
      <c r="F30" s="20" t="s">
        <v>142</v>
      </c>
      <c r="G30" s="22"/>
      <c r="H30" s="22" t="str">
        <f t="shared" si="1"/>
        <v>NA</v>
      </c>
      <c r="I30" s="22"/>
    </row>
    <row r="31" ht="43.5" customHeight="1">
      <c r="A31" s="14">
        <v>30.0</v>
      </c>
      <c r="B31" s="14" t="s">
        <v>140</v>
      </c>
      <c r="C31" s="14" t="s">
        <v>18</v>
      </c>
      <c r="D31" s="18" t="s">
        <v>143</v>
      </c>
      <c r="E31" s="19" t="s">
        <v>20</v>
      </c>
      <c r="F31" s="20" t="s">
        <v>144</v>
      </c>
      <c r="G31" s="22"/>
      <c r="H31" s="22" t="str">
        <f t="shared" si="1"/>
        <v>NA</v>
      </c>
      <c r="I31" s="22"/>
    </row>
    <row r="32" ht="57.75" customHeight="1">
      <c r="A32" s="14">
        <v>31.0</v>
      </c>
      <c r="B32" s="14" t="s">
        <v>140</v>
      </c>
      <c r="C32" s="14" t="s">
        <v>18</v>
      </c>
      <c r="D32" s="18" t="s">
        <v>145</v>
      </c>
      <c r="E32" s="19" t="s">
        <v>20</v>
      </c>
      <c r="F32" s="20" t="s">
        <v>146</v>
      </c>
      <c r="G32" s="22"/>
      <c r="H32" s="22" t="str">
        <f t="shared" si="1"/>
        <v>NA</v>
      </c>
      <c r="I32" s="22"/>
    </row>
    <row r="33" ht="101.25" customHeight="1">
      <c r="A33" s="14">
        <v>32.0</v>
      </c>
      <c r="B33" s="14" t="s">
        <v>147</v>
      </c>
      <c r="C33" s="14" t="s">
        <v>118</v>
      </c>
      <c r="D33" s="18" t="s">
        <v>148</v>
      </c>
      <c r="E33" s="19" t="s">
        <v>20</v>
      </c>
      <c r="F33" s="20" t="s">
        <v>149</v>
      </c>
      <c r="G33" s="22"/>
      <c r="H33" s="22" t="str">
        <f t="shared" si="1"/>
        <v>NA</v>
      </c>
      <c r="I33" s="22"/>
    </row>
    <row r="34" ht="188.25" customHeight="1">
      <c r="A34" s="14">
        <v>33.0</v>
      </c>
      <c r="B34" s="14" t="s">
        <v>147</v>
      </c>
      <c r="C34" s="14" t="s">
        <v>118</v>
      </c>
      <c r="D34" s="18" t="s">
        <v>150</v>
      </c>
      <c r="E34" s="19" t="s">
        <v>20</v>
      </c>
      <c r="F34" s="20" t="s">
        <v>151</v>
      </c>
      <c r="G34" s="22"/>
      <c r="H34" s="22" t="str">
        <f t="shared" si="1"/>
        <v>NA</v>
      </c>
      <c r="I34" s="22"/>
    </row>
    <row r="35" ht="57.75" customHeight="1">
      <c r="A35" s="14">
        <v>34.0</v>
      </c>
      <c r="B35" s="14" t="s">
        <v>147</v>
      </c>
      <c r="C35" s="14" t="s">
        <v>18</v>
      </c>
      <c r="D35" s="18" t="s">
        <v>152</v>
      </c>
      <c r="E35" s="19" t="s">
        <v>20</v>
      </c>
      <c r="F35" s="20" t="s">
        <v>153</v>
      </c>
      <c r="G35" s="22"/>
      <c r="H35" s="22" t="str">
        <f t="shared" si="1"/>
        <v>NA</v>
      </c>
      <c r="I35" s="22"/>
    </row>
    <row r="36" ht="144.75" customHeight="1">
      <c r="A36" s="14">
        <v>35.0</v>
      </c>
      <c r="B36" s="14" t="s">
        <v>147</v>
      </c>
      <c r="C36" s="14" t="s">
        <v>118</v>
      </c>
      <c r="D36" s="18" t="s">
        <v>154</v>
      </c>
      <c r="E36" s="19" t="s">
        <v>20</v>
      </c>
      <c r="F36" s="20" t="s">
        <v>155</v>
      </c>
      <c r="G36" s="22"/>
      <c r="H36" s="22" t="str">
        <f t="shared" si="1"/>
        <v>NA</v>
      </c>
      <c r="I36" s="22"/>
    </row>
    <row r="37" ht="57.75" customHeight="1">
      <c r="A37" s="14">
        <v>36.0</v>
      </c>
      <c r="B37" s="14" t="s">
        <v>147</v>
      </c>
      <c r="C37" s="14" t="s">
        <v>18</v>
      </c>
      <c r="D37" s="18" t="s">
        <v>156</v>
      </c>
      <c r="E37" s="19" t="s">
        <v>20</v>
      </c>
      <c r="F37" s="20" t="s">
        <v>157</v>
      </c>
      <c r="G37" s="22"/>
      <c r="H37" s="22" t="str">
        <f t="shared" si="1"/>
        <v>NA</v>
      </c>
      <c r="I37" s="22"/>
    </row>
    <row r="38" ht="91.5" customHeight="1">
      <c r="A38" s="14">
        <v>37.0</v>
      </c>
      <c r="B38" s="14" t="s">
        <v>147</v>
      </c>
      <c r="C38" s="14" t="s">
        <v>18</v>
      </c>
      <c r="D38" s="46" t="s">
        <v>158</v>
      </c>
      <c r="E38" s="19" t="s">
        <v>20</v>
      </c>
      <c r="F38" s="20" t="s">
        <v>159</v>
      </c>
      <c r="G38" s="22"/>
      <c r="H38" s="22" t="str">
        <f t="shared" si="1"/>
        <v>NA</v>
      </c>
      <c r="I38" s="22"/>
    </row>
    <row r="39" ht="143.25" customHeight="1">
      <c r="A39" s="14">
        <v>38.0</v>
      </c>
      <c r="B39" s="14" t="s">
        <v>160</v>
      </c>
      <c r="C39" s="14" t="s">
        <v>118</v>
      </c>
      <c r="D39" s="18" t="s">
        <v>161</v>
      </c>
      <c r="E39" s="19" t="s">
        <v>20</v>
      </c>
      <c r="F39" s="20" t="s">
        <v>162</v>
      </c>
      <c r="G39" s="22"/>
      <c r="H39" s="22" t="str">
        <f t="shared" si="1"/>
        <v>NA</v>
      </c>
      <c r="I39" s="22"/>
    </row>
    <row r="40" ht="87.0" customHeight="1">
      <c r="A40" s="14">
        <v>39.0</v>
      </c>
      <c r="B40" s="14" t="s">
        <v>160</v>
      </c>
      <c r="C40" s="14" t="s">
        <v>18</v>
      </c>
      <c r="D40" s="18" t="s">
        <v>163</v>
      </c>
      <c r="E40" s="19" t="s">
        <v>20</v>
      </c>
      <c r="F40" s="20" t="s">
        <v>164</v>
      </c>
      <c r="G40" s="22"/>
      <c r="H40" s="22" t="str">
        <f t="shared" si="1"/>
        <v>NA</v>
      </c>
      <c r="I40" s="22"/>
    </row>
    <row r="41" ht="101.25" customHeight="1">
      <c r="A41" s="14">
        <v>40.0</v>
      </c>
      <c r="B41" s="14" t="s">
        <v>160</v>
      </c>
      <c r="C41" s="14" t="s">
        <v>118</v>
      </c>
      <c r="D41" s="18" t="s">
        <v>165</v>
      </c>
      <c r="E41" s="19" t="s">
        <v>20</v>
      </c>
      <c r="F41" s="20" t="s">
        <v>166</v>
      </c>
      <c r="G41" s="22"/>
      <c r="H41" s="22" t="str">
        <f t="shared" si="1"/>
        <v>NA</v>
      </c>
      <c r="I41" s="22"/>
    </row>
    <row r="42" ht="69.75" customHeight="1">
      <c r="A42" s="14">
        <v>41.0</v>
      </c>
      <c r="B42" s="14" t="s">
        <v>160</v>
      </c>
      <c r="C42" s="14" t="s">
        <v>18</v>
      </c>
      <c r="D42" s="18" t="s">
        <v>167</v>
      </c>
      <c r="E42" s="19" t="s">
        <v>20</v>
      </c>
      <c r="F42" s="20" t="s">
        <v>168</v>
      </c>
      <c r="G42" s="22"/>
      <c r="H42" s="22" t="str">
        <f t="shared" si="1"/>
        <v>NA</v>
      </c>
      <c r="I42" s="22"/>
    </row>
    <row r="43" ht="70.5" customHeight="1">
      <c r="A43" s="14">
        <v>42.0</v>
      </c>
      <c r="B43" s="14" t="s">
        <v>169</v>
      </c>
      <c r="C43" s="14" t="s">
        <v>18</v>
      </c>
      <c r="D43" s="46" t="s">
        <v>170</v>
      </c>
      <c r="E43" s="19" t="s">
        <v>20</v>
      </c>
      <c r="F43" s="48" t="s">
        <v>171</v>
      </c>
      <c r="G43" s="22"/>
      <c r="H43" s="22" t="str">
        <f t="shared" si="1"/>
        <v>NA</v>
      </c>
      <c r="I43" s="22"/>
    </row>
    <row r="44" ht="64.5" customHeight="1">
      <c r="A44" s="14">
        <v>43.0</v>
      </c>
      <c r="B44" s="14" t="s">
        <v>169</v>
      </c>
      <c r="C44" s="14" t="s">
        <v>18</v>
      </c>
      <c r="D44" s="49" t="s">
        <v>172</v>
      </c>
      <c r="E44" s="19" t="s">
        <v>20</v>
      </c>
      <c r="F44" s="20" t="s">
        <v>173</v>
      </c>
      <c r="G44" s="22"/>
      <c r="H44" s="22" t="str">
        <f t="shared" si="1"/>
        <v>NA</v>
      </c>
      <c r="I44" s="22"/>
    </row>
    <row r="45" ht="72.0" customHeight="1">
      <c r="A45" s="14">
        <v>44.0</v>
      </c>
      <c r="B45" s="45" t="s">
        <v>174</v>
      </c>
      <c r="C45" s="45" t="s">
        <v>18</v>
      </c>
      <c r="D45" s="18" t="s">
        <v>175</v>
      </c>
      <c r="E45" s="19" t="s">
        <v>20</v>
      </c>
      <c r="F45" s="20" t="s">
        <v>176</v>
      </c>
      <c r="G45" s="22"/>
      <c r="H45" s="22" t="str">
        <f t="shared" si="1"/>
        <v>NA</v>
      </c>
      <c r="I45" s="22"/>
    </row>
    <row r="46" ht="313.5" customHeight="1">
      <c r="A46" s="14">
        <v>45.0</v>
      </c>
      <c r="B46" s="45" t="s">
        <v>174</v>
      </c>
      <c r="C46" s="45" t="s">
        <v>18</v>
      </c>
      <c r="D46" s="18" t="s">
        <v>177</v>
      </c>
      <c r="E46" s="19" t="s">
        <v>20</v>
      </c>
      <c r="F46" s="20" t="s">
        <v>178</v>
      </c>
      <c r="G46" s="22"/>
      <c r="H46" s="22" t="str">
        <f t="shared" si="1"/>
        <v>NA</v>
      </c>
      <c r="I46" s="22"/>
    </row>
    <row r="47" ht="246.0" customHeight="1">
      <c r="A47" s="14">
        <v>46.0</v>
      </c>
      <c r="B47" s="14" t="s">
        <v>179</v>
      </c>
      <c r="C47" s="14" t="s">
        <v>18</v>
      </c>
      <c r="D47" s="46" t="s">
        <v>180</v>
      </c>
      <c r="E47" s="19" t="s">
        <v>20</v>
      </c>
      <c r="F47" s="20" t="s">
        <v>181</v>
      </c>
      <c r="G47" s="22"/>
      <c r="H47" s="22" t="str">
        <f t="shared" si="1"/>
        <v>NA</v>
      </c>
      <c r="I47" s="22"/>
    </row>
    <row r="48" ht="231.75" customHeight="1">
      <c r="A48" s="14">
        <v>47.0</v>
      </c>
      <c r="B48" s="14" t="s">
        <v>179</v>
      </c>
      <c r="C48" s="14" t="s">
        <v>18</v>
      </c>
      <c r="D48" s="18" t="s">
        <v>182</v>
      </c>
      <c r="E48" s="19" t="s">
        <v>20</v>
      </c>
      <c r="F48" s="48" t="s">
        <v>183</v>
      </c>
      <c r="G48" s="22"/>
      <c r="H48" s="22" t="str">
        <f t="shared" si="1"/>
        <v>NA</v>
      </c>
      <c r="I48" s="22"/>
    </row>
    <row r="49" ht="57.75" customHeight="1">
      <c r="A49" s="14">
        <v>48.0</v>
      </c>
      <c r="B49" s="14" t="s">
        <v>184</v>
      </c>
      <c r="C49" s="14" t="s">
        <v>18</v>
      </c>
      <c r="D49" s="18" t="s">
        <v>185</v>
      </c>
      <c r="E49" s="19" t="s">
        <v>20</v>
      </c>
      <c r="F49" s="20" t="s">
        <v>186</v>
      </c>
      <c r="G49" s="22"/>
      <c r="H49" s="22" t="str">
        <f t="shared" si="1"/>
        <v>NA</v>
      </c>
      <c r="I49" s="22"/>
    </row>
    <row r="50" ht="130.5" customHeight="1">
      <c r="A50" s="14">
        <v>49.0</v>
      </c>
      <c r="B50" s="14" t="s">
        <v>184</v>
      </c>
      <c r="C50" s="14" t="s">
        <v>18</v>
      </c>
      <c r="D50" s="18" t="s">
        <v>187</v>
      </c>
      <c r="E50" s="19" t="s">
        <v>20</v>
      </c>
      <c r="F50" s="20" t="s">
        <v>188</v>
      </c>
      <c r="G50" s="22"/>
      <c r="H50" s="22" t="str">
        <f t="shared" si="1"/>
        <v>NA</v>
      </c>
      <c r="I50" s="22"/>
    </row>
    <row r="51" ht="101.25" customHeight="1">
      <c r="A51" s="14">
        <v>50.0</v>
      </c>
      <c r="B51" s="14" t="s">
        <v>184</v>
      </c>
      <c r="C51" s="14" t="s">
        <v>18</v>
      </c>
      <c r="D51" s="18" t="s">
        <v>189</v>
      </c>
      <c r="E51" s="19" t="s">
        <v>20</v>
      </c>
      <c r="F51" s="20" t="s">
        <v>190</v>
      </c>
      <c r="G51" s="22"/>
      <c r="H51" s="22" t="str">
        <f t="shared" si="1"/>
        <v>NA</v>
      </c>
      <c r="I51" s="22"/>
    </row>
    <row r="52" ht="318.75" customHeight="1">
      <c r="A52" s="14">
        <v>51.0</v>
      </c>
      <c r="B52" s="14" t="s">
        <v>184</v>
      </c>
      <c r="C52" s="14" t="s">
        <v>18</v>
      </c>
      <c r="D52" s="46" t="s">
        <v>191</v>
      </c>
      <c r="E52" s="19" t="s">
        <v>20</v>
      </c>
      <c r="F52" s="20" t="s">
        <v>192</v>
      </c>
      <c r="G52" s="22"/>
      <c r="H52" s="22" t="str">
        <f t="shared" si="1"/>
        <v>NA</v>
      </c>
      <c r="I52" s="22"/>
    </row>
    <row r="53" ht="87.0" customHeight="1">
      <c r="A53" s="14">
        <v>52.0</v>
      </c>
      <c r="B53" s="14" t="s">
        <v>193</v>
      </c>
      <c r="C53" s="14" t="s">
        <v>118</v>
      </c>
      <c r="D53" s="18" t="s">
        <v>194</v>
      </c>
      <c r="E53" s="19" t="s">
        <v>20</v>
      </c>
      <c r="F53" s="20" t="s">
        <v>195</v>
      </c>
      <c r="G53" s="22"/>
      <c r="H53" s="22" t="str">
        <f t="shared" si="1"/>
        <v>NA</v>
      </c>
      <c r="I53" s="22"/>
    </row>
    <row r="54" ht="147.0" customHeight="1">
      <c r="A54" s="14">
        <v>53.0</v>
      </c>
      <c r="B54" s="14" t="s">
        <v>193</v>
      </c>
      <c r="C54" s="14" t="s">
        <v>118</v>
      </c>
      <c r="D54" s="18" t="s">
        <v>196</v>
      </c>
      <c r="E54" s="19" t="s">
        <v>20</v>
      </c>
      <c r="F54" s="20" t="s">
        <v>197</v>
      </c>
      <c r="G54" s="22"/>
      <c r="H54" s="22" t="str">
        <f t="shared" si="1"/>
        <v>NA</v>
      </c>
      <c r="I54" s="22"/>
    </row>
    <row r="55" ht="145.5" customHeight="1">
      <c r="A55" s="14">
        <v>54.0</v>
      </c>
      <c r="B55" s="14" t="s">
        <v>193</v>
      </c>
      <c r="C55" s="14" t="s">
        <v>118</v>
      </c>
      <c r="D55" s="18" t="s">
        <v>198</v>
      </c>
      <c r="E55" s="19" t="s">
        <v>20</v>
      </c>
      <c r="F55" s="20" t="s">
        <v>199</v>
      </c>
      <c r="G55" s="22"/>
      <c r="H55" s="22" t="str">
        <f t="shared" si="1"/>
        <v>NA</v>
      </c>
      <c r="I55" s="22"/>
    </row>
    <row r="56" ht="78.0" customHeight="1">
      <c r="A56" s="14">
        <v>55.0</v>
      </c>
      <c r="B56" s="14" t="s">
        <v>193</v>
      </c>
      <c r="C56" s="14" t="s">
        <v>18</v>
      </c>
      <c r="D56" s="18" t="s">
        <v>200</v>
      </c>
      <c r="E56" s="19" t="s">
        <v>20</v>
      </c>
      <c r="F56" s="20" t="s">
        <v>201</v>
      </c>
      <c r="G56" s="22"/>
      <c r="H56" s="22" t="str">
        <f t="shared" si="1"/>
        <v>NA</v>
      </c>
      <c r="I56" s="22"/>
    </row>
    <row r="57" ht="261.0" customHeight="1">
      <c r="A57" s="14">
        <v>56.0</v>
      </c>
      <c r="B57" s="14" t="s">
        <v>202</v>
      </c>
      <c r="C57" s="14" t="s">
        <v>18</v>
      </c>
      <c r="D57" s="18" t="s">
        <v>203</v>
      </c>
      <c r="E57" s="19" t="s">
        <v>20</v>
      </c>
      <c r="F57" s="20" t="s">
        <v>204</v>
      </c>
      <c r="G57" s="22"/>
      <c r="H57" s="22" t="str">
        <f t="shared" si="1"/>
        <v>NA</v>
      </c>
      <c r="I57" s="22"/>
    </row>
    <row r="58" ht="101.25" customHeight="1">
      <c r="A58" s="14">
        <v>57.0</v>
      </c>
      <c r="B58" s="14" t="s">
        <v>202</v>
      </c>
      <c r="C58" s="14" t="s">
        <v>18</v>
      </c>
      <c r="D58" s="18" t="s">
        <v>205</v>
      </c>
      <c r="E58" s="19" t="s">
        <v>20</v>
      </c>
      <c r="F58" s="20" t="s">
        <v>206</v>
      </c>
      <c r="G58" s="22"/>
      <c r="H58" s="22" t="str">
        <f t="shared" si="1"/>
        <v>NA</v>
      </c>
      <c r="I58" s="22"/>
    </row>
    <row r="59" ht="87.0" customHeight="1">
      <c r="A59" s="14">
        <v>58.0</v>
      </c>
      <c r="B59" s="14" t="s">
        <v>202</v>
      </c>
      <c r="C59" s="14" t="s">
        <v>18</v>
      </c>
      <c r="D59" s="18" t="s">
        <v>207</v>
      </c>
      <c r="E59" s="19" t="s">
        <v>20</v>
      </c>
      <c r="F59" s="20" t="s">
        <v>208</v>
      </c>
      <c r="G59" s="22"/>
      <c r="H59" s="22" t="str">
        <f t="shared" si="1"/>
        <v>NA</v>
      </c>
      <c r="I59" s="22"/>
    </row>
    <row r="60" ht="87.0" customHeight="1">
      <c r="A60" s="14">
        <v>59.0</v>
      </c>
      <c r="B60" s="14" t="s">
        <v>202</v>
      </c>
      <c r="C60" s="14" t="s">
        <v>18</v>
      </c>
      <c r="D60" s="18" t="s">
        <v>209</v>
      </c>
      <c r="E60" s="19" t="s">
        <v>20</v>
      </c>
      <c r="F60" s="20" t="s">
        <v>210</v>
      </c>
      <c r="G60" s="22"/>
      <c r="H60" s="22" t="str">
        <f t="shared" si="1"/>
        <v>NA</v>
      </c>
      <c r="I60" s="22"/>
    </row>
    <row r="61" ht="87.0" customHeight="1">
      <c r="A61" s="14">
        <v>60.0</v>
      </c>
      <c r="B61" s="14" t="s">
        <v>211</v>
      </c>
      <c r="C61" s="14" t="s">
        <v>18</v>
      </c>
      <c r="D61" s="46" t="s">
        <v>212</v>
      </c>
      <c r="E61" s="19" t="s">
        <v>20</v>
      </c>
      <c r="F61" s="20" t="s">
        <v>213</v>
      </c>
      <c r="G61" s="22"/>
      <c r="H61" s="22" t="str">
        <f t="shared" si="1"/>
        <v>NA</v>
      </c>
      <c r="I61" s="22"/>
    </row>
    <row r="62" ht="97.5" customHeight="1">
      <c r="A62" s="14">
        <v>61.0</v>
      </c>
      <c r="B62" s="14" t="s">
        <v>211</v>
      </c>
      <c r="C62" s="14" t="s">
        <v>18</v>
      </c>
      <c r="D62" s="46" t="s">
        <v>214</v>
      </c>
      <c r="E62" s="19" t="s">
        <v>20</v>
      </c>
      <c r="F62" s="20" t="s">
        <v>215</v>
      </c>
      <c r="G62" s="22"/>
      <c r="H62" s="22" t="str">
        <f t="shared" si="1"/>
        <v>NA</v>
      </c>
      <c r="I62" s="22"/>
    </row>
    <row r="63" ht="57.75" customHeight="1">
      <c r="A63" s="14">
        <v>62.0</v>
      </c>
      <c r="B63" s="14" t="s">
        <v>211</v>
      </c>
      <c r="C63" s="14" t="s">
        <v>18</v>
      </c>
      <c r="D63" s="46" t="s">
        <v>216</v>
      </c>
      <c r="E63" s="19" t="s">
        <v>20</v>
      </c>
      <c r="F63" s="20" t="s">
        <v>217</v>
      </c>
      <c r="G63" s="22"/>
      <c r="H63" s="22" t="str">
        <f t="shared" si="1"/>
        <v>NA</v>
      </c>
      <c r="I63" s="22"/>
    </row>
    <row r="64" ht="102.75" customHeight="1">
      <c r="A64" s="14">
        <v>63.0</v>
      </c>
      <c r="B64" s="14" t="s">
        <v>218</v>
      </c>
      <c r="C64" s="14" t="s">
        <v>18</v>
      </c>
      <c r="D64" s="18" t="s">
        <v>219</v>
      </c>
      <c r="E64" s="19" t="s">
        <v>20</v>
      </c>
      <c r="F64" s="20" t="s">
        <v>220</v>
      </c>
      <c r="G64" s="22"/>
      <c r="H64" s="22" t="str">
        <f t="shared" si="1"/>
        <v>NA</v>
      </c>
      <c r="I64" s="22"/>
    </row>
    <row r="65" ht="84.0" customHeight="1">
      <c r="A65" s="14">
        <v>64.0</v>
      </c>
      <c r="B65" s="14" t="s">
        <v>218</v>
      </c>
      <c r="C65" s="14" t="s">
        <v>18</v>
      </c>
      <c r="D65" s="18" t="s">
        <v>221</v>
      </c>
      <c r="E65" s="19" t="s">
        <v>20</v>
      </c>
      <c r="F65" s="20" t="s">
        <v>222</v>
      </c>
      <c r="G65" s="22"/>
      <c r="H65" s="22" t="str">
        <f t="shared" si="1"/>
        <v>NA</v>
      </c>
      <c r="I65" s="22"/>
    </row>
    <row r="66" ht="84.0" customHeight="1">
      <c r="A66" s="14">
        <v>65.0</v>
      </c>
      <c r="B66" s="14" t="s">
        <v>218</v>
      </c>
      <c r="C66" s="14" t="s">
        <v>18</v>
      </c>
      <c r="D66" s="18" t="s">
        <v>223</v>
      </c>
      <c r="E66" s="19" t="s">
        <v>20</v>
      </c>
      <c r="F66" s="20" t="s">
        <v>224</v>
      </c>
      <c r="G66" s="22"/>
      <c r="H66" s="22" t="str">
        <f t="shared" si="1"/>
        <v>NA</v>
      </c>
      <c r="I66" s="22"/>
    </row>
    <row r="67" ht="72.0" customHeight="1">
      <c r="A67" s="14">
        <v>66.0</v>
      </c>
      <c r="B67" s="14" t="s">
        <v>218</v>
      </c>
      <c r="C67" s="14" t="s">
        <v>18</v>
      </c>
      <c r="D67" s="46" t="s">
        <v>225</v>
      </c>
      <c r="E67" s="19" t="s">
        <v>20</v>
      </c>
      <c r="F67" s="20" t="s">
        <v>226</v>
      </c>
      <c r="G67" s="22"/>
      <c r="H67" s="22" t="str">
        <f t="shared" si="1"/>
        <v>NA</v>
      </c>
      <c r="I67" s="22"/>
    </row>
    <row r="68" ht="84.0" customHeight="1">
      <c r="A68" s="14">
        <v>67.0</v>
      </c>
      <c r="B68" s="14" t="s">
        <v>218</v>
      </c>
      <c r="C68" s="14" t="s">
        <v>18</v>
      </c>
      <c r="D68" s="46" t="s">
        <v>227</v>
      </c>
      <c r="E68" s="19" t="s">
        <v>20</v>
      </c>
      <c r="F68" s="20" t="s">
        <v>228</v>
      </c>
      <c r="G68" s="22"/>
      <c r="H68" s="22" t="str">
        <f t="shared" si="1"/>
        <v>NA</v>
      </c>
      <c r="I68" s="22"/>
    </row>
    <row r="69" ht="72.0" customHeight="1">
      <c r="A69" s="14">
        <v>68.0</v>
      </c>
      <c r="B69" s="14" t="s">
        <v>218</v>
      </c>
      <c r="C69" s="14" t="s">
        <v>18</v>
      </c>
      <c r="D69" s="46" t="s">
        <v>229</v>
      </c>
      <c r="E69" s="19" t="s">
        <v>20</v>
      </c>
      <c r="F69" s="20" t="s">
        <v>230</v>
      </c>
      <c r="G69" s="22"/>
      <c r="H69" s="22" t="str">
        <f t="shared" si="1"/>
        <v>NA</v>
      </c>
      <c r="I69" s="19"/>
    </row>
    <row r="70" ht="72.0" customHeight="1">
      <c r="A70" s="14">
        <v>69.0</v>
      </c>
      <c r="B70" s="14" t="s">
        <v>218</v>
      </c>
      <c r="C70" s="14" t="s">
        <v>18</v>
      </c>
      <c r="D70" s="46" t="s">
        <v>231</v>
      </c>
      <c r="E70" s="19" t="s">
        <v>20</v>
      </c>
      <c r="F70" s="20" t="s">
        <v>232</v>
      </c>
      <c r="G70" s="22"/>
      <c r="H70" s="22" t="str">
        <f t="shared" si="1"/>
        <v>NA</v>
      </c>
      <c r="I70" s="22"/>
    </row>
    <row r="71" ht="184.5" customHeight="1">
      <c r="A71" s="14">
        <v>70.0</v>
      </c>
      <c r="B71" s="14" t="s">
        <v>218</v>
      </c>
      <c r="C71" s="14" t="s">
        <v>18</v>
      </c>
      <c r="D71" s="18" t="s">
        <v>233</v>
      </c>
      <c r="E71" s="19" t="s">
        <v>20</v>
      </c>
      <c r="F71" s="20" t="s">
        <v>234</v>
      </c>
      <c r="G71" s="22"/>
      <c r="H71" s="22" t="str">
        <f t="shared" si="1"/>
        <v>NA</v>
      </c>
      <c r="I71" s="22"/>
    </row>
    <row r="72" ht="201.0" customHeight="1">
      <c r="A72" s="14">
        <v>71.0</v>
      </c>
      <c r="B72" s="14" t="s">
        <v>218</v>
      </c>
      <c r="C72" s="14" t="s">
        <v>18</v>
      </c>
      <c r="D72" s="18" t="s">
        <v>235</v>
      </c>
      <c r="E72" s="19" t="s">
        <v>20</v>
      </c>
      <c r="F72" s="20" t="s">
        <v>236</v>
      </c>
      <c r="G72" s="22"/>
      <c r="H72" s="22" t="str">
        <f t="shared" si="1"/>
        <v>NA</v>
      </c>
      <c r="I72" s="22"/>
    </row>
    <row r="73" ht="124.5" customHeight="1">
      <c r="A73" s="14">
        <v>72.0</v>
      </c>
      <c r="B73" s="14" t="s">
        <v>218</v>
      </c>
      <c r="C73" s="14" t="s">
        <v>18</v>
      </c>
      <c r="D73" s="18" t="s">
        <v>237</v>
      </c>
      <c r="E73" s="19" t="s">
        <v>20</v>
      </c>
      <c r="F73" s="20" t="s">
        <v>238</v>
      </c>
      <c r="G73" s="22"/>
      <c r="H73" s="22" t="str">
        <f t="shared" si="1"/>
        <v>NA</v>
      </c>
      <c r="I73" s="22"/>
    </row>
    <row r="74" ht="90.75" customHeight="1">
      <c r="A74" s="14">
        <v>73.0</v>
      </c>
      <c r="B74" s="14" t="s">
        <v>239</v>
      </c>
      <c r="C74" s="14" t="s">
        <v>18</v>
      </c>
      <c r="D74" s="46" t="s">
        <v>240</v>
      </c>
      <c r="E74" s="19" t="s">
        <v>20</v>
      </c>
      <c r="F74" s="20" t="s">
        <v>241</v>
      </c>
      <c r="G74" s="22"/>
      <c r="H74" s="22" t="str">
        <f t="shared" si="1"/>
        <v>NA</v>
      </c>
      <c r="I74" s="22"/>
    </row>
    <row r="75" ht="94.5" customHeight="1">
      <c r="A75" s="14">
        <v>74.0</v>
      </c>
      <c r="B75" s="14" t="s">
        <v>239</v>
      </c>
      <c r="C75" s="14" t="s">
        <v>18</v>
      </c>
      <c r="D75" s="46" t="s">
        <v>242</v>
      </c>
      <c r="E75" s="19" t="s">
        <v>20</v>
      </c>
      <c r="F75" s="20" t="s">
        <v>243</v>
      </c>
      <c r="G75" s="22"/>
      <c r="H75" s="22" t="str">
        <f t="shared" si="1"/>
        <v>NA</v>
      </c>
      <c r="I75" s="22"/>
    </row>
    <row r="76" ht="105.0" customHeight="1">
      <c r="A76" s="14">
        <v>75.0</v>
      </c>
      <c r="B76" s="14" t="s">
        <v>239</v>
      </c>
      <c r="C76" s="14" t="s">
        <v>18</v>
      </c>
      <c r="D76" s="46" t="s">
        <v>244</v>
      </c>
      <c r="E76" s="19" t="s">
        <v>20</v>
      </c>
      <c r="F76" s="20" t="s">
        <v>245</v>
      </c>
      <c r="G76" s="22"/>
      <c r="H76" s="22" t="str">
        <f t="shared" si="1"/>
        <v>NA</v>
      </c>
      <c r="I76" s="22"/>
    </row>
    <row r="77" ht="45.0" customHeight="1">
      <c r="A77" s="14">
        <v>76.0</v>
      </c>
      <c r="B77" s="14" t="s">
        <v>239</v>
      </c>
      <c r="C77" s="14" t="s">
        <v>18</v>
      </c>
      <c r="D77" s="46" t="s">
        <v>246</v>
      </c>
      <c r="E77" s="19" t="s">
        <v>20</v>
      </c>
      <c r="F77" s="20" t="s">
        <v>247</v>
      </c>
      <c r="G77" s="22"/>
      <c r="H77" s="22" t="str">
        <f t="shared" si="1"/>
        <v>NA</v>
      </c>
      <c r="I77" s="22"/>
    </row>
    <row r="78" ht="113.25" customHeight="1">
      <c r="A78" s="14">
        <v>77.0</v>
      </c>
      <c r="B78" s="14" t="s">
        <v>239</v>
      </c>
      <c r="C78" s="14" t="s">
        <v>18</v>
      </c>
      <c r="D78" s="46" t="s">
        <v>248</v>
      </c>
      <c r="E78" s="19" t="s">
        <v>20</v>
      </c>
      <c r="F78" s="20" t="s">
        <v>249</v>
      </c>
      <c r="G78" s="22"/>
      <c r="H78" s="22" t="str">
        <f t="shared" si="1"/>
        <v>NA</v>
      </c>
      <c r="I78" s="22"/>
    </row>
    <row r="79" ht="134.25" customHeight="1">
      <c r="A79" s="14">
        <v>78.0</v>
      </c>
      <c r="B79" s="14" t="s">
        <v>239</v>
      </c>
      <c r="C79" s="14" t="s">
        <v>18</v>
      </c>
      <c r="D79" s="46" t="s">
        <v>250</v>
      </c>
      <c r="E79" s="19" t="s">
        <v>20</v>
      </c>
      <c r="F79" s="20" t="s">
        <v>251</v>
      </c>
      <c r="G79" s="22"/>
      <c r="H79" s="22" t="str">
        <f t="shared" si="1"/>
        <v>NA</v>
      </c>
      <c r="I79" s="22"/>
    </row>
    <row r="80" ht="51.0" customHeight="1">
      <c r="A80" s="14">
        <v>79.0</v>
      </c>
      <c r="B80" s="14" t="s">
        <v>239</v>
      </c>
      <c r="C80" s="14" t="s">
        <v>18</v>
      </c>
      <c r="D80" s="46" t="s">
        <v>252</v>
      </c>
      <c r="E80" s="19" t="s">
        <v>20</v>
      </c>
      <c r="F80" s="35" t="s">
        <v>253</v>
      </c>
      <c r="G80" s="22"/>
      <c r="H80" s="22" t="str">
        <f t="shared" si="1"/>
        <v>NA</v>
      </c>
      <c r="I80" s="22"/>
    </row>
    <row r="81" ht="124.5" customHeight="1">
      <c r="A81" s="14">
        <v>80.0</v>
      </c>
      <c r="B81" s="14" t="s">
        <v>254</v>
      </c>
      <c r="C81" s="14" t="s">
        <v>18</v>
      </c>
      <c r="D81" s="18" t="s">
        <v>255</v>
      </c>
      <c r="E81" s="19" t="s">
        <v>20</v>
      </c>
      <c r="F81" s="20" t="s">
        <v>256</v>
      </c>
      <c r="G81" s="22"/>
      <c r="H81" s="22" t="str">
        <f t="shared" si="1"/>
        <v>NA</v>
      </c>
      <c r="I81" s="22"/>
    </row>
    <row r="82" ht="101.25" customHeight="1">
      <c r="A82" s="14">
        <v>81.0</v>
      </c>
      <c r="B82" s="14" t="s">
        <v>254</v>
      </c>
      <c r="C82" s="14" t="s">
        <v>18</v>
      </c>
      <c r="D82" s="18" t="s">
        <v>257</v>
      </c>
      <c r="E82" s="19" t="s">
        <v>20</v>
      </c>
      <c r="F82" s="20" t="s">
        <v>258</v>
      </c>
      <c r="G82" s="22"/>
      <c r="H82" s="22" t="str">
        <f t="shared" si="1"/>
        <v>NA</v>
      </c>
      <c r="I82" s="22"/>
    </row>
    <row r="83" ht="43.5" customHeight="1">
      <c r="A83" s="14">
        <v>82.0</v>
      </c>
      <c r="B83" s="14" t="s">
        <v>254</v>
      </c>
      <c r="C83" s="14" t="s">
        <v>18</v>
      </c>
      <c r="D83" s="46" t="s">
        <v>259</v>
      </c>
      <c r="E83" s="19" t="s">
        <v>20</v>
      </c>
      <c r="F83" s="20" t="s">
        <v>260</v>
      </c>
      <c r="G83" s="22"/>
      <c r="H83" s="22" t="str">
        <f t="shared" si="1"/>
        <v>NA</v>
      </c>
      <c r="I83" s="22"/>
    </row>
    <row r="84" ht="57.75" customHeight="1">
      <c r="A84" s="14">
        <v>83.0</v>
      </c>
      <c r="B84" s="14" t="s">
        <v>254</v>
      </c>
      <c r="C84" s="14" t="s">
        <v>18</v>
      </c>
      <c r="D84" s="18" t="s">
        <v>261</v>
      </c>
      <c r="E84" s="19" t="s">
        <v>20</v>
      </c>
      <c r="F84" s="20" t="s">
        <v>262</v>
      </c>
      <c r="G84" s="22"/>
      <c r="H84" s="22" t="str">
        <f t="shared" si="1"/>
        <v>NA</v>
      </c>
      <c r="I84" s="22"/>
    </row>
    <row r="85" ht="117.0" customHeight="1">
      <c r="A85" s="14">
        <v>84.0</v>
      </c>
      <c r="B85" s="45" t="s">
        <v>263</v>
      </c>
      <c r="C85" s="45" t="s">
        <v>18</v>
      </c>
      <c r="D85" s="46" t="s">
        <v>264</v>
      </c>
      <c r="E85" s="19" t="s">
        <v>20</v>
      </c>
      <c r="F85" s="20" t="s">
        <v>265</v>
      </c>
      <c r="G85" s="22"/>
      <c r="H85" s="22" t="str">
        <f t="shared" si="1"/>
        <v>NA</v>
      </c>
      <c r="I85" s="22"/>
    </row>
    <row r="86" ht="110.25" customHeight="1">
      <c r="A86" s="14">
        <v>85.0</v>
      </c>
      <c r="B86" s="45" t="s">
        <v>263</v>
      </c>
      <c r="C86" s="45" t="s">
        <v>18</v>
      </c>
      <c r="D86" s="46" t="s">
        <v>266</v>
      </c>
      <c r="E86" s="19" t="s">
        <v>20</v>
      </c>
      <c r="F86" s="20" t="s">
        <v>267</v>
      </c>
      <c r="G86" s="22"/>
      <c r="H86" s="22" t="str">
        <f t="shared" si="1"/>
        <v>NA</v>
      </c>
      <c r="I86" s="22"/>
    </row>
    <row r="87" ht="87.0" customHeight="1">
      <c r="A87" s="14">
        <v>86.0</v>
      </c>
      <c r="B87" s="45" t="s">
        <v>263</v>
      </c>
      <c r="C87" s="45" t="s">
        <v>18</v>
      </c>
      <c r="D87" s="46" t="s">
        <v>268</v>
      </c>
      <c r="E87" s="19" t="s">
        <v>20</v>
      </c>
      <c r="F87" s="20" t="s">
        <v>269</v>
      </c>
      <c r="G87" s="22"/>
      <c r="H87" s="22" t="str">
        <f t="shared" si="1"/>
        <v>NA</v>
      </c>
      <c r="I87" s="22"/>
    </row>
    <row r="88" ht="43.5" customHeight="1">
      <c r="A88" s="14">
        <v>87.0</v>
      </c>
      <c r="B88" s="45" t="s">
        <v>263</v>
      </c>
      <c r="C88" s="45" t="s">
        <v>18</v>
      </c>
      <c r="D88" s="46" t="s">
        <v>270</v>
      </c>
      <c r="E88" s="19" t="s">
        <v>20</v>
      </c>
      <c r="F88" s="20" t="s">
        <v>271</v>
      </c>
      <c r="G88" s="22"/>
      <c r="H88" s="22" t="str">
        <f t="shared" si="1"/>
        <v>NA</v>
      </c>
      <c r="I88" s="22"/>
    </row>
    <row r="89" ht="98.25" customHeight="1">
      <c r="A89" s="14">
        <v>88.0</v>
      </c>
      <c r="B89" s="45" t="s">
        <v>272</v>
      </c>
      <c r="C89" s="45" t="s">
        <v>118</v>
      </c>
      <c r="D89" s="18" t="s">
        <v>273</v>
      </c>
      <c r="E89" s="19" t="s">
        <v>20</v>
      </c>
      <c r="F89" s="20" t="s">
        <v>274</v>
      </c>
      <c r="G89" s="22"/>
      <c r="H89" s="22" t="str">
        <f t="shared" si="1"/>
        <v>NA</v>
      </c>
      <c r="I89" s="22"/>
    </row>
    <row r="90" ht="60.0" customHeight="1">
      <c r="A90" s="14">
        <v>89.0</v>
      </c>
      <c r="B90" s="45" t="s">
        <v>275</v>
      </c>
      <c r="C90" s="45" t="s">
        <v>18</v>
      </c>
      <c r="D90" s="18" t="s">
        <v>276</v>
      </c>
      <c r="E90" s="19" t="s">
        <v>20</v>
      </c>
      <c r="F90" s="20" t="s">
        <v>277</v>
      </c>
      <c r="G90" s="22"/>
      <c r="H90" s="22" t="str">
        <f t="shared" si="1"/>
        <v>NA</v>
      </c>
      <c r="I90" s="22"/>
    </row>
    <row r="91" ht="87.0" customHeight="1">
      <c r="A91" s="14">
        <v>90.0</v>
      </c>
      <c r="B91" s="45" t="s">
        <v>275</v>
      </c>
      <c r="C91" s="45" t="s">
        <v>18</v>
      </c>
      <c r="D91" s="18" t="s">
        <v>278</v>
      </c>
      <c r="E91" s="19" t="s">
        <v>20</v>
      </c>
      <c r="F91" s="20" t="s">
        <v>279</v>
      </c>
      <c r="G91" s="22"/>
      <c r="H91" s="22" t="str">
        <f t="shared" si="1"/>
        <v>NA</v>
      </c>
      <c r="I91" s="22"/>
    </row>
    <row r="92" ht="115.5" customHeight="1">
      <c r="A92" s="14">
        <v>91.0</v>
      </c>
      <c r="B92" s="45" t="s">
        <v>275</v>
      </c>
      <c r="C92" s="45" t="s">
        <v>18</v>
      </c>
      <c r="D92" s="18" t="s">
        <v>280</v>
      </c>
      <c r="E92" s="19" t="s">
        <v>20</v>
      </c>
      <c r="F92" s="20" t="s">
        <v>281</v>
      </c>
      <c r="G92" s="22"/>
      <c r="H92" s="22" t="str">
        <f t="shared" si="1"/>
        <v>NA</v>
      </c>
      <c r="I92" s="22"/>
    </row>
    <row r="93" ht="72.0" customHeight="1">
      <c r="A93" s="14">
        <v>92.0</v>
      </c>
      <c r="B93" s="45" t="s">
        <v>275</v>
      </c>
      <c r="C93" s="45" t="s">
        <v>18</v>
      </c>
      <c r="D93" s="46" t="s">
        <v>282</v>
      </c>
      <c r="E93" s="19" t="s">
        <v>20</v>
      </c>
      <c r="F93" s="20" t="s">
        <v>283</v>
      </c>
      <c r="G93" s="22"/>
      <c r="H93" s="22" t="str">
        <f t="shared" si="1"/>
        <v>NA</v>
      </c>
      <c r="I93" s="22"/>
    </row>
    <row r="94" ht="188.25" customHeight="1">
      <c r="A94" s="14">
        <v>93.0</v>
      </c>
      <c r="B94" s="45" t="s">
        <v>284</v>
      </c>
      <c r="C94" s="45" t="s">
        <v>18</v>
      </c>
      <c r="D94" s="46" t="s">
        <v>285</v>
      </c>
      <c r="E94" s="19" t="s">
        <v>20</v>
      </c>
      <c r="F94" s="20" t="s">
        <v>286</v>
      </c>
      <c r="G94" s="22"/>
      <c r="H94" s="22" t="str">
        <f t="shared" si="1"/>
        <v>NA</v>
      </c>
      <c r="I94" s="22"/>
    </row>
    <row r="95" ht="57.75" customHeight="1">
      <c r="A95" s="14">
        <v>94.0</v>
      </c>
      <c r="B95" s="45" t="s">
        <v>284</v>
      </c>
      <c r="C95" s="45" t="s">
        <v>18</v>
      </c>
      <c r="D95" s="46" t="s">
        <v>287</v>
      </c>
      <c r="E95" s="19" t="s">
        <v>20</v>
      </c>
      <c r="F95" s="20" t="s">
        <v>288</v>
      </c>
      <c r="G95" s="22"/>
      <c r="H95" s="22" t="str">
        <f t="shared" si="1"/>
        <v>NA</v>
      </c>
      <c r="I95" s="22"/>
    </row>
    <row r="96" ht="202.5" customHeight="1">
      <c r="A96" s="14">
        <v>95.0</v>
      </c>
      <c r="B96" s="14" t="s">
        <v>289</v>
      </c>
      <c r="C96" s="14" t="s">
        <v>118</v>
      </c>
      <c r="D96" s="18" t="s">
        <v>290</v>
      </c>
      <c r="E96" s="19" t="s">
        <v>20</v>
      </c>
      <c r="F96" s="20" t="s">
        <v>291</v>
      </c>
      <c r="G96" s="22"/>
      <c r="H96" s="22" t="str">
        <f t="shared" si="1"/>
        <v>NA</v>
      </c>
      <c r="I96" s="22"/>
    </row>
    <row r="97" ht="87.0" customHeight="1">
      <c r="A97" s="14">
        <v>96.0</v>
      </c>
      <c r="B97" s="14" t="s">
        <v>289</v>
      </c>
      <c r="C97" s="14" t="s">
        <v>118</v>
      </c>
      <c r="D97" s="18" t="s">
        <v>292</v>
      </c>
      <c r="E97" s="19" t="s">
        <v>20</v>
      </c>
      <c r="F97" s="20" t="s">
        <v>293</v>
      </c>
      <c r="G97" s="22"/>
      <c r="H97" s="22" t="str">
        <f t="shared" si="1"/>
        <v>NA</v>
      </c>
      <c r="I97" s="22"/>
    </row>
    <row r="98" ht="138.0" customHeight="1">
      <c r="A98" s="14">
        <v>97.0</v>
      </c>
      <c r="B98" s="14" t="s">
        <v>289</v>
      </c>
      <c r="C98" s="14" t="s">
        <v>18</v>
      </c>
      <c r="D98" s="18" t="s">
        <v>294</v>
      </c>
      <c r="E98" s="19" t="s">
        <v>20</v>
      </c>
      <c r="F98" s="20" t="s">
        <v>295</v>
      </c>
      <c r="G98" s="22"/>
      <c r="H98" s="22" t="str">
        <f t="shared" si="1"/>
        <v>NA</v>
      </c>
      <c r="I98" s="22"/>
    </row>
    <row r="99" ht="202.5" customHeight="1">
      <c r="A99" s="14">
        <v>98.0</v>
      </c>
      <c r="B99" s="14" t="s">
        <v>289</v>
      </c>
      <c r="C99" s="14" t="s">
        <v>18</v>
      </c>
      <c r="D99" s="18" t="s">
        <v>296</v>
      </c>
      <c r="E99" s="19" t="s">
        <v>20</v>
      </c>
      <c r="F99" s="20" t="s">
        <v>297</v>
      </c>
      <c r="G99" s="22"/>
      <c r="H99" s="22" t="str">
        <f t="shared" si="1"/>
        <v>NA</v>
      </c>
      <c r="I99" s="22"/>
    </row>
    <row r="100" ht="159.0" customHeight="1">
      <c r="A100" s="14">
        <v>99.0</v>
      </c>
      <c r="B100" s="14" t="s">
        <v>289</v>
      </c>
      <c r="C100" s="14" t="s">
        <v>18</v>
      </c>
      <c r="D100" s="18" t="s">
        <v>298</v>
      </c>
      <c r="E100" s="19" t="s">
        <v>20</v>
      </c>
      <c r="F100" s="20" t="s">
        <v>299</v>
      </c>
      <c r="G100" s="22"/>
      <c r="H100" s="22" t="str">
        <f t="shared" si="1"/>
        <v>NA</v>
      </c>
      <c r="I100" s="22"/>
    </row>
    <row r="101" ht="240.0" customHeight="1">
      <c r="A101" s="14">
        <v>100.0</v>
      </c>
      <c r="B101" s="14" t="s">
        <v>289</v>
      </c>
      <c r="C101" s="14" t="s">
        <v>18</v>
      </c>
      <c r="D101" s="18" t="s">
        <v>300</v>
      </c>
      <c r="E101" s="19" t="s">
        <v>20</v>
      </c>
      <c r="F101" s="20" t="s">
        <v>301</v>
      </c>
      <c r="G101" s="22"/>
      <c r="H101" s="22" t="str">
        <f t="shared" si="1"/>
        <v>NA</v>
      </c>
      <c r="I101" s="22"/>
    </row>
    <row r="102" ht="15.75" customHeight="1">
      <c r="A102" s="14">
        <v>101.0</v>
      </c>
      <c r="B102" s="14" t="s">
        <v>302</v>
      </c>
      <c r="C102" s="14" t="s">
        <v>18</v>
      </c>
      <c r="D102" s="18" t="s">
        <v>303</v>
      </c>
      <c r="E102" s="19" t="s">
        <v>20</v>
      </c>
      <c r="F102" s="20" t="s">
        <v>304</v>
      </c>
      <c r="G102" s="22"/>
      <c r="H102" s="22"/>
      <c r="I102" s="22"/>
    </row>
    <row r="103" ht="15.75" customHeight="1">
      <c r="A103" s="14">
        <v>102.0</v>
      </c>
      <c r="B103" s="14" t="s">
        <v>302</v>
      </c>
      <c r="C103" s="14" t="s">
        <v>18</v>
      </c>
      <c r="D103" s="18" t="s">
        <v>305</v>
      </c>
      <c r="E103" s="19" t="s">
        <v>20</v>
      </c>
      <c r="F103" s="50" t="s">
        <v>306</v>
      </c>
      <c r="G103" s="22"/>
      <c r="H103" s="22"/>
      <c r="I103" s="22"/>
    </row>
    <row r="104" ht="15.75" customHeight="1">
      <c r="A104" s="14">
        <v>103.0</v>
      </c>
      <c r="B104" s="14" t="s">
        <v>302</v>
      </c>
      <c r="C104" s="14" t="s">
        <v>18</v>
      </c>
      <c r="D104" s="18" t="s">
        <v>307</v>
      </c>
      <c r="E104" s="19" t="s">
        <v>20</v>
      </c>
      <c r="F104" s="20" t="s">
        <v>308</v>
      </c>
      <c r="G104" s="22"/>
      <c r="H104" s="22"/>
      <c r="I104" s="22"/>
    </row>
    <row r="105" ht="15.75" customHeight="1">
      <c r="A105" s="14">
        <v>104.0</v>
      </c>
      <c r="B105" s="14" t="s">
        <v>302</v>
      </c>
      <c r="C105" s="14" t="s">
        <v>18</v>
      </c>
      <c r="D105" s="18" t="s">
        <v>309</v>
      </c>
      <c r="E105" s="19" t="s">
        <v>20</v>
      </c>
      <c r="F105" s="20" t="s">
        <v>310</v>
      </c>
      <c r="G105" s="22"/>
      <c r="H105" s="22"/>
      <c r="I105" s="22"/>
    </row>
    <row r="106" ht="15.75" customHeight="1">
      <c r="A106" s="14">
        <v>105.0</v>
      </c>
      <c r="B106" s="14" t="s">
        <v>302</v>
      </c>
      <c r="C106" s="14" t="s">
        <v>18</v>
      </c>
      <c r="D106" s="18" t="s">
        <v>311</v>
      </c>
      <c r="E106" s="19" t="s">
        <v>20</v>
      </c>
      <c r="F106" s="20" t="s">
        <v>312</v>
      </c>
      <c r="G106" s="22"/>
      <c r="H106" s="22"/>
      <c r="I106" s="22"/>
    </row>
    <row r="107" ht="15.75" customHeight="1">
      <c r="A107" s="14">
        <v>106.0</v>
      </c>
      <c r="B107" s="14" t="s">
        <v>302</v>
      </c>
      <c r="C107" s="14" t="s">
        <v>18</v>
      </c>
      <c r="D107" s="18" t="s">
        <v>313</v>
      </c>
      <c r="E107" s="19" t="s">
        <v>20</v>
      </c>
      <c r="F107" s="20" t="s">
        <v>314</v>
      </c>
      <c r="G107" s="22"/>
      <c r="H107" s="22"/>
      <c r="I107" s="22"/>
    </row>
    <row r="108" ht="15.75" customHeight="1">
      <c r="A108" s="14">
        <v>107.0</v>
      </c>
      <c r="B108" s="14" t="s">
        <v>302</v>
      </c>
      <c r="C108" s="14" t="s">
        <v>18</v>
      </c>
      <c r="D108" s="18" t="s">
        <v>315</v>
      </c>
      <c r="E108" s="19" t="s">
        <v>20</v>
      </c>
      <c r="F108" s="20" t="s">
        <v>316</v>
      </c>
      <c r="G108" s="22"/>
      <c r="H108" s="22"/>
      <c r="I108" s="22"/>
    </row>
    <row r="109" ht="15.75" customHeight="1">
      <c r="A109" s="14">
        <v>108.0</v>
      </c>
      <c r="B109" s="14" t="s">
        <v>302</v>
      </c>
      <c r="C109" s="14" t="s">
        <v>18</v>
      </c>
      <c r="D109" s="18" t="s">
        <v>317</v>
      </c>
      <c r="E109" s="19" t="s">
        <v>20</v>
      </c>
      <c r="F109" s="20" t="s">
        <v>318</v>
      </c>
      <c r="G109" s="22"/>
      <c r="H109" s="22"/>
      <c r="I109" s="22"/>
    </row>
    <row r="110" ht="15.75" customHeight="1">
      <c r="A110" s="14">
        <v>109.0</v>
      </c>
      <c r="B110" s="14" t="s">
        <v>302</v>
      </c>
      <c r="C110" s="14" t="s">
        <v>18</v>
      </c>
      <c r="D110" s="18" t="s">
        <v>319</v>
      </c>
      <c r="E110" s="19" t="s">
        <v>20</v>
      </c>
      <c r="F110" s="20" t="s">
        <v>320</v>
      </c>
      <c r="G110" s="22"/>
      <c r="H110" s="22"/>
      <c r="I110" s="22"/>
    </row>
    <row r="111" ht="39.0" customHeight="1">
      <c r="A111" s="14">
        <v>110.0</v>
      </c>
      <c r="B111" s="14" t="s">
        <v>302</v>
      </c>
      <c r="C111" s="14" t="s">
        <v>18</v>
      </c>
      <c r="D111" s="18" t="s">
        <v>321</v>
      </c>
      <c r="E111" s="19" t="s">
        <v>20</v>
      </c>
      <c r="F111" s="20" t="s">
        <v>322</v>
      </c>
      <c r="G111" s="22"/>
      <c r="H111" s="22"/>
      <c r="I111" s="22"/>
    </row>
    <row r="112" ht="15.75" customHeight="1">
      <c r="A112" s="14">
        <v>111.0</v>
      </c>
      <c r="B112" s="14" t="s">
        <v>302</v>
      </c>
      <c r="C112" s="14" t="s">
        <v>18</v>
      </c>
      <c r="D112" s="18" t="s">
        <v>323</v>
      </c>
      <c r="E112" s="19" t="s">
        <v>20</v>
      </c>
      <c r="F112" s="20" t="s">
        <v>324</v>
      </c>
      <c r="G112" s="22"/>
      <c r="H112" s="22"/>
      <c r="I112" s="22"/>
    </row>
    <row r="113" ht="60.0" customHeight="1">
      <c r="A113" s="14">
        <v>112.0</v>
      </c>
      <c r="B113" s="14" t="s">
        <v>302</v>
      </c>
      <c r="C113" s="14" t="s">
        <v>18</v>
      </c>
      <c r="D113" s="18" t="s">
        <v>325</v>
      </c>
      <c r="E113" s="19" t="s">
        <v>20</v>
      </c>
      <c r="F113" s="20" t="s">
        <v>326</v>
      </c>
      <c r="G113" s="22"/>
      <c r="H113" s="22"/>
      <c r="I113" s="22"/>
    </row>
    <row r="114" ht="15.75" customHeight="1">
      <c r="A114" s="14">
        <v>113.0</v>
      </c>
      <c r="B114" s="51" t="s">
        <v>327</v>
      </c>
      <c r="C114" s="14" t="s">
        <v>18</v>
      </c>
      <c r="D114" s="52" t="s">
        <v>328</v>
      </c>
      <c r="E114" s="19" t="s">
        <v>20</v>
      </c>
      <c r="F114" s="20" t="s">
        <v>329</v>
      </c>
      <c r="G114" s="22"/>
      <c r="H114" s="22"/>
      <c r="I114" s="22"/>
    </row>
    <row r="115" ht="15.75" customHeight="1">
      <c r="A115" s="14">
        <v>114.0</v>
      </c>
      <c r="B115" s="51" t="s">
        <v>327</v>
      </c>
      <c r="C115" s="14" t="s">
        <v>18</v>
      </c>
      <c r="D115" s="52" t="s">
        <v>330</v>
      </c>
      <c r="E115" s="19" t="s">
        <v>20</v>
      </c>
      <c r="F115" s="20" t="s">
        <v>331</v>
      </c>
      <c r="G115" s="22"/>
      <c r="H115" s="22"/>
      <c r="I115" s="22"/>
    </row>
    <row r="116" ht="15.75" customHeight="1">
      <c r="A116" s="14">
        <v>115.0</v>
      </c>
      <c r="B116" s="51" t="s">
        <v>327</v>
      </c>
      <c r="C116" s="14" t="s">
        <v>18</v>
      </c>
      <c r="D116" s="52" t="s">
        <v>332</v>
      </c>
      <c r="E116" s="19" t="s">
        <v>20</v>
      </c>
      <c r="F116" s="20" t="s">
        <v>333</v>
      </c>
      <c r="G116" s="22"/>
      <c r="H116" s="22"/>
      <c r="I116" s="22"/>
    </row>
    <row r="117" ht="15.75" customHeight="1">
      <c r="A117" s="14">
        <v>116.0</v>
      </c>
      <c r="B117" s="51" t="s">
        <v>334</v>
      </c>
      <c r="C117" s="14" t="s">
        <v>18</v>
      </c>
      <c r="D117" s="52" t="s">
        <v>335</v>
      </c>
      <c r="E117" s="19" t="s">
        <v>20</v>
      </c>
      <c r="F117" s="20" t="s">
        <v>336</v>
      </c>
      <c r="G117" s="22"/>
      <c r="H117" s="22"/>
      <c r="I117" s="22"/>
    </row>
    <row r="118" ht="15.75" customHeight="1">
      <c r="A118" s="14">
        <v>117.0</v>
      </c>
      <c r="B118" s="51" t="s">
        <v>334</v>
      </c>
      <c r="C118" s="14" t="s">
        <v>18</v>
      </c>
      <c r="D118" s="52" t="s">
        <v>337</v>
      </c>
      <c r="E118" s="19" t="s">
        <v>20</v>
      </c>
      <c r="F118" s="20" t="s">
        <v>338</v>
      </c>
      <c r="G118" s="22"/>
      <c r="H118" s="22"/>
      <c r="I118" s="22"/>
    </row>
    <row r="119" ht="15.75" customHeight="1">
      <c r="A119" s="14">
        <v>118.0</v>
      </c>
      <c r="B119" s="51" t="s">
        <v>339</v>
      </c>
      <c r="C119" s="14" t="s">
        <v>18</v>
      </c>
      <c r="D119" s="52" t="s">
        <v>340</v>
      </c>
      <c r="E119" s="19" t="s">
        <v>20</v>
      </c>
      <c r="F119" s="20" t="s">
        <v>341</v>
      </c>
      <c r="G119" s="22"/>
      <c r="H119" s="22"/>
      <c r="I119" s="22"/>
    </row>
    <row r="120" ht="15.75" customHeight="1">
      <c r="A120" s="14">
        <v>119.0</v>
      </c>
      <c r="B120" s="51" t="s">
        <v>342</v>
      </c>
      <c r="C120" s="14" t="s">
        <v>18</v>
      </c>
      <c r="D120" s="52" t="s">
        <v>343</v>
      </c>
      <c r="E120" s="19" t="s">
        <v>20</v>
      </c>
      <c r="F120" s="20" t="s">
        <v>344</v>
      </c>
      <c r="G120" s="22"/>
      <c r="H120" s="22"/>
      <c r="I120" s="22"/>
    </row>
    <row r="121" ht="15.75" customHeight="1">
      <c r="A121" s="14">
        <v>120.0</v>
      </c>
      <c r="B121" s="51" t="s">
        <v>342</v>
      </c>
      <c r="C121" s="14" t="s">
        <v>18</v>
      </c>
      <c r="D121" s="52" t="s">
        <v>345</v>
      </c>
      <c r="E121" s="19" t="s">
        <v>20</v>
      </c>
      <c r="F121" s="20" t="s">
        <v>346</v>
      </c>
      <c r="G121" s="22"/>
      <c r="H121" s="22"/>
      <c r="I121" s="22"/>
    </row>
    <row r="122" ht="15.75" customHeight="1">
      <c r="A122" s="14">
        <v>121.0</v>
      </c>
      <c r="B122" s="51" t="s">
        <v>347</v>
      </c>
      <c r="C122" s="14" t="s">
        <v>18</v>
      </c>
      <c r="D122" s="52" t="s">
        <v>348</v>
      </c>
      <c r="E122" s="19" t="s">
        <v>20</v>
      </c>
      <c r="F122" s="20" t="s">
        <v>349</v>
      </c>
      <c r="G122" s="22"/>
      <c r="H122" s="22"/>
      <c r="I122" s="22"/>
    </row>
    <row r="123" ht="15.75" customHeight="1">
      <c r="A123" s="14">
        <v>122.0</v>
      </c>
      <c r="B123" s="51" t="s">
        <v>347</v>
      </c>
      <c r="C123" s="14" t="s">
        <v>18</v>
      </c>
      <c r="D123" s="52" t="s">
        <v>350</v>
      </c>
      <c r="E123" s="19" t="s">
        <v>20</v>
      </c>
      <c r="F123" s="50" t="s">
        <v>351</v>
      </c>
    </row>
    <row r="124" ht="15.75" customHeight="1">
      <c r="A124" s="14">
        <v>123.0</v>
      </c>
      <c r="B124" s="51" t="s">
        <v>352</v>
      </c>
      <c r="C124" s="14" t="s">
        <v>18</v>
      </c>
      <c r="D124" s="52" t="s">
        <v>353</v>
      </c>
      <c r="E124" s="19" t="s">
        <v>20</v>
      </c>
      <c r="F124" s="50" t="s">
        <v>354</v>
      </c>
    </row>
    <row r="125" ht="15.75" customHeight="1">
      <c r="A125" s="14">
        <v>124.0</v>
      </c>
      <c r="B125" s="51" t="s">
        <v>352</v>
      </c>
      <c r="C125" s="14" t="s">
        <v>18</v>
      </c>
      <c r="D125" s="52" t="s">
        <v>355</v>
      </c>
      <c r="E125" s="19" t="s">
        <v>20</v>
      </c>
      <c r="F125" s="50" t="s">
        <v>356</v>
      </c>
    </row>
    <row r="126" ht="15.75" customHeight="1">
      <c r="A126" s="14">
        <v>125.0</v>
      </c>
      <c r="B126" s="51" t="s">
        <v>357</v>
      </c>
      <c r="C126" s="14" t="s">
        <v>18</v>
      </c>
      <c r="D126" s="52" t="s">
        <v>358</v>
      </c>
      <c r="E126" s="19" t="s">
        <v>20</v>
      </c>
      <c r="F126" s="50" t="s">
        <v>359</v>
      </c>
    </row>
    <row r="127" ht="15.75" customHeight="1">
      <c r="A127" s="14">
        <v>126.0</v>
      </c>
      <c r="B127" s="51" t="s">
        <v>360</v>
      </c>
      <c r="C127" s="14" t="s">
        <v>18</v>
      </c>
      <c r="D127" s="52" t="s">
        <v>361</v>
      </c>
      <c r="E127" s="19" t="s">
        <v>20</v>
      </c>
      <c r="F127" s="50" t="s">
        <v>362</v>
      </c>
    </row>
    <row r="128" ht="15.75" customHeight="1">
      <c r="A128" s="14">
        <v>127.0</v>
      </c>
      <c r="B128" s="51" t="s">
        <v>363</v>
      </c>
      <c r="C128" s="14" t="s">
        <v>18</v>
      </c>
      <c r="D128" s="52" t="s">
        <v>364</v>
      </c>
      <c r="E128" s="19" t="s">
        <v>20</v>
      </c>
      <c r="F128" s="50" t="s">
        <v>365</v>
      </c>
    </row>
    <row r="129" ht="15.75" customHeight="1">
      <c r="A129" s="14">
        <v>128.0</v>
      </c>
      <c r="B129" s="51" t="s">
        <v>366</v>
      </c>
      <c r="C129" s="14" t="s">
        <v>18</v>
      </c>
      <c r="D129" s="52" t="s">
        <v>367</v>
      </c>
      <c r="E129" s="19" t="s">
        <v>20</v>
      </c>
      <c r="F129" s="50" t="s">
        <v>368</v>
      </c>
    </row>
    <row r="130" ht="15.75" customHeight="1">
      <c r="A130" s="14">
        <v>129.0</v>
      </c>
      <c r="B130" s="51" t="s">
        <v>369</v>
      </c>
      <c r="C130" s="14" t="s">
        <v>18</v>
      </c>
      <c r="D130" s="52" t="s">
        <v>370</v>
      </c>
      <c r="E130" s="19" t="s">
        <v>20</v>
      </c>
      <c r="F130" s="50" t="s">
        <v>371</v>
      </c>
    </row>
    <row r="131" ht="15.75" customHeight="1">
      <c r="A131" s="14">
        <v>130.0</v>
      </c>
      <c r="B131" s="51" t="s">
        <v>372</v>
      </c>
      <c r="C131" s="14" t="s">
        <v>18</v>
      </c>
      <c r="D131" s="52" t="s">
        <v>373</v>
      </c>
      <c r="E131" s="19" t="s">
        <v>20</v>
      </c>
      <c r="F131" s="50" t="s">
        <v>374</v>
      </c>
    </row>
    <row r="132" ht="15.75" customHeight="1">
      <c r="A132" s="14">
        <v>131.0</v>
      </c>
      <c r="B132" s="51" t="s">
        <v>372</v>
      </c>
      <c r="C132" s="14" t="s">
        <v>18</v>
      </c>
      <c r="D132" s="52" t="s">
        <v>375</v>
      </c>
      <c r="E132" s="19" t="s">
        <v>20</v>
      </c>
      <c r="F132" s="50" t="s">
        <v>376</v>
      </c>
    </row>
    <row r="133" ht="15.75" customHeight="1">
      <c r="A133" s="14">
        <v>132.0</v>
      </c>
      <c r="B133" s="51" t="s">
        <v>372</v>
      </c>
      <c r="C133" s="14" t="s">
        <v>18</v>
      </c>
      <c r="D133" s="52" t="s">
        <v>377</v>
      </c>
      <c r="E133" s="19" t="s">
        <v>20</v>
      </c>
      <c r="F133" s="50" t="s">
        <v>378</v>
      </c>
    </row>
    <row r="134" ht="15.75" customHeight="1">
      <c r="A134" s="14">
        <v>133.0</v>
      </c>
      <c r="B134" s="51" t="s">
        <v>372</v>
      </c>
      <c r="C134" s="14" t="s">
        <v>18</v>
      </c>
      <c r="D134" s="52" t="s">
        <v>379</v>
      </c>
      <c r="E134" s="19" t="s">
        <v>20</v>
      </c>
      <c r="F134" s="50" t="s">
        <v>380</v>
      </c>
    </row>
    <row r="135" ht="15.75" customHeight="1">
      <c r="A135" s="14">
        <v>134.0</v>
      </c>
      <c r="B135" s="51" t="s">
        <v>372</v>
      </c>
      <c r="C135" s="14" t="s">
        <v>18</v>
      </c>
      <c r="D135" s="52" t="s">
        <v>381</v>
      </c>
      <c r="E135" s="19" t="s">
        <v>20</v>
      </c>
      <c r="F135" s="50" t="s">
        <v>382</v>
      </c>
    </row>
    <row r="136" ht="15.75" customHeight="1">
      <c r="A136" s="14">
        <v>135.0</v>
      </c>
      <c r="B136" s="51" t="s">
        <v>372</v>
      </c>
      <c r="C136" s="14" t="s">
        <v>18</v>
      </c>
      <c r="D136" s="52" t="s">
        <v>383</v>
      </c>
      <c r="E136" s="19" t="s">
        <v>20</v>
      </c>
      <c r="F136" s="50" t="s">
        <v>384</v>
      </c>
    </row>
    <row r="137" ht="113.25" customHeight="1">
      <c r="A137" s="14">
        <v>136.0</v>
      </c>
      <c r="B137" s="51" t="s">
        <v>372</v>
      </c>
      <c r="C137" s="14" t="s">
        <v>18</v>
      </c>
      <c r="D137" s="52" t="s">
        <v>385</v>
      </c>
      <c r="E137" s="19" t="s">
        <v>20</v>
      </c>
      <c r="F137" s="50" t="s">
        <v>386</v>
      </c>
    </row>
    <row r="138" ht="15.75" customHeight="1">
      <c r="A138" s="51"/>
      <c r="D138" s="53"/>
      <c r="F138" s="54"/>
    </row>
    <row r="139" ht="15.75" customHeight="1">
      <c r="A139" s="51"/>
      <c r="D139" s="53"/>
      <c r="F139" s="54"/>
    </row>
    <row r="140" ht="15.75" customHeight="1">
      <c r="A140" s="51"/>
      <c r="D140" s="53"/>
      <c r="F140" s="54"/>
    </row>
    <row r="141" ht="15.75" customHeight="1">
      <c r="A141" s="51"/>
      <c r="D141" s="53"/>
      <c r="F141" s="54"/>
    </row>
    <row r="142" ht="15.75" customHeight="1">
      <c r="A142" s="51"/>
      <c r="D142" s="53"/>
      <c r="F142" s="54"/>
    </row>
    <row r="143" ht="15.75" customHeight="1">
      <c r="A143" s="51"/>
      <c r="D143" s="53"/>
      <c r="F143" s="54"/>
    </row>
    <row r="144" ht="15.75" customHeight="1">
      <c r="A144" s="51"/>
      <c r="D144" s="53"/>
      <c r="F144" s="54"/>
    </row>
    <row r="145" ht="15.75" customHeight="1">
      <c r="A145" s="51"/>
      <c r="D145" s="53"/>
      <c r="F145" s="54"/>
    </row>
    <row r="146" ht="15.75" customHeight="1">
      <c r="A146" s="51"/>
      <c r="D146" s="53"/>
      <c r="F146" s="54"/>
    </row>
    <row r="147" ht="15.75" customHeight="1">
      <c r="A147" s="51"/>
      <c r="D147" s="53"/>
      <c r="F147" s="54"/>
    </row>
    <row r="148" ht="15.75" customHeight="1">
      <c r="A148" s="51"/>
      <c r="D148" s="53"/>
      <c r="F148" s="54"/>
    </row>
    <row r="149" ht="15.75" customHeight="1">
      <c r="A149" s="51"/>
      <c r="D149" s="53"/>
      <c r="F149" s="54"/>
    </row>
    <row r="150" ht="15.75" customHeight="1">
      <c r="A150" s="51"/>
      <c r="D150" s="53"/>
      <c r="F150" s="54"/>
    </row>
    <row r="151" ht="15.75" customHeight="1">
      <c r="A151" s="51"/>
      <c r="D151" s="53"/>
      <c r="F151" s="54"/>
    </row>
    <row r="152" ht="15.75" customHeight="1">
      <c r="A152" s="51"/>
      <c r="D152" s="53"/>
      <c r="F152" s="54"/>
    </row>
    <row r="153" ht="15.75" customHeight="1">
      <c r="A153" s="51"/>
      <c r="D153" s="53"/>
      <c r="F153" s="54"/>
    </row>
    <row r="154" ht="15.75" customHeight="1">
      <c r="A154" s="51"/>
      <c r="D154" s="53"/>
      <c r="F154" s="54"/>
    </row>
    <row r="155" ht="15.75" customHeight="1">
      <c r="A155" s="51"/>
      <c r="D155" s="53"/>
      <c r="F155" s="54"/>
    </row>
    <row r="156" ht="15.75" customHeight="1">
      <c r="A156" s="51"/>
      <c r="D156" s="53"/>
      <c r="F156" s="54"/>
    </row>
    <row r="157" ht="15.75" customHeight="1">
      <c r="A157" s="51"/>
      <c r="D157" s="53"/>
      <c r="F157" s="54"/>
    </row>
    <row r="158" ht="15.75" customHeight="1">
      <c r="A158" s="51"/>
      <c r="D158" s="53"/>
      <c r="F158" s="54"/>
    </row>
    <row r="159" ht="15.75" customHeight="1">
      <c r="A159" s="51"/>
      <c r="D159" s="53"/>
      <c r="F159" s="54"/>
    </row>
    <row r="160" ht="15.75" customHeight="1">
      <c r="A160" s="51"/>
      <c r="D160" s="53"/>
      <c r="F160" s="54"/>
    </row>
    <row r="161" ht="15.75" customHeight="1">
      <c r="A161" s="51"/>
      <c r="D161" s="53"/>
      <c r="F161" s="54"/>
    </row>
    <row r="162" ht="15.75" customHeight="1">
      <c r="A162" s="51"/>
      <c r="D162" s="53"/>
      <c r="F162" s="54"/>
    </row>
    <row r="163" ht="15.75" customHeight="1">
      <c r="A163" s="51"/>
      <c r="D163" s="53"/>
      <c r="F163" s="54"/>
    </row>
    <row r="164" ht="15.75" customHeight="1">
      <c r="A164" s="51"/>
      <c r="D164" s="53"/>
      <c r="F164" s="54"/>
    </row>
    <row r="165" ht="15.75" customHeight="1">
      <c r="A165" s="51"/>
      <c r="D165" s="53"/>
      <c r="F165" s="54"/>
    </row>
    <row r="166" ht="15.75" customHeight="1">
      <c r="A166" s="51"/>
      <c r="D166" s="53"/>
      <c r="F166" s="54"/>
    </row>
    <row r="167" ht="15.75" customHeight="1">
      <c r="A167" s="51"/>
      <c r="D167" s="53"/>
      <c r="F167" s="54"/>
    </row>
    <row r="168" ht="15.75" customHeight="1">
      <c r="A168" s="51"/>
      <c r="D168" s="53"/>
      <c r="F168" s="54"/>
    </row>
    <row r="169" ht="15.75" customHeight="1">
      <c r="A169" s="51"/>
      <c r="D169" s="53"/>
      <c r="F169" s="54"/>
    </row>
    <row r="170" ht="15.75" customHeight="1">
      <c r="A170" s="51"/>
      <c r="D170" s="53"/>
      <c r="F170" s="54"/>
    </row>
    <row r="171" ht="15.75" customHeight="1">
      <c r="A171" s="51"/>
      <c r="D171" s="53"/>
      <c r="F171" s="54"/>
    </row>
    <row r="172" ht="15.75" customHeight="1">
      <c r="A172" s="51"/>
      <c r="D172" s="53"/>
      <c r="F172" s="54"/>
    </row>
    <row r="173" ht="15.75" customHeight="1">
      <c r="A173" s="51"/>
      <c r="D173" s="53"/>
      <c r="F173" s="54"/>
    </row>
    <row r="174" ht="15.75" customHeight="1">
      <c r="A174" s="51"/>
      <c r="D174" s="53"/>
      <c r="F174" s="54"/>
    </row>
    <row r="175" ht="15.75" customHeight="1">
      <c r="A175" s="51"/>
      <c r="D175" s="53"/>
      <c r="F175" s="54"/>
    </row>
    <row r="176" ht="15.75" customHeight="1">
      <c r="A176" s="51"/>
      <c r="D176" s="53"/>
      <c r="F176" s="54"/>
    </row>
    <row r="177" ht="15.75" customHeight="1">
      <c r="A177" s="51"/>
      <c r="D177" s="53"/>
      <c r="F177" s="54"/>
    </row>
    <row r="178" ht="15.75" customHeight="1">
      <c r="A178" s="51"/>
      <c r="D178" s="53"/>
      <c r="F178" s="54"/>
    </row>
    <row r="179" ht="15.75" customHeight="1">
      <c r="A179" s="51"/>
      <c r="D179" s="53"/>
      <c r="F179" s="54"/>
    </row>
    <row r="180" ht="15.75" customHeight="1">
      <c r="A180" s="51"/>
      <c r="D180" s="53"/>
      <c r="F180" s="54"/>
    </row>
    <row r="181" ht="15.75" customHeight="1">
      <c r="A181" s="51"/>
      <c r="D181" s="53"/>
      <c r="F181" s="54"/>
    </row>
    <row r="182" ht="15.75" customHeight="1">
      <c r="A182" s="51"/>
      <c r="D182" s="53"/>
      <c r="F182" s="54"/>
    </row>
    <row r="183" ht="15.75" customHeight="1">
      <c r="A183" s="51"/>
      <c r="D183" s="53"/>
      <c r="F183" s="54"/>
    </row>
    <row r="184" ht="15.75" customHeight="1">
      <c r="A184" s="51"/>
      <c r="D184" s="53"/>
      <c r="F184" s="54"/>
    </row>
    <row r="185" ht="15.75" customHeight="1">
      <c r="A185" s="51"/>
      <c r="D185" s="53"/>
      <c r="F185" s="54"/>
    </row>
    <row r="186" ht="15.75" customHeight="1">
      <c r="A186" s="51"/>
      <c r="D186" s="53"/>
      <c r="F186" s="54"/>
    </row>
    <row r="187" ht="15.75" customHeight="1">
      <c r="A187" s="51"/>
      <c r="D187" s="53"/>
      <c r="F187" s="54"/>
    </row>
    <row r="188" ht="15.75" customHeight="1">
      <c r="A188" s="51"/>
      <c r="D188" s="53"/>
      <c r="F188" s="54"/>
    </row>
    <row r="189" ht="15.75" customHeight="1">
      <c r="A189" s="51"/>
      <c r="D189" s="53"/>
      <c r="F189" s="54"/>
    </row>
    <row r="190" ht="15.75" customHeight="1">
      <c r="A190" s="51"/>
      <c r="D190" s="53"/>
      <c r="F190" s="54"/>
    </row>
    <row r="191" ht="15.75" customHeight="1">
      <c r="A191" s="51"/>
      <c r="D191" s="53"/>
      <c r="F191" s="54"/>
    </row>
    <row r="192" ht="15.75" customHeight="1">
      <c r="A192" s="51"/>
      <c r="D192" s="53"/>
      <c r="F192" s="54"/>
    </row>
    <row r="193" ht="15.75" customHeight="1">
      <c r="A193" s="51"/>
      <c r="D193" s="53"/>
      <c r="F193" s="54"/>
    </row>
    <row r="194" ht="15.75" customHeight="1">
      <c r="A194" s="51"/>
      <c r="D194" s="53"/>
      <c r="F194" s="54"/>
    </row>
    <row r="195" ht="15.75" customHeight="1">
      <c r="A195" s="51"/>
      <c r="D195" s="53"/>
      <c r="F195" s="54"/>
    </row>
    <row r="196" ht="15.75" customHeight="1">
      <c r="A196" s="51"/>
      <c r="D196" s="53"/>
      <c r="F196" s="54"/>
    </row>
    <row r="197" ht="15.75" customHeight="1">
      <c r="A197" s="51"/>
      <c r="D197" s="53"/>
      <c r="F197" s="54"/>
    </row>
    <row r="198" ht="15.75" customHeight="1">
      <c r="A198" s="51"/>
      <c r="D198" s="53"/>
      <c r="F198" s="54"/>
    </row>
    <row r="199" ht="15.75" customHeight="1">
      <c r="A199" s="51"/>
      <c r="D199" s="53"/>
      <c r="F199" s="54"/>
    </row>
    <row r="200" ht="15.75" customHeight="1">
      <c r="A200" s="51"/>
      <c r="D200" s="53"/>
      <c r="F200" s="54"/>
    </row>
    <row r="201" ht="15.75" customHeight="1">
      <c r="A201" s="51"/>
      <c r="D201" s="53"/>
      <c r="F201" s="54"/>
    </row>
    <row r="202" ht="15.75" customHeight="1">
      <c r="A202" s="51"/>
      <c r="D202" s="53"/>
      <c r="F202" s="54"/>
    </row>
    <row r="203" ht="15.75" customHeight="1">
      <c r="A203" s="51"/>
      <c r="D203" s="53"/>
      <c r="F203" s="54"/>
    </row>
    <row r="204" ht="15.75" customHeight="1">
      <c r="A204" s="51"/>
      <c r="D204" s="53"/>
      <c r="F204" s="54"/>
    </row>
    <row r="205" ht="15.75" customHeight="1">
      <c r="A205" s="51"/>
      <c r="D205" s="53"/>
      <c r="F205" s="54"/>
    </row>
    <row r="206" ht="15.75" customHeight="1">
      <c r="A206" s="51"/>
      <c r="D206" s="53"/>
      <c r="F206" s="54"/>
    </row>
    <row r="207" ht="15.75" customHeight="1">
      <c r="A207" s="51"/>
      <c r="D207" s="53"/>
      <c r="F207" s="54"/>
    </row>
    <row r="208" ht="15.75" customHeight="1">
      <c r="A208" s="51"/>
      <c r="D208" s="53"/>
      <c r="F208" s="54"/>
    </row>
    <row r="209" ht="15.75" customHeight="1">
      <c r="A209" s="51"/>
      <c r="D209" s="53"/>
      <c r="F209" s="54"/>
    </row>
    <row r="210" ht="15.75" customHeight="1">
      <c r="A210" s="51"/>
      <c r="D210" s="53"/>
      <c r="F210" s="54"/>
    </row>
    <row r="211" ht="15.75" customHeight="1">
      <c r="A211" s="51"/>
      <c r="D211" s="53"/>
      <c r="F211" s="54"/>
    </row>
    <row r="212" ht="15.75" customHeight="1">
      <c r="A212" s="51"/>
      <c r="D212" s="53"/>
      <c r="F212" s="54"/>
    </row>
    <row r="213" ht="15.75" customHeight="1">
      <c r="A213" s="51"/>
      <c r="D213" s="53"/>
      <c r="F213" s="54"/>
    </row>
    <row r="214" ht="15.75" customHeight="1">
      <c r="A214" s="51"/>
      <c r="D214" s="53"/>
      <c r="F214" s="54"/>
    </row>
    <row r="215" ht="15.75" customHeight="1">
      <c r="A215" s="51"/>
      <c r="D215" s="53"/>
      <c r="F215" s="54"/>
    </row>
    <row r="216" ht="15.75" customHeight="1">
      <c r="A216" s="51"/>
      <c r="D216" s="53"/>
      <c r="F216" s="54"/>
    </row>
    <row r="217" ht="15.75" customHeight="1">
      <c r="A217" s="51"/>
      <c r="D217" s="53"/>
      <c r="F217" s="54"/>
    </row>
    <row r="218" ht="15.75" customHeight="1">
      <c r="A218" s="51"/>
      <c r="D218" s="53"/>
      <c r="F218" s="54"/>
    </row>
    <row r="219" ht="15.75" customHeight="1">
      <c r="A219" s="51"/>
      <c r="D219" s="53"/>
      <c r="F219" s="54"/>
    </row>
    <row r="220" ht="15.75" customHeight="1">
      <c r="A220" s="51"/>
      <c r="D220" s="53"/>
      <c r="F220" s="54"/>
    </row>
    <row r="221" ht="15.75" customHeight="1">
      <c r="A221" s="51"/>
      <c r="D221" s="53"/>
      <c r="F221" s="54"/>
    </row>
    <row r="222" ht="15.75" customHeight="1">
      <c r="A222" s="51"/>
      <c r="D222" s="53"/>
      <c r="F222" s="54"/>
    </row>
    <row r="223" ht="15.75" customHeight="1">
      <c r="A223" s="51"/>
      <c r="D223" s="53"/>
      <c r="F223" s="54"/>
    </row>
    <row r="224" ht="15.75" customHeight="1">
      <c r="A224" s="51"/>
      <c r="D224" s="53"/>
      <c r="F224" s="54"/>
    </row>
    <row r="225" ht="15.75" customHeight="1">
      <c r="A225" s="51"/>
      <c r="D225" s="53"/>
      <c r="F225" s="54"/>
    </row>
    <row r="226" ht="15.75" customHeight="1">
      <c r="A226" s="51"/>
      <c r="D226" s="53"/>
      <c r="F226" s="54"/>
    </row>
    <row r="227" ht="15.75" customHeight="1">
      <c r="A227" s="51"/>
      <c r="D227" s="53"/>
      <c r="F227" s="54"/>
    </row>
    <row r="228" ht="15.75" customHeight="1">
      <c r="A228" s="51"/>
      <c r="D228" s="53"/>
      <c r="F228" s="54"/>
    </row>
    <row r="229" ht="15.75" customHeight="1">
      <c r="A229" s="51"/>
      <c r="D229" s="53"/>
      <c r="F229" s="54"/>
    </row>
    <row r="230" ht="15.75" customHeight="1">
      <c r="A230" s="51"/>
      <c r="D230" s="53"/>
      <c r="F230" s="54"/>
    </row>
    <row r="231" ht="15.75" customHeight="1">
      <c r="A231" s="51"/>
      <c r="D231" s="53"/>
      <c r="F231" s="54"/>
    </row>
    <row r="232" ht="15.75" customHeight="1">
      <c r="A232" s="51"/>
      <c r="D232" s="53"/>
      <c r="F232" s="54"/>
    </row>
    <row r="233" ht="15.75" customHeight="1">
      <c r="A233" s="51"/>
      <c r="D233" s="53"/>
      <c r="F233" s="54"/>
    </row>
    <row r="234" ht="15.75" customHeight="1">
      <c r="A234" s="51"/>
      <c r="D234" s="53"/>
      <c r="F234" s="54"/>
    </row>
    <row r="235" ht="15.75" customHeight="1">
      <c r="A235" s="51"/>
      <c r="D235" s="53"/>
      <c r="F235" s="54"/>
    </row>
    <row r="236" ht="15.75" customHeight="1">
      <c r="A236" s="51"/>
      <c r="D236" s="53"/>
      <c r="F236" s="54"/>
    </row>
    <row r="237" ht="15.75" customHeight="1">
      <c r="A237" s="51"/>
      <c r="D237" s="53"/>
      <c r="F237" s="54"/>
    </row>
    <row r="238" ht="15.75" customHeight="1">
      <c r="A238" s="51"/>
      <c r="D238" s="53"/>
      <c r="F238" s="54"/>
    </row>
    <row r="239" ht="15.75" customHeight="1">
      <c r="A239" s="51"/>
      <c r="D239" s="53"/>
      <c r="F239" s="54"/>
    </row>
    <row r="240" ht="15.75" customHeight="1">
      <c r="A240" s="51"/>
      <c r="D240" s="53"/>
      <c r="F240" s="54"/>
    </row>
    <row r="241" ht="15.75" customHeight="1">
      <c r="A241" s="51"/>
      <c r="D241" s="53"/>
      <c r="F241" s="54"/>
    </row>
    <row r="242" ht="15.75" customHeight="1">
      <c r="A242" s="51"/>
      <c r="D242" s="53"/>
      <c r="F242" s="54"/>
    </row>
    <row r="243" ht="15.75" customHeight="1">
      <c r="A243" s="51"/>
      <c r="D243" s="53"/>
      <c r="F243" s="54"/>
    </row>
    <row r="244" ht="15.75" customHeight="1">
      <c r="A244" s="51"/>
      <c r="D244" s="53"/>
      <c r="F244" s="54"/>
    </row>
    <row r="245" ht="15.75" customHeight="1">
      <c r="A245" s="51"/>
      <c r="D245" s="53"/>
      <c r="F245" s="54"/>
    </row>
    <row r="246" ht="15.75" customHeight="1">
      <c r="A246" s="51"/>
      <c r="D246" s="53"/>
      <c r="F246" s="54"/>
    </row>
    <row r="247" ht="15.75" customHeight="1">
      <c r="A247" s="51"/>
      <c r="D247" s="53"/>
      <c r="F247" s="54"/>
    </row>
    <row r="248" ht="15.75" customHeight="1">
      <c r="A248" s="51"/>
      <c r="D248" s="53"/>
      <c r="F248" s="54"/>
    </row>
    <row r="249" ht="15.75" customHeight="1">
      <c r="A249" s="51"/>
      <c r="D249" s="53"/>
      <c r="F249" s="54"/>
    </row>
    <row r="250" ht="15.75" customHeight="1">
      <c r="A250" s="51"/>
      <c r="D250" s="53"/>
      <c r="F250" s="54"/>
    </row>
    <row r="251" ht="15.75" customHeight="1">
      <c r="A251" s="51"/>
      <c r="D251" s="53"/>
      <c r="F251" s="54"/>
    </row>
    <row r="252" ht="15.75" customHeight="1">
      <c r="A252" s="51"/>
      <c r="D252" s="53"/>
      <c r="F252" s="54"/>
    </row>
    <row r="253" ht="15.75" customHeight="1">
      <c r="A253" s="51"/>
      <c r="D253" s="53"/>
      <c r="F253" s="54"/>
    </row>
    <row r="254" ht="15.75" customHeight="1">
      <c r="A254" s="51"/>
      <c r="D254" s="53"/>
      <c r="F254" s="54"/>
    </row>
    <row r="255" ht="15.75" customHeight="1">
      <c r="A255" s="51"/>
      <c r="D255" s="53"/>
      <c r="F255" s="54"/>
    </row>
    <row r="256" ht="15.75" customHeight="1">
      <c r="A256" s="51"/>
      <c r="D256" s="53"/>
      <c r="F256" s="54"/>
    </row>
    <row r="257" ht="15.75" customHeight="1">
      <c r="A257" s="51"/>
      <c r="D257" s="53"/>
      <c r="F257" s="54"/>
    </row>
    <row r="258" ht="15.75" customHeight="1">
      <c r="A258" s="51"/>
      <c r="D258" s="53"/>
      <c r="F258" s="54"/>
    </row>
    <row r="259" ht="15.75" customHeight="1">
      <c r="A259" s="51"/>
      <c r="D259" s="53"/>
      <c r="F259" s="54"/>
    </row>
    <row r="260" ht="15.75" customHeight="1">
      <c r="A260" s="51"/>
      <c r="D260" s="53"/>
      <c r="F260" s="54"/>
    </row>
    <row r="261" ht="15.75" customHeight="1">
      <c r="A261" s="51"/>
      <c r="D261" s="53"/>
      <c r="F261" s="54"/>
    </row>
    <row r="262" ht="15.75" customHeight="1">
      <c r="A262" s="51"/>
      <c r="D262" s="53"/>
      <c r="F262" s="54"/>
    </row>
    <row r="263" ht="15.75" customHeight="1">
      <c r="A263" s="51"/>
      <c r="D263" s="53"/>
      <c r="F263" s="54"/>
    </row>
    <row r="264" ht="15.75" customHeight="1">
      <c r="A264" s="51"/>
      <c r="D264" s="53"/>
      <c r="F264" s="54"/>
    </row>
    <row r="265" ht="15.75" customHeight="1">
      <c r="A265" s="51"/>
      <c r="D265" s="53"/>
      <c r="F265" s="54"/>
    </row>
    <row r="266" ht="15.75" customHeight="1">
      <c r="A266" s="51"/>
      <c r="D266" s="53"/>
      <c r="F266" s="54"/>
    </row>
    <row r="267" ht="15.75" customHeight="1">
      <c r="A267" s="51"/>
      <c r="D267" s="53"/>
      <c r="F267" s="54"/>
    </row>
    <row r="268" ht="15.75" customHeight="1">
      <c r="A268" s="51"/>
      <c r="D268" s="53"/>
      <c r="F268" s="54"/>
    </row>
    <row r="269" ht="15.75" customHeight="1">
      <c r="A269" s="51"/>
      <c r="D269" s="53"/>
      <c r="F269" s="54"/>
    </row>
    <row r="270" ht="15.75" customHeight="1">
      <c r="A270" s="51"/>
      <c r="D270" s="53"/>
      <c r="F270" s="54"/>
    </row>
    <row r="271" ht="15.75" customHeight="1">
      <c r="A271" s="51"/>
      <c r="D271" s="53"/>
      <c r="F271" s="54"/>
    </row>
    <row r="272" ht="15.75" customHeight="1">
      <c r="A272" s="51"/>
      <c r="D272" s="53"/>
      <c r="F272" s="54"/>
    </row>
    <row r="273" ht="15.75" customHeight="1">
      <c r="A273" s="51"/>
      <c r="D273" s="53"/>
      <c r="F273" s="54"/>
    </row>
    <row r="274" ht="15.75" customHeight="1">
      <c r="A274" s="51"/>
      <c r="D274" s="53"/>
      <c r="F274" s="54"/>
    </row>
    <row r="275" ht="15.75" customHeight="1">
      <c r="A275" s="51"/>
      <c r="D275" s="53"/>
      <c r="F275" s="54"/>
    </row>
    <row r="276" ht="15.75" customHeight="1">
      <c r="A276" s="51"/>
      <c r="D276" s="53"/>
      <c r="F276" s="54"/>
    </row>
    <row r="277" ht="15.75" customHeight="1">
      <c r="A277" s="51"/>
      <c r="D277" s="53"/>
      <c r="F277" s="54"/>
    </row>
    <row r="278" ht="15.75" customHeight="1">
      <c r="A278" s="51"/>
      <c r="D278" s="53"/>
      <c r="F278" s="54"/>
    </row>
    <row r="279" ht="15.75" customHeight="1">
      <c r="A279" s="51"/>
      <c r="D279" s="53"/>
      <c r="F279" s="54"/>
    </row>
    <row r="280" ht="15.75" customHeight="1">
      <c r="A280" s="51"/>
      <c r="D280" s="53"/>
      <c r="F280" s="54"/>
    </row>
    <row r="281" ht="15.75" customHeight="1">
      <c r="A281" s="51"/>
      <c r="D281" s="53"/>
      <c r="F281" s="54"/>
    </row>
    <row r="282" ht="15.75" customHeight="1">
      <c r="A282" s="51"/>
      <c r="D282" s="53"/>
      <c r="F282" s="54"/>
    </row>
    <row r="283" ht="15.75" customHeight="1">
      <c r="A283" s="51"/>
      <c r="D283" s="53"/>
      <c r="F283" s="54"/>
    </row>
    <row r="284" ht="15.75" customHeight="1">
      <c r="A284" s="51"/>
      <c r="D284" s="53"/>
      <c r="F284" s="54"/>
    </row>
    <row r="285" ht="15.75" customHeight="1">
      <c r="A285" s="51"/>
      <c r="D285" s="53"/>
      <c r="F285" s="54"/>
    </row>
    <row r="286" ht="15.75" customHeight="1">
      <c r="A286" s="51"/>
      <c r="D286" s="53"/>
      <c r="F286" s="54"/>
    </row>
    <row r="287" ht="15.75" customHeight="1">
      <c r="A287" s="51"/>
      <c r="D287" s="53"/>
      <c r="F287" s="54"/>
    </row>
    <row r="288" ht="15.75" customHeight="1">
      <c r="A288" s="51"/>
      <c r="D288" s="53"/>
      <c r="F288" s="54"/>
    </row>
    <row r="289" ht="15.75" customHeight="1">
      <c r="A289" s="51"/>
      <c r="D289" s="53"/>
      <c r="F289" s="54"/>
    </row>
    <row r="290" ht="15.75" customHeight="1">
      <c r="A290" s="51"/>
      <c r="D290" s="53"/>
      <c r="F290" s="54"/>
    </row>
    <row r="291" ht="15.75" customHeight="1">
      <c r="A291" s="51"/>
      <c r="D291" s="53"/>
      <c r="F291" s="54"/>
    </row>
    <row r="292" ht="15.75" customHeight="1">
      <c r="A292" s="51"/>
      <c r="D292" s="53"/>
      <c r="F292" s="54"/>
    </row>
    <row r="293" ht="15.75" customHeight="1">
      <c r="A293" s="51"/>
      <c r="D293" s="53"/>
      <c r="F293" s="54"/>
    </row>
    <row r="294" ht="15.75" customHeight="1">
      <c r="A294" s="51"/>
      <c r="D294" s="53"/>
      <c r="F294" s="54"/>
    </row>
    <row r="295" ht="15.75" customHeight="1">
      <c r="A295" s="51"/>
      <c r="D295" s="53"/>
      <c r="F295" s="54"/>
    </row>
    <row r="296" ht="15.75" customHeight="1">
      <c r="A296" s="51"/>
      <c r="D296" s="53"/>
      <c r="F296" s="54"/>
    </row>
    <row r="297" ht="15.75" customHeight="1">
      <c r="A297" s="51"/>
      <c r="D297" s="53"/>
      <c r="F297" s="54"/>
    </row>
    <row r="298" ht="15.75" customHeight="1">
      <c r="A298" s="51"/>
      <c r="D298" s="53"/>
      <c r="F298" s="54"/>
    </row>
    <row r="299" ht="15.75" customHeight="1">
      <c r="A299" s="51"/>
      <c r="D299" s="53"/>
      <c r="F299" s="54"/>
    </row>
    <row r="300" ht="15.75" customHeight="1">
      <c r="A300" s="51"/>
      <c r="D300" s="53"/>
      <c r="F300" s="54"/>
    </row>
    <row r="301" ht="15.75" customHeight="1">
      <c r="A301" s="51"/>
      <c r="D301" s="53"/>
      <c r="F301" s="54"/>
    </row>
    <row r="302" ht="15.75" customHeight="1">
      <c r="A302" s="51"/>
      <c r="D302" s="53"/>
      <c r="F302" s="54"/>
    </row>
    <row r="303" ht="15.75" customHeight="1">
      <c r="A303" s="51"/>
      <c r="D303" s="53"/>
      <c r="F303" s="54"/>
    </row>
    <row r="304" ht="15.75" customHeight="1">
      <c r="A304" s="51"/>
      <c r="D304" s="53"/>
      <c r="F304" s="54"/>
    </row>
    <row r="305" ht="15.75" customHeight="1">
      <c r="A305" s="51"/>
      <c r="D305" s="53"/>
      <c r="F305" s="54"/>
    </row>
    <row r="306" ht="15.75" customHeight="1">
      <c r="A306" s="51"/>
      <c r="D306" s="53"/>
      <c r="F306" s="54"/>
    </row>
    <row r="307" ht="15.75" customHeight="1">
      <c r="A307" s="51"/>
      <c r="D307" s="53"/>
      <c r="F307" s="54"/>
    </row>
    <row r="308" ht="15.75" customHeight="1">
      <c r="A308" s="51"/>
      <c r="D308" s="53"/>
      <c r="F308" s="54"/>
    </row>
    <row r="309" ht="15.75" customHeight="1">
      <c r="A309" s="51"/>
      <c r="D309" s="53"/>
      <c r="F309" s="54"/>
    </row>
    <row r="310" ht="15.75" customHeight="1">
      <c r="A310" s="51"/>
      <c r="D310" s="53"/>
      <c r="F310" s="54"/>
    </row>
    <row r="311" ht="15.75" customHeight="1">
      <c r="A311" s="51"/>
      <c r="D311" s="53"/>
      <c r="F311" s="54"/>
    </row>
    <row r="312" ht="15.75" customHeight="1">
      <c r="A312" s="51"/>
      <c r="D312" s="53"/>
      <c r="F312" s="54"/>
    </row>
    <row r="313" ht="15.75" customHeight="1">
      <c r="A313" s="51"/>
      <c r="D313" s="53"/>
      <c r="F313" s="54"/>
    </row>
    <row r="314" ht="15.75" customHeight="1">
      <c r="A314" s="51"/>
      <c r="D314" s="53"/>
      <c r="F314" s="54"/>
    </row>
    <row r="315" ht="15.75" customHeight="1">
      <c r="A315" s="51"/>
      <c r="D315" s="53"/>
      <c r="F315" s="54"/>
    </row>
    <row r="316" ht="15.75" customHeight="1">
      <c r="A316" s="51"/>
      <c r="D316" s="53"/>
      <c r="F316" s="54"/>
    </row>
    <row r="317" ht="15.75" customHeight="1">
      <c r="A317" s="51"/>
      <c r="D317" s="53"/>
      <c r="F317" s="54"/>
    </row>
    <row r="318" ht="15.75" customHeight="1">
      <c r="A318" s="51"/>
      <c r="D318" s="53"/>
      <c r="F318" s="54"/>
    </row>
    <row r="319" ht="15.75" customHeight="1">
      <c r="A319" s="51"/>
      <c r="D319" s="53"/>
      <c r="F319" s="54"/>
    </row>
    <row r="320" ht="15.75" customHeight="1">
      <c r="A320" s="51"/>
      <c r="D320" s="53"/>
      <c r="F320" s="54"/>
    </row>
    <row r="321" ht="15.75" customHeight="1">
      <c r="A321" s="51"/>
      <c r="D321" s="53"/>
      <c r="F321" s="54"/>
    </row>
    <row r="322" ht="15.75" customHeight="1">
      <c r="A322" s="51"/>
      <c r="D322" s="53"/>
      <c r="F322" s="54"/>
    </row>
    <row r="323" ht="15.75" customHeight="1">
      <c r="A323" s="51"/>
      <c r="D323" s="53"/>
      <c r="F323" s="54"/>
    </row>
    <row r="324" ht="15.75" customHeight="1">
      <c r="A324" s="51"/>
      <c r="D324" s="53"/>
      <c r="F324" s="54"/>
    </row>
    <row r="325" ht="15.75" customHeight="1">
      <c r="A325" s="51"/>
      <c r="D325" s="53"/>
      <c r="F325" s="54"/>
    </row>
    <row r="326" ht="15.75" customHeight="1">
      <c r="A326" s="51"/>
      <c r="D326" s="53"/>
      <c r="F326" s="54"/>
    </row>
    <row r="327" ht="15.75" customHeight="1">
      <c r="A327" s="51"/>
      <c r="D327" s="53"/>
      <c r="F327" s="54"/>
    </row>
    <row r="328" ht="15.75" customHeight="1">
      <c r="A328" s="51"/>
      <c r="D328" s="53"/>
      <c r="F328" s="54"/>
    </row>
    <row r="329" ht="15.75" customHeight="1">
      <c r="A329" s="51"/>
      <c r="D329" s="53"/>
      <c r="F329" s="54"/>
    </row>
    <row r="330" ht="15.75" customHeight="1">
      <c r="A330" s="51"/>
      <c r="D330" s="53"/>
      <c r="F330" s="54"/>
    </row>
    <row r="331" ht="15.75" customHeight="1">
      <c r="A331" s="51"/>
      <c r="D331" s="53"/>
      <c r="F331" s="54"/>
    </row>
    <row r="332" ht="15.75" customHeight="1">
      <c r="A332" s="51"/>
      <c r="D332" s="53"/>
      <c r="F332" s="54"/>
    </row>
    <row r="333" ht="15.75" customHeight="1">
      <c r="A333" s="51"/>
      <c r="D333" s="53"/>
      <c r="F333" s="54"/>
    </row>
    <row r="334" ht="15.75" customHeight="1">
      <c r="A334" s="51"/>
      <c r="D334" s="53"/>
      <c r="F334" s="54"/>
    </row>
    <row r="335" ht="15.75" customHeight="1">
      <c r="A335" s="51"/>
      <c r="D335" s="53"/>
      <c r="F335" s="54"/>
    </row>
    <row r="336" ht="15.75" customHeight="1">
      <c r="A336" s="51"/>
      <c r="D336" s="53"/>
      <c r="F336" s="54"/>
    </row>
    <row r="337" ht="15.75" customHeight="1">
      <c r="A337" s="51"/>
      <c r="D337" s="53"/>
      <c r="F337" s="54"/>
    </row>
    <row r="338" ht="15.75" customHeight="1">
      <c r="A338" s="51"/>
      <c r="D338" s="53"/>
      <c r="F338" s="54"/>
    </row>
    <row r="339" ht="15.75" customHeight="1">
      <c r="A339" s="51"/>
      <c r="D339" s="53"/>
      <c r="F339" s="54"/>
    </row>
    <row r="340" ht="15.75" customHeight="1">
      <c r="A340" s="51"/>
      <c r="D340" s="53"/>
      <c r="F340" s="54"/>
    </row>
    <row r="341" ht="15.75" customHeight="1">
      <c r="A341" s="51"/>
      <c r="D341" s="53"/>
      <c r="F341" s="54"/>
    </row>
    <row r="342" ht="15.75" customHeight="1">
      <c r="A342" s="51"/>
      <c r="D342" s="53"/>
      <c r="F342" s="54"/>
    </row>
    <row r="343" ht="15.75" customHeight="1">
      <c r="A343" s="51"/>
      <c r="D343" s="53"/>
      <c r="F343" s="54"/>
    </row>
    <row r="344" ht="15.75" customHeight="1">
      <c r="A344" s="51"/>
      <c r="D344" s="53"/>
      <c r="F344" s="54"/>
    </row>
    <row r="345" ht="15.75" customHeight="1">
      <c r="A345" s="51"/>
      <c r="D345" s="53"/>
      <c r="F345" s="54"/>
    </row>
    <row r="346" ht="15.75" customHeight="1">
      <c r="A346" s="51"/>
      <c r="D346" s="53"/>
      <c r="F346" s="54"/>
    </row>
    <row r="347" ht="15.75" customHeight="1">
      <c r="A347" s="51"/>
      <c r="D347" s="53"/>
      <c r="F347" s="54"/>
    </row>
    <row r="348" ht="15.75" customHeight="1">
      <c r="A348" s="51"/>
      <c r="D348" s="53"/>
      <c r="F348" s="54"/>
    </row>
    <row r="349" ht="15.75" customHeight="1">
      <c r="A349" s="51"/>
      <c r="D349" s="53"/>
      <c r="F349" s="54"/>
    </row>
    <row r="350" ht="15.75" customHeight="1">
      <c r="A350" s="51"/>
      <c r="D350" s="53"/>
      <c r="F350" s="54"/>
    </row>
    <row r="351" ht="15.75" customHeight="1">
      <c r="A351" s="51"/>
      <c r="D351" s="53"/>
      <c r="F351" s="54"/>
    </row>
    <row r="352" ht="15.75" customHeight="1">
      <c r="A352" s="51"/>
      <c r="D352" s="53"/>
      <c r="F352" s="54"/>
    </row>
    <row r="353" ht="15.75" customHeight="1">
      <c r="A353" s="51"/>
      <c r="D353" s="53"/>
      <c r="F353" s="54"/>
    </row>
    <row r="354" ht="15.75" customHeight="1">
      <c r="A354" s="51"/>
      <c r="D354" s="53"/>
      <c r="F354" s="54"/>
    </row>
    <row r="355" ht="15.75" customHeight="1">
      <c r="A355" s="51"/>
      <c r="D355" s="53"/>
      <c r="F355" s="54"/>
    </row>
    <row r="356" ht="15.75" customHeight="1">
      <c r="A356" s="51"/>
      <c r="D356" s="53"/>
      <c r="F356" s="54"/>
    </row>
    <row r="357" ht="15.75" customHeight="1">
      <c r="A357" s="51"/>
      <c r="D357" s="53"/>
      <c r="F357" s="54"/>
    </row>
    <row r="358" ht="15.75" customHeight="1">
      <c r="A358" s="51"/>
      <c r="D358" s="53"/>
      <c r="F358" s="54"/>
    </row>
    <row r="359" ht="15.75" customHeight="1">
      <c r="A359" s="51"/>
      <c r="D359" s="53"/>
      <c r="F359" s="54"/>
    </row>
    <row r="360" ht="15.75" customHeight="1">
      <c r="A360" s="51"/>
      <c r="D360" s="53"/>
      <c r="F360" s="54"/>
    </row>
    <row r="361" ht="15.75" customHeight="1">
      <c r="A361" s="51"/>
      <c r="D361" s="53"/>
      <c r="F361" s="54"/>
    </row>
    <row r="362" ht="15.75" customHeight="1">
      <c r="A362" s="51"/>
      <c r="D362" s="53"/>
      <c r="F362" s="54"/>
    </row>
    <row r="363" ht="15.75" customHeight="1">
      <c r="A363" s="51"/>
      <c r="D363" s="53"/>
      <c r="F363" s="54"/>
    </row>
    <row r="364" ht="15.75" customHeight="1">
      <c r="A364" s="51"/>
      <c r="D364" s="53"/>
      <c r="F364" s="54"/>
    </row>
    <row r="365" ht="15.75" customHeight="1">
      <c r="A365" s="51"/>
      <c r="D365" s="53"/>
      <c r="F365" s="54"/>
    </row>
    <row r="366" ht="15.75" customHeight="1">
      <c r="A366" s="51"/>
      <c r="D366" s="53"/>
      <c r="F366" s="54"/>
    </row>
    <row r="367" ht="15.75" customHeight="1">
      <c r="A367" s="51"/>
      <c r="D367" s="53"/>
      <c r="F367" s="54"/>
    </row>
    <row r="368" ht="15.75" customHeight="1">
      <c r="A368" s="51"/>
      <c r="D368" s="53"/>
      <c r="F368" s="54"/>
    </row>
    <row r="369" ht="15.75" customHeight="1">
      <c r="A369" s="51"/>
      <c r="D369" s="53"/>
      <c r="F369" s="54"/>
    </row>
    <row r="370" ht="15.75" customHeight="1">
      <c r="A370" s="51"/>
      <c r="D370" s="53"/>
      <c r="F370" s="54"/>
    </row>
    <row r="371" ht="15.75" customHeight="1">
      <c r="A371" s="51"/>
      <c r="D371" s="53"/>
      <c r="F371" s="54"/>
    </row>
    <row r="372" ht="15.75" customHeight="1">
      <c r="A372" s="51"/>
      <c r="D372" s="53"/>
      <c r="F372" s="54"/>
    </row>
    <row r="373" ht="15.75" customHeight="1">
      <c r="A373" s="51"/>
      <c r="D373" s="53"/>
      <c r="F373" s="54"/>
    </row>
    <row r="374" ht="15.75" customHeight="1">
      <c r="A374" s="51"/>
      <c r="D374" s="53"/>
      <c r="F374" s="54"/>
    </row>
    <row r="375" ht="15.75" customHeight="1">
      <c r="A375" s="51"/>
      <c r="D375" s="53"/>
      <c r="F375" s="54"/>
    </row>
    <row r="376" ht="15.75" customHeight="1">
      <c r="A376" s="51"/>
      <c r="D376" s="53"/>
      <c r="F376" s="54"/>
    </row>
    <row r="377" ht="15.75" customHeight="1">
      <c r="A377" s="51"/>
      <c r="D377" s="53"/>
      <c r="F377" s="54"/>
    </row>
    <row r="378" ht="15.75" customHeight="1">
      <c r="A378" s="51"/>
      <c r="D378" s="53"/>
      <c r="F378" s="54"/>
    </row>
    <row r="379" ht="15.75" customHeight="1">
      <c r="A379" s="51"/>
      <c r="D379" s="53"/>
      <c r="F379" s="54"/>
    </row>
    <row r="380" ht="15.75" customHeight="1">
      <c r="A380" s="51"/>
      <c r="D380" s="53"/>
      <c r="F380" s="54"/>
    </row>
    <row r="381" ht="15.75" customHeight="1">
      <c r="A381" s="51"/>
      <c r="D381" s="53"/>
      <c r="F381" s="54"/>
    </row>
    <row r="382" ht="15.75" customHeight="1">
      <c r="A382" s="51"/>
      <c r="D382" s="53"/>
      <c r="F382" s="54"/>
    </row>
    <row r="383" ht="15.75" customHeight="1">
      <c r="A383" s="51"/>
      <c r="D383" s="53"/>
      <c r="F383" s="54"/>
    </row>
    <row r="384" ht="15.75" customHeight="1">
      <c r="A384" s="51"/>
      <c r="D384" s="53"/>
      <c r="F384" s="54"/>
    </row>
    <row r="385" ht="15.75" customHeight="1">
      <c r="A385" s="51"/>
      <c r="D385" s="53"/>
      <c r="F385" s="54"/>
    </row>
    <row r="386" ht="15.75" customHeight="1">
      <c r="A386" s="51"/>
      <c r="D386" s="53"/>
      <c r="F386" s="54"/>
    </row>
    <row r="387" ht="15.75" customHeight="1">
      <c r="A387" s="51"/>
      <c r="D387" s="53"/>
      <c r="F387" s="54"/>
    </row>
    <row r="388" ht="15.75" customHeight="1">
      <c r="A388" s="51"/>
      <c r="D388" s="53"/>
      <c r="F388" s="54"/>
    </row>
    <row r="389" ht="15.75" customHeight="1">
      <c r="A389" s="51"/>
      <c r="D389" s="53"/>
      <c r="F389" s="54"/>
    </row>
    <row r="390" ht="15.75" customHeight="1">
      <c r="A390" s="51"/>
      <c r="D390" s="53"/>
      <c r="F390" s="54"/>
    </row>
    <row r="391" ht="15.75" customHeight="1">
      <c r="A391" s="51"/>
      <c r="D391" s="53"/>
      <c r="F391" s="54"/>
    </row>
    <row r="392" ht="15.75" customHeight="1">
      <c r="A392" s="51"/>
      <c r="D392" s="53"/>
      <c r="F392" s="54"/>
    </row>
    <row r="393" ht="15.75" customHeight="1">
      <c r="A393" s="51"/>
      <c r="D393" s="53"/>
      <c r="F393" s="54"/>
    </row>
    <row r="394" ht="15.75" customHeight="1">
      <c r="A394" s="51"/>
      <c r="D394" s="53"/>
      <c r="F394" s="54"/>
    </row>
    <row r="395" ht="15.75" customHeight="1">
      <c r="A395" s="51"/>
      <c r="D395" s="53"/>
      <c r="F395" s="54"/>
    </row>
    <row r="396" ht="15.75" customHeight="1">
      <c r="A396" s="51"/>
      <c r="D396" s="53"/>
      <c r="F396" s="54"/>
    </row>
    <row r="397" ht="15.75" customHeight="1">
      <c r="A397" s="51"/>
      <c r="D397" s="53"/>
      <c r="F397" s="54"/>
    </row>
    <row r="398" ht="15.75" customHeight="1">
      <c r="A398" s="51"/>
      <c r="D398" s="53"/>
      <c r="F398" s="54"/>
    </row>
    <row r="399" ht="15.75" customHeight="1">
      <c r="A399" s="51"/>
      <c r="D399" s="53"/>
      <c r="F399" s="54"/>
    </row>
    <row r="400" ht="15.75" customHeight="1">
      <c r="A400" s="51"/>
      <c r="D400" s="53"/>
      <c r="F400" s="54"/>
    </row>
    <row r="401" ht="15.75" customHeight="1">
      <c r="A401" s="51"/>
      <c r="D401" s="53"/>
      <c r="F401" s="54"/>
    </row>
    <row r="402" ht="15.75" customHeight="1">
      <c r="A402" s="51"/>
      <c r="D402" s="53"/>
      <c r="F402" s="54"/>
    </row>
    <row r="403" ht="15.75" customHeight="1">
      <c r="A403" s="51"/>
      <c r="D403" s="53"/>
      <c r="F403" s="54"/>
    </row>
    <row r="404" ht="15.75" customHeight="1">
      <c r="A404" s="51"/>
      <c r="D404" s="53"/>
      <c r="F404" s="54"/>
    </row>
    <row r="405" ht="15.75" customHeight="1">
      <c r="A405" s="51"/>
      <c r="D405" s="53"/>
      <c r="F405" s="54"/>
    </row>
    <row r="406" ht="15.75" customHeight="1">
      <c r="A406" s="51"/>
      <c r="D406" s="53"/>
      <c r="F406" s="54"/>
    </row>
    <row r="407" ht="15.75" customHeight="1">
      <c r="A407" s="51"/>
      <c r="D407" s="53"/>
      <c r="F407" s="54"/>
    </row>
    <row r="408" ht="15.75" customHeight="1">
      <c r="A408" s="51"/>
      <c r="D408" s="53"/>
      <c r="F408" s="54"/>
    </row>
    <row r="409" ht="15.75" customHeight="1">
      <c r="A409" s="51"/>
      <c r="D409" s="53"/>
      <c r="F409" s="54"/>
    </row>
    <row r="410" ht="15.75" customHeight="1">
      <c r="A410" s="51"/>
      <c r="D410" s="53"/>
      <c r="F410" s="54"/>
    </row>
    <row r="411" ht="15.75" customHeight="1">
      <c r="A411" s="51"/>
      <c r="D411" s="53"/>
      <c r="F411" s="54"/>
    </row>
    <row r="412" ht="15.75" customHeight="1">
      <c r="A412" s="51"/>
      <c r="D412" s="53"/>
      <c r="F412" s="54"/>
    </row>
    <row r="413" ht="15.75" customHeight="1">
      <c r="A413" s="51"/>
      <c r="D413" s="53"/>
      <c r="F413" s="54"/>
    </row>
    <row r="414" ht="15.75" customHeight="1">
      <c r="A414" s="51"/>
      <c r="D414" s="53"/>
      <c r="F414" s="54"/>
    </row>
    <row r="415" ht="15.75" customHeight="1">
      <c r="A415" s="51"/>
      <c r="D415" s="53"/>
      <c r="F415" s="54"/>
    </row>
    <row r="416" ht="15.75" customHeight="1">
      <c r="A416" s="51"/>
      <c r="D416" s="53"/>
      <c r="F416" s="54"/>
    </row>
    <row r="417" ht="15.75" customHeight="1">
      <c r="A417" s="51"/>
      <c r="D417" s="53"/>
      <c r="F417" s="54"/>
    </row>
    <row r="418" ht="15.75" customHeight="1">
      <c r="A418" s="51"/>
      <c r="D418" s="53"/>
      <c r="F418" s="54"/>
    </row>
    <row r="419" ht="15.75" customHeight="1">
      <c r="A419" s="51"/>
      <c r="D419" s="53"/>
      <c r="F419" s="54"/>
    </row>
    <row r="420" ht="15.75" customHeight="1">
      <c r="A420" s="51"/>
      <c r="D420" s="53"/>
      <c r="F420" s="54"/>
    </row>
    <row r="421" ht="15.75" customHeight="1">
      <c r="A421" s="51"/>
      <c r="D421" s="53"/>
      <c r="F421" s="54"/>
    </row>
    <row r="422" ht="15.75" customHeight="1">
      <c r="A422" s="51"/>
      <c r="D422" s="53"/>
      <c r="F422" s="54"/>
    </row>
    <row r="423" ht="15.75" customHeight="1">
      <c r="A423" s="51"/>
      <c r="D423" s="53"/>
      <c r="F423" s="54"/>
    </row>
    <row r="424" ht="15.75" customHeight="1">
      <c r="A424" s="51"/>
      <c r="D424" s="53"/>
      <c r="F424" s="54"/>
    </row>
    <row r="425" ht="15.75" customHeight="1">
      <c r="A425" s="51"/>
      <c r="D425" s="53"/>
      <c r="F425" s="54"/>
    </row>
    <row r="426" ht="15.75" customHeight="1">
      <c r="A426" s="51"/>
      <c r="D426" s="53"/>
      <c r="F426" s="54"/>
    </row>
    <row r="427" ht="15.75" customHeight="1">
      <c r="A427" s="51"/>
      <c r="D427" s="53"/>
      <c r="F427" s="54"/>
    </row>
    <row r="428" ht="15.75" customHeight="1">
      <c r="A428" s="51"/>
      <c r="D428" s="53"/>
      <c r="F428" s="54"/>
    </row>
    <row r="429" ht="15.75" customHeight="1">
      <c r="A429" s="51"/>
      <c r="D429" s="53"/>
      <c r="F429" s="54"/>
    </row>
    <row r="430" ht="15.75" customHeight="1">
      <c r="A430" s="51"/>
      <c r="D430" s="53"/>
      <c r="F430" s="54"/>
    </row>
    <row r="431" ht="15.75" customHeight="1">
      <c r="A431" s="51"/>
      <c r="D431" s="53"/>
      <c r="F431" s="54"/>
    </row>
    <row r="432" ht="15.75" customHeight="1">
      <c r="A432" s="51"/>
      <c r="D432" s="53"/>
      <c r="F432" s="54"/>
    </row>
    <row r="433" ht="15.75" customHeight="1">
      <c r="A433" s="51"/>
      <c r="D433" s="53"/>
      <c r="F433" s="54"/>
    </row>
    <row r="434" ht="15.75" customHeight="1">
      <c r="A434" s="51"/>
      <c r="D434" s="53"/>
      <c r="F434" s="54"/>
    </row>
    <row r="435" ht="15.75" customHeight="1">
      <c r="A435" s="51"/>
      <c r="D435" s="53"/>
      <c r="F435" s="54"/>
    </row>
    <row r="436" ht="15.75" customHeight="1">
      <c r="A436" s="51"/>
      <c r="D436" s="53"/>
      <c r="F436" s="54"/>
    </row>
    <row r="437" ht="15.75" customHeight="1">
      <c r="A437" s="51"/>
      <c r="D437" s="53"/>
      <c r="F437" s="54"/>
    </row>
    <row r="438" ht="15.75" customHeight="1">
      <c r="A438" s="51"/>
      <c r="D438" s="53"/>
      <c r="F438" s="54"/>
    </row>
    <row r="439" ht="15.75" customHeight="1">
      <c r="A439" s="51"/>
      <c r="D439" s="53"/>
      <c r="F439" s="54"/>
    </row>
    <row r="440" ht="15.75" customHeight="1">
      <c r="A440" s="51"/>
      <c r="D440" s="53"/>
      <c r="F440" s="54"/>
    </row>
    <row r="441" ht="15.75" customHeight="1">
      <c r="A441" s="51"/>
      <c r="D441" s="53"/>
      <c r="F441" s="54"/>
    </row>
    <row r="442" ht="15.75" customHeight="1">
      <c r="A442" s="51"/>
      <c r="D442" s="53"/>
      <c r="F442" s="54"/>
    </row>
    <row r="443" ht="15.75" customHeight="1">
      <c r="A443" s="51"/>
      <c r="D443" s="53"/>
      <c r="F443" s="54"/>
    </row>
    <row r="444" ht="15.75" customHeight="1">
      <c r="A444" s="51"/>
      <c r="D444" s="53"/>
      <c r="F444" s="54"/>
    </row>
    <row r="445" ht="15.75" customHeight="1">
      <c r="A445" s="51"/>
      <c r="D445" s="53"/>
      <c r="F445" s="54"/>
    </row>
    <row r="446" ht="15.75" customHeight="1">
      <c r="A446" s="51"/>
      <c r="D446" s="53"/>
      <c r="F446" s="54"/>
    </row>
    <row r="447" ht="15.75" customHeight="1">
      <c r="A447" s="51"/>
      <c r="D447" s="53"/>
      <c r="F447" s="54"/>
    </row>
    <row r="448" ht="15.75" customHeight="1">
      <c r="A448" s="51"/>
      <c r="D448" s="53"/>
      <c r="F448" s="54"/>
    </row>
    <row r="449" ht="15.75" customHeight="1">
      <c r="A449" s="51"/>
      <c r="D449" s="53"/>
      <c r="F449" s="54"/>
    </row>
    <row r="450" ht="15.75" customHeight="1">
      <c r="A450" s="51"/>
      <c r="D450" s="53"/>
      <c r="F450" s="54"/>
    </row>
    <row r="451" ht="15.75" customHeight="1">
      <c r="A451" s="51"/>
      <c r="D451" s="53"/>
      <c r="F451" s="54"/>
    </row>
    <row r="452" ht="15.75" customHeight="1">
      <c r="A452" s="51"/>
      <c r="D452" s="53"/>
      <c r="F452" s="54"/>
    </row>
    <row r="453" ht="15.75" customHeight="1">
      <c r="A453" s="51"/>
      <c r="D453" s="53"/>
      <c r="F453" s="54"/>
    </row>
    <row r="454" ht="15.75" customHeight="1">
      <c r="A454" s="51"/>
      <c r="D454" s="53"/>
      <c r="F454" s="54"/>
    </row>
    <row r="455" ht="15.75" customHeight="1">
      <c r="A455" s="51"/>
      <c r="D455" s="53"/>
      <c r="F455" s="54"/>
    </row>
    <row r="456" ht="15.75" customHeight="1">
      <c r="A456" s="51"/>
      <c r="D456" s="53"/>
      <c r="F456" s="54"/>
    </row>
    <row r="457" ht="15.75" customHeight="1">
      <c r="A457" s="51"/>
      <c r="D457" s="53"/>
      <c r="F457" s="54"/>
    </row>
    <row r="458" ht="15.75" customHeight="1">
      <c r="A458" s="51"/>
      <c r="D458" s="53"/>
      <c r="F458" s="54"/>
    </row>
    <row r="459" ht="15.75" customHeight="1">
      <c r="A459" s="51"/>
      <c r="D459" s="53"/>
      <c r="F459" s="54"/>
    </row>
    <row r="460" ht="15.75" customHeight="1">
      <c r="A460" s="51"/>
      <c r="D460" s="53"/>
      <c r="F460" s="54"/>
    </row>
    <row r="461" ht="15.75" customHeight="1">
      <c r="A461" s="51"/>
      <c r="D461" s="53"/>
      <c r="F461" s="54"/>
    </row>
    <row r="462" ht="15.75" customHeight="1">
      <c r="A462" s="51"/>
      <c r="D462" s="53"/>
      <c r="F462" s="54"/>
    </row>
    <row r="463" ht="15.75" customHeight="1">
      <c r="A463" s="51"/>
      <c r="D463" s="53"/>
      <c r="F463" s="54"/>
    </row>
    <row r="464" ht="15.75" customHeight="1">
      <c r="A464" s="51"/>
      <c r="D464" s="53"/>
      <c r="F464" s="54"/>
    </row>
    <row r="465" ht="15.75" customHeight="1">
      <c r="A465" s="51"/>
      <c r="D465" s="53"/>
      <c r="F465" s="54"/>
    </row>
    <row r="466" ht="15.75" customHeight="1">
      <c r="A466" s="51"/>
      <c r="D466" s="53"/>
      <c r="F466" s="54"/>
    </row>
    <row r="467" ht="15.75" customHeight="1">
      <c r="A467" s="51"/>
      <c r="D467" s="53"/>
      <c r="F467" s="54"/>
    </row>
    <row r="468" ht="15.75" customHeight="1">
      <c r="A468" s="51"/>
      <c r="D468" s="53"/>
      <c r="F468" s="54"/>
    </row>
    <row r="469" ht="15.75" customHeight="1">
      <c r="A469" s="51"/>
      <c r="D469" s="53"/>
      <c r="F469" s="54"/>
    </row>
    <row r="470" ht="15.75" customHeight="1">
      <c r="A470" s="51"/>
      <c r="D470" s="53"/>
      <c r="F470" s="54"/>
    </row>
    <row r="471" ht="15.75" customHeight="1">
      <c r="A471" s="51"/>
      <c r="D471" s="53"/>
      <c r="F471" s="54"/>
    </row>
    <row r="472" ht="15.75" customHeight="1">
      <c r="A472" s="51"/>
      <c r="D472" s="53"/>
      <c r="F472" s="54"/>
    </row>
    <row r="473" ht="15.75" customHeight="1">
      <c r="A473" s="51"/>
      <c r="D473" s="53"/>
      <c r="F473" s="54"/>
    </row>
    <row r="474" ht="15.75" customHeight="1">
      <c r="A474" s="51"/>
      <c r="D474" s="53"/>
      <c r="F474" s="54"/>
    </row>
    <row r="475" ht="15.75" customHeight="1">
      <c r="A475" s="51"/>
      <c r="D475" s="53"/>
      <c r="F475" s="54"/>
    </row>
    <row r="476" ht="15.75" customHeight="1">
      <c r="A476" s="51"/>
      <c r="D476" s="53"/>
      <c r="F476" s="54"/>
    </row>
    <row r="477" ht="15.75" customHeight="1">
      <c r="A477" s="51"/>
      <c r="D477" s="53"/>
      <c r="F477" s="54"/>
    </row>
    <row r="478" ht="15.75" customHeight="1">
      <c r="A478" s="51"/>
      <c r="D478" s="53"/>
      <c r="F478" s="54"/>
    </row>
    <row r="479" ht="15.75" customHeight="1">
      <c r="A479" s="51"/>
      <c r="D479" s="53"/>
      <c r="F479" s="54"/>
    </row>
    <row r="480" ht="15.75" customHeight="1">
      <c r="A480" s="51"/>
      <c r="D480" s="53"/>
      <c r="F480" s="54"/>
    </row>
    <row r="481" ht="15.75" customHeight="1">
      <c r="A481" s="51"/>
      <c r="D481" s="53"/>
      <c r="F481" s="54"/>
    </row>
    <row r="482" ht="15.75" customHeight="1">
      <c r="A482" s="51"/>
      <c r="D482" s="53"/>
      <c r="F482" s="54"/>
    </row>
    <row r="483" ht="15.75" customHeight="1">
      <c r="A483" s="51"/>
      <c r="D483" s="53"/>
      <c r="F483" s="54"/>
    </row>
    <row r="484" ht="15.75" customHeight="1">
      <c r="A484" s="51"/>
      <c r="D484" s="53"/>
      <c r="F484" s="54"/>
    </row>
    <row r="485" ht="15.75" customHeight="1">
      <c r="A485" s="51"/>
      <c r="D485" s="53"/>
      <c r="F485" s="54"/>
    </row>
    <row r="486" ht="15.75" customHeight="1">
      <c r="A486" s="51"/>
      <c r="D486" s="53"/>
      <c r="F486" s="54"/>
    </row>
    <row r="487" ht="15.75" customHeight="1">
      <c r="A487" s="51"/>
      <c r="D487" s="53"/>
      <c r="F487" s="54"/>
    </row>
    <row r="488" ht="15.75" customHeight="1">
      <c r="A488" s="51"/>
      <c r="D488" s="53"/>
      <c r="F488" s="54"/>
    </row>
    <row r="489" ht="15.75" customHeight="1">
      <c r="A489" s="51"/>
      <c r="D489" s="53"/>
      <c r="F489" s="54"/>
    </row>
    <row r="490" ht="15.75" customHeight="1">
      <c r="A490" s="51"/>
      <c r="D490" s="53"/>
      <c r="F490" s="54"/>
    </row>
    <row r="491" ht="15.75" customHeight="1">
      <c r="A491" s="51"/>
      <c r="D491" s="53"/>
      <c r="F491" s="54"/>
    </row>
    <row r="492" ht="15.75" customHeight="1">
      <c r="A492" s="51"/>
      <c r="D492" s="53"/>
      <c r="F492" s="54"/>
    </row>
    <row r="493" ht="15.75" customHeight="1">
      <c r="A493" s="51"/>
      <c r="D493" s="53"/>
      <c r="F493" s="54"/>
    </row>
    <row r="494" ht="15.75" customHeight="1">
      <c r="A494" s="51"/>
      <c r="D494" s="53"/>
      <c r="F494" s="54"/>
    </row>
    <row r="495" ht="15.75" customHeight="1">
      <c r="A495" s="51"/>
      <c r="D495" s="53"/>
      <c r="F495" s="54"/>
    </row>
    <row r="496" ht="15.75" customHeight="1">
      <c r="A496" s="51"/>
      <c r="D496" s="53"/>
      <c r="F496" s="54"/>
    </row>
    <row r="497" ht="15.75" customHeight="1">
      <c r="A497" s="51"/>
      <c r="D497" s="53"/>
      <c r="F497" s="54"/>
    </row>
    <row r="498" ht="15.75" customHeight="1">
      <c r="A498" s="51"/>
      <c r="D498" s="53"/>
      <c r="F498" s="54"/>
    </row>
    <row r="499" ht="15.75" customHeight="1">
      <c r="A499" s="51"/>
      <c r="D499" s="53"/>
      <c r="F499" s="54"/>
    </row>
    <row r="500" ht="15.75" customHeight="1">
      <c r="A500" s="51"/>
      <c r="D500" s="53"/>
      <c r="F500" s="54"/>
    </row>
    <row r="501" ht="15.75" customHeight="1">
      <c r="A501" s="51"/>
      <c r="D501" s="53"/>
      <c r="F501" s="54"/>
    </row>
    <row r="502" ht="15.75" customHeight="1">
      <c r="A502" s="51"/>
      <c r="D502" s="53"/>
      <c r="F502" s="54"/>
    </row>
    <row r="503" ht="15.75" customHeight="1">
      <c r="A503" s="51"/>
      <c r="D503" s="53"/>
      <c r="F503" s="54"/>
    </row>
    <row r="504" ht="15.75" customHeight="1">
      <c r="A504" s="51"/>
      <c r="D504" s="53"/>
      <c r="F504" s="54"/>
    </row>
    <row r="505" ht="15.75" customHeight="1">
      <c r="A505" s="51"/>
      <c r="D505" s="53"/>
      <c r="F505" s="54"/>
    </row>
    <row r="506" ht="15.75" customHeight="1">
      <c r="A506" s="51"/>
      <c r="D506" s="53"/>
      <c r="F506" s="54"/>
    </row>
    <row r="507" ht="15.75" customHeight="1">
      <c r="A507" s="51"/>
      <c r="D507" s="53"/>
      <c r="F507" s="54"/>
    </row>
    <row r="508" ht="15.75" customHeight="1">
      <c r="A508" s="51"/>
      <c r="D508" s="53"/>
      <c r="F508" s="54"/>
    </row>
    <row r="509" ht="15.75" customHeight="1">
      <c r="A509" s="51"/>
      <c r="D509" s="53"/>
      <c r="F509" s="54"/>
    </row>
    <row r="510" ht="15.75" customHeight="1">
      <c r="A510" s="51"/>
      <c r="D510" s="53"/>
      <c r="F510" s="54"/>
    </row>
    <row r="511" ht="15.75" customHeight="1">
      <c r="A511" s="51"/>
      <c r="D511" s="53"/>
      <c r="F511" s="54"/>
    </row>
    <row r="512" ht="15.75" customHeight="1">
      <c r="A512" s="51"/>
      <c r="D512" s="53"/>
      <c r="F512" s="54"/>
    </row>
    <row r="513" ht="15.75" customHeight="1">
      <c r="A513" s="51"/>
      <c r="D513" s="53"/>
      <c r="F513" s="54"/>
    </row>
    <row r="514" ht="15.75" customHeight="1">
      <c r="A514" s="51"/>
      <c r="D514" s="53"/>
      <c r="F514" s="54"/>
    </row>
    <row r="515" ht="15.75" customHeight="1">
      <c r="A515" s="51"/>
      <c r="D515" s="53"/>
      <c r="F515" s="54"/>
    </row>
    <row r="516" ht="15.75" customHeight="1">
      <c r="A516" s="51"/>
      <c r="D516" s="53"/>
      <c r="F516" s="54"/>
    </row>
    <row r="517" ht="15.75" customHeight="1">
      <c r="A517" s="51"/>
      <c r="D517" s="53"/>
      <c r="F517" s="54"/>
    </row>
    <row r="518" ht="15.75" customHeight="1">
      <c r="A518" s="51"/>
      <c r="D518" s="53"/>
      <c r="F518" s="54"/>
    </row>
    <row r="519" ht="15.75" customHeight="1">
      <c r="A519" s="51"/>
      <c r="D519" s="53"/>
      <c r="F519" s="54"/>
    </row>
    <row r="520" ht="15.75" customHeight="1">
      <c r="A520" s="51"/>
      <c r="D520" s="53"/>
      <c r="F520" s="54"/>
    </row>
    <row r="521" ht="15.75" customHeight="1">
      <c r="A521" s="51"/>
      <c r="D521" s="53"/>
      <c r="F521" s="54"/>
    </row>
    <row r="522" ht="15.75" customHeight="1">
      <c r="A522" s="51"/>
      <c r="D522" s="53"/>
      <c r="F522" s="54"/>
    </row>
    <row r="523" ht="15.75" customHeight="1">
      <c r="A523" s="51"/>
      <c r="D523" s="53"/>
      <c r="F523" s="54"/>
    </row>
    <row r="524" ht="15.75" customHeight="1">
      <c r="A524" s="51"/>
      <c r="D524" s="53"/>
      <c r="F524" s="54"/>
    </row>
    <row r="525" ht="15.75" customHeight="1">
      <c r="A525" s="51"/>
      <c r="D525" s="53"/>
      <c r="F525" s="54"/>
    </row>
    <row r="526" ht="15.75" customHeight="1">
      <c r="A526" s="51"/>
      <c r="D526" s="53"/>
      <c r="F526" s="54"/>
    </row>
    <row r="527" ht="15.75" customHeight="1">
      <c r="A527" s="51"/>
      <c r="D527" s="53"/>
      <c r="F527" s="54"/>
    </row>
    <row r="528" ht="15.75" customHeight="1">
      <c r="A528" s="51"/>
      <c r="D528" s="53"/>
      <c r="F528" s="54"/>
    </row>
    <row r="529" ht="15.75" customHeight="1">
      <c r="A529" s="51"/>
      <c r="D529" s="53"/>
      <c r="F529" s="54"/>
    </row>
    <row r="530" ht="15.75" customHeight="1">
      <c r="A530" s="51"/>
      <c r="D530" s="53"/>
      <c r="F530" s="54"/>
    </row>
    <row r="531" ht="15.75" customHeight="1">
      <c r="A531" s="51"/>
      <c r="D531" s="53"/>
      <c r="F531" s="54"/>
    </row>
    <row r="532" ht="15.75" customHeight="1">
      <c r="A532" s="51"/>
      <c r="D532" s="53"/>
      <c r="F532" s="54"/>
    </row>
    <row r="533" ht="15.75" customHeight="1">
      <c r="A533" s="51"/>
      <c r="D533" s="53"/>
      <c r="F533" s="54"/>
    </row>
    <row r="534" ht="15.75" customHeight="1">
      <c r="A534" s="51"/>
      <c r="D534" s="53"/>
      <c r="F534" s="54"/>
    </row>
    <row r="535" ht="15.75" customHeight="1">
      <c r="A535" s="51"/>
      <c r="D535" s="53"/>
      <c r="F535" s="54"/>
    </row>
    <row r="536" ht="15.75" customHeight="1">
      <c r="A536" s="51"/>
      <c r="D536" s="53"/>
      <c r="F536" s="54"/>
    </row>
    <row r="537" ht="15.75" customHeight="1">
      <c r="A537" s="51"/>
      <c r="D537" s="53"/>
      <c r="F537" s="54"/>
    </row>
    <row r="538" ht="15.75" customHeight="1">
      <c r="A538" s="51"/>
      <c r="D538" s="53"/>
      <c r="F538" s="54"/>
    </row>
    <row r="539" ht="15.75" customHeight="1">
      <c r="A539" s="51"/>
      <c r="D539" s="53"/>
      <c r="F539" s="54"/>
    </row>
    <row r="540" ht="15.75" customHeight="1">
      <c r="A540" s="51"/>
      <c r="D540" s="53"/>
      <c r="F540" s="54"/>
    </row>
    <row r="541" ht="15.75" customHeight="1">
      <c r="A541" s="51"/>
      <c r="D541" s="53"/>
      <c r="F541" s="54"/>
    </row>
    <row r="542" ht="15.75" customHeight="1">
      <c r="A542" s="51"/>
      <c r="D542" s="53"/>
      <c r="F542" s="54"/>
    </row>
    <row r="543" ht="15.75" customHeight="1">
      <c r="A543" s="51"/>
      <c r="D543" s="53"/>
      <c r="F543" s="54"/>
    </row>
    <row r="544" ht="15.75" customHeight="1">
      <c r="A544" s="51"/>
      <c r="D544" s="53"/>
      <c r="F544" s="54"/>
    </row>
    <row r="545" ht="15.75" customHeight="1">
      <c r="A545" s="51"/>
      <c r="D545" s="53"/>
      <c r="F545" s="54"/>
    </row>
    <row r="546" ht="15.75" customHeight="1">
      <c r="A546" s="51"/>
      <c r="D546" s="53"/>
      <c r="F546" s="54"/>
    </row>
    <row r="547" ht="15.75" customHeight="1">
      <c r="A547" s="51"/>
      <c r="D547" s="53"/>
      <c r="F547" s="54"/>
    </row>
    <row r="548" ht="15.75" customHeight="1">
      <c r="A548" s="51"/>
      <c r="D548" s="53"/>
      <c r="F548" s="54"/>
    </row>
    <row r="549" ht="15.75" customHeight="1">
      <c r="A549" s="51"/>
      <c r="D549" s="53"/>
      <c r="F549" s="54"/>
    </row>
    <row r="550" ht="15.75" customHeight="1">
      <c r="A550" s="51"/>
      <c r="D550" s="53"/>
      <c r="F550" s="54"/>
    </row>
    <row r="551" ht="15.75" customHeight="1">
      <c r="A551" s="51"/>
      <c r="D551" s="53"/>
      <c r="F551" s="54"/>
    </row>
    <row r="552" ht="15.75" customHeight="1">
      <c r="A552" s="51"/>
      <c r="D552" s="53"/>
      <c r="F552" s="54"/>
    </row>
    <row r="553" ht="15.75" customHeight="1">
      <c r="A553" s="51"/>
      <c r="D553" s="53"/>
      <c r="F553" s="54"/>
    </row>
    <row r="554" ht="15.75" customHeight="1">
      <c r="A554" s="51"/>
      <c r="D554" s="53"/>
      <c r="F554" s="54"/>
    </row>
    <row r="555" ht="15.75" customHeight="1">
      <c r="A555" s="51"/>
      <c r="D555" s="53"/>
      <c r="F555" s="54"/>
    </row>
    <row r="556" ht="15.75" customHeight="1">
      <c r="A556" s="51"/>
      <c r="D556" s="53"/>
      <c r="F556" s="54"/>
    </row>
    <row r="557" ht="15.75" customHeight="1">
      <c r="A557" s="51"/>
      <c r="D557" s="53"/>
      <c r="F557" s="54"/>
    </row>
    <row r="558" ht="15.75" customHeight="1">
      <c r="A558" s="51"/>
      <c r="D558" s="53"/>
      <c r="F558" s="54"/>
    </row>
    <row r="559" ht="15.75" customHeight="1">
      <c r="A559" s="51"/>
      <c r="D559" s="53"/>
      <c r="F559" s="54"/>
    </row>
    <row r="560" ht="15.75" customHeight="1">
      <c r="A560" s="51"/>
      <c r="D560" s="53"/>
      <c r="F560" s="54"/>
    </row>
    <row r="561" ht="15.75" customHeight="1">
      <c r="A561" s="51"/>
      <c r="D561" s="53"/>
      <c r="F561" s="54"/>
    </row>
    <row r="562" ht="15.75" customHeight="1">
      <c r="A562" s="51"/>
      <c r="D562" s="53"/>
      <c r="F562" s="54"/>
    </row>
    <row r="563" ht="15.75" customHeight="1">
      <c r="A563" s="51"/>
      <c r="D563" s="53"/>
      <c r="F563" s="54"/>
    </row>
    <row r="564" ht="15.75" customHeight="1">
      <c r="A564" s="51"/>
      <c r="D564" s="53"/>
      <c r="F564" s="54"/>
    </row>
    <row r="565" ht="15.75" customHeight="1">
      <c r="A565" s="51"/>
      <c r="D565" s="53"/>
      <c r="F565" s="54"/>
    </row>
    <row r="566" ht="15.75" customHeight="1">
      <c r="A566" s="51"/>
      <c r="D566" s="53"/>
      <c r="F566" s="54"/>
    </row>
    <row r="567" ht="15.75" customHeight="1">
      <c r="A567" s="51"/>
      <c r="D567" s="53"/>
      <c r="F567" s="54"/>
    </row>
    <row r="568" ht="15.75" customHeight="1">
      <c r="A568" s="51"/>
      <c r="D568" s="53"/>
      <c r="F568" s="54"/>
    </row>
    <row r="569" ht="15.75" customHeight="1">
      <c r="A569" s="51"/>
      <c r="D569" s="53"/>
      <c r="F569" s="54"/>
    </row>
    <row r="570" ht="15.75" customHeight="1">
      <c r="A570" s="51"/>
      <c r="D570" s="53"/>
      <c r="F570" s="54"/>
    </row>
    <row r="571" ht="15.75" customHeight="1">
      <c r="A571" s="51"/>
      <c r="D571" s="53"/>
      <c r="F571" s="54"/>
    </row>
    <row r="572" ht="15.75" customHeight="1">
      <c r="A572" s="51"/>
      <c r="D572" s="53"/>
      <c r="F572" s="54"/>
    </row>
    <row r="573" ht="15.75" customHeight="1">
      <c r="A573" s="51"/>
      <c r="D573" s="53"/>
      <c r="F573" s="54"/>
    </row>
    <row r="574" ht="15.75" customHeight="1">
      <c r="A574" s="51"/>
      <c r="D574" s="53"/>
      <c r="F574" s="54"/>
    </row>
    <row r="575" ht="15.75" customHeight="1">
      <c r="A575" s="51"/>
      <c r="D575" s="53"/>
      <c r="F575" s="54"/>
    </row>
    <row r="576" ht="15.75" customHeight="1">
      <c r="A576" s="51"/>
      <c r="D576" s="53"/>
      <c r="F576" s="54"/>
    </row>
    <row r="577" ht="15.75" customHeight="1">
      <c r="A577" s="51"/>
      <c r="D577" s="53"/>
      <c r="F577" s="54"/>
    </row>
    <row r="578" ht="15.75" customHeight="1">
      <c r="A578" s="51"/>
      <c r="D578" s="53"/>
      <c r="F578" s="54"/>
    </row>
    <row r="579" ht="15.75" customHeight="1">
      <c r="A579" s="51"/>
      <c r="D579" s="53"/>
      <c r="F579" s="54"/>
    </row>
    <row r="580" ht="15.75" customHeight="1">
      <c r="A580" s="51"/>
      <c r="D580" s="53"/>
      <c r="F580" s="54"/>
    </row>
    <row r="581" ht="15.75" customHeight="1">
      <c r="A581" s="51"/>
      <c r="D581" s="53"/>
      <c r="F581" s="54"/>
    </row>
    <row r="582" ht="15.75" customHeight="1">
      <c r="A582" s="51"/>
      <c r="D582" s="53"/>
      <c r="F582" s="54"/>
    </row>
    <row r="583" ht="15.75" customHeight="1">
      <c r="A583" s="51"/>
      <c r="D583" s="53"/>
      <c r="F583" s="54"/>
    </row>
    <row r="584" ht="15.75" customHeight="1">
      <c r="A584" s="51"/>
      <c r="D584" s="53"/>
      <c r="F584" s="54"/>
    </row>
    <row r="585" ht="15.75" customHeight="1">
      <c r="A585" s="51"/>
      <c r="D585" s="53"/>
      <c r="F585" s="54"/>
    </row>
    <row r="586" ht="15.75" customHeight="1">
      <c r="A586" s="51"/>
      <c r="D586" s="53"/>
      <c r="F586" s="54"/>
    </row>
    <row r="587" ht="15.75" customHeight="1">
      <c r="A587" s="51"/>
      <c r="D587" s="53"/>
      <c r="F587" s="54"/>
    </row>
    <row r="588" ht="15.75" customHeight="1">
      <c r="A588" s="51"/>
      <c r="D588" s="53"/>
      <c r="F588" s="54"/>
    </row>
    <row r="589" ht="15.75" customHeight="1">
      <c r="A589" s="51"/>
      <c r="D589" s="53"/>
      <c r="F589" s="54"/>
    </row>
    <row r="590" ht="15.75" customHeight="1">
      <c r="A590" s="51"/>
      <c r="D590" s="53"/>
      <c r="F590" s="54"/>
    </row>
    <row r="591" ht="15.75" customHeight="1">
      <c r="A591" s="51"/>
      <c r="D591" s="53"/>
      <c r="F591" s="54"/>
    </row>
    <row r="592" ht="15.75" customHeight="1">
      <c r="A592" s="51"/>
      <c r="D592" s="53"/>
      <c r="F592" s="54"/>
    </row>
    <row r="593" ht="15.75" customHeight="1">
      <c r="A593" s="51"/>
      <c r="D593" s="53"/>
      <c r="F593" s="54"/>
    </row>
    <row r="594" ht="15.75" customHeight="1">
      <c r="A594" s="51"/>
      <c r="D594" s="53"/>
      <c r="F594" s="54"/>
    </row>
    <row r="595" ht="15.75" customHeight="1">
      <c r="A595" s="51"/>
      <c r="D595" s="53"/>
      <c r="F595" s="54"/>
    </row>
    <row r="596" ht="15.75" customHeight="1">
      <c r="A596" s="51"/>
      <c r="D596" s="53"/>
      <c r="F596" s="54"/>
    </row>
    <row r="597" ht="15.75" customHeight="1">
      <c r="A597" s="51"/>
      <c r="D597" s="53"/>
      <c r="F597" s="54"/>
    </row>
    <row r="598" ht="15.75" customHeight="1">
      <c r="A598" s="51"/>
      <c r="D598" s="53"/>
      <c r="F598" s="54"/>
    </row>
    <row r="599" ht="15.75" customHeight="1">
      <c r="A599" s="51"/>
      <c r="D599" s="53"/>
      <c r="F599" s="54"/>
    </row>
    <row r="600" ht="15.75" customHeight="1">
      <c r="A600" s="51"/>
      <c r="D600" s="53"/>
      <c r="F600" s="54"/>
    </row>
    <row r="601" ht="15.75" customHeight="1">
      <c r="A601" s="51"/>
      <c r="D601" s="53"/>
      <c r="F601" s="54"/>
    </row>
    <row r="602" ht="15.75" customHeight="1">
      <c r="A602" s="51"/>
      <c r="D602" s="53"/>
      <c r="F602" s="54"/>
    </row>
    <row r="603" ht="15.75" customHeight="1">
      <c r="A603" s="51"/>
      <c r="D603" s="53"/>
      <c r="F603" s="54"/>
    </row>
    <row r="604" ht="15.75" customHeight="1">
      <c r="A604" s="51"/>
      <c r="D604" s="53"/>
      <c r="F604" s="54"/>
    </row>
    <row r="605" ht="15.75" customHeight="1">
      <c r="A605" s="51"/>
      <c r="D605" s="53"/>
      <c r="F605" s="54"/>
    </row>
    <row r="606" ht="15.75" customHeight="1">
      <c r="A606" s="51"/>
      <c r="D606" s="53"/>
      <c r="F606" s="54"/>
    </row>
    <row r="607" ht="15.75" customHeight="1">
      <c r="A607" s="51"/>
      <c r="D607" s="53"/>
      <c r="F607" s="54"/>
    </row>
    <row r="608" ht="15.75" customHeight="1">
      <c r="A608" s="51"/>
      <c r="D608" s="53"/>
      <c r="F608" s="54"/>
    </row>
    <row r="609" ht="15.75" customHeight="1">
      <c r="A609" s="51"/>
      <c r="D609" s="53"/>
      <c r="F609" s="54"/>
    </row>
    <row r="610" ht="15.75" customHeight="1">
      <c r="A610" s="51"/>
      <c r="D610" s="53"/>
      <c r="F610" s="54"/>
    </row>
    <row r="611" ht="15.75" customHeight="1">
      <c r="A611" s="51"/>
      <c r="D611" s="53"/>
      <c r="F611" s="54"/>
    </row>
    <row r="612" ht="15.75" customHeight="1">
      <c r="A612" s="51"/>
      <c r="D612" s="53"/>
      <c r="F612" s="54"/>
    </row>
    <row r="613" ht="15.75" customHeight="1">
      <c r="A613" s="51"/>
      <c r="D613" s="53"/>
      <c r="F613" s="54"/>
    </row>
    <row r="614" ht="15.75" customHeight="1">
      <c r="A614" s="51"/>
      <c r="D614" s="53"/>
      <c r="F614" s="54"/>
    </row>
    <row r="615" ht="15.75" customHeight="1">
      <c r="A615" s="51"/>
      <c r="D615" s="53"/>
      <c r="F615" s="54"/>
    </row>
    <row r="616" ht="15.75" customHeight="1">
      <c r="A616" s="51"/>
      <c r="D616" s="53"/>
      <c r="F616" s="54"/>
    </row>
    <row r="617" ht="15.75" customHeight="1">
      <c r="A617" s="51"/>
      <c r="D617" s="53"/>
      <c r="F617" s="54"/>
    </row>
    <row r="618" ht="15.75" customHeight="1">
      <c r="A618" s="51"/>
      <c r="D618" s="53"/>
      <c r="F618" s="54"/>
    </row>
    <row r="619" ht="15.75" customHeight="1">
      <c r="A619" s="51"/>
      <c r="D619" s="53"/>
      <c r="F619" s="54"/>
    </row>
    <row r="620" ht="15.75" customHeight="1">
      <c r="A620" s="51"/>
      <c r="D620" s="53"/>
      <c r="F620" s="54"/>
    </row>
    <row r="621" ht="15.75" customHeight="1">
      <c r="A621" s="51"/>
      <c r="D621" s="53"/>
      <c r="F621" s="54"/>
    </row>
    <row r="622" ht="15.75" customHeight="1">
      <c r="A622" s="51"/>
      <c r="D622" s="53"/>
      <c r="F622" s="54"/>
    </row>
    <row r="623" ht="15.75" customHeight="1">
      <c r="A623" s="51"/>
      <c r="D623" s="53"/>
      <c r="F623" s="54"/>
    </row>
    <row r="624" ht="15.75" customHeight="1">
      <c r="A624" s="51"/>
      <c r="D624" s="53"/>
      <c r="F624" s="54"/>
    </row>
    <row r="625" ht="15.75" customHeight="1">
      <c r="A625" s="51"/>
      <c r="D625" s="53"/>
      <c r="F625" s="54"/>
    </row>
    <row r="626" ht="15.75" customHeight="1">
      <c r="A626" s="51"/>
      <c r="D626" s="53"/>
      <c r="F626" s="54"/>
    </row>
    <row r="627" ht="15.75" customHeight="1">
      <c r="A627" s="51"/>
      <c r="D627" s="53"/>
      <c r="F627" s="54"/>
    </row>
    <row r="628" ht="15.75" customHeight="1">
      <c r="A628" s="51"/>
      <c r="D628" s="53"/>
      <c r="F628" s="54"/>
    </row>
    <row r="629" ht="15.75" customHeight="1">
      <c r="A629" s="51"/>
      <c r="D629" s="53"/>
      <c r="F629" s="54"/>
    </row>
    <row r="630" ht="15.75" customHeight="1">
      <c r="A630" s="51"/>
      <c r="D630" s="53"/>
      <c r="F630" s="54"/>
    </row>
    <row r="631" ht="15.75" customHeight="1">
      <c r="A631" s="51"/>
      <c r="D631" s="53"/>
      <c r="F631" s="54"/>
    </row>
    <row r="632" ht="15.75" customHeight="1">
      <c r="A632" s="51"/>
      <c r="D632" s="53"/>
      <c r="F632" s="54"/>
    </row>
    <row r="633" ht="15.75" customHeight="1">
      <c r="A633" s="51"/>
      <c r="D633" s="53"/>
      <c r="F633" s="54"/>
    </row>
    <row r="634" ht="15.75" customHeight="1">
      <c r="A634" s="51"/>
      <c r="D634" s="53"/>
      <c r="F634" s="54"/>
    </row>
    <row r="635" ht="15.75" customHeight="1">
      <c r="A635" s="51"/>
      <c r="D635" s="53"/>
      <c r="F635" s="54"/>
    </row>
    <row r="636" ht="15.75" customHeight="1">
      <c r="A636" s="51"/>
      <c r="D636" s="53"/>
      <c r="F636" s="54"/>
    </row>
    <row r="637" ht="15.75" customHeight="1">
      <c r="A637" s="51"/>
      <c r="D637" s="53"/>
      <c r="F637" s="54"/>
    </row>
    <row r="638" ht="15.75" customHeight="1">
      <c r="A638" s="51"/>
      <c r="D638" s="53"/>
      <c r="F638" s="54"/>
    </row>
    <row r="639" ht="15.75" customHeight="1">
      <c r="A639" s="51"/>
      <c r="D639" s="53"/>
      <c r="F639" s="54"/>
    </row>
    <row r="640" ht="15.75" customHeight="1">
      <c r="A640" s="51"/>
      <c r="D640" s="53"/>
      <c r="F640" s="54"/>
    </row>
    <row r="641" ht="15.75" customHeight="1">
      <c r="A641" s="51"/>
      <c r="D641" s="53"/>
      <c r="F641" s="54"/>
    </row>
    <row r="642" ht="15.75" customHeight="1">
      <c r="A642" s="51"/>
      <c r="D642" s="53"/>
      <c r="F642" s="54"/>
    </row>
    <row r="643" ht="15.75" customHeight="1">
      <c r="A643" s="51"/>
      <c r="D643" s="53"/>
      <c r="F643" s="54"/>
    </row>
    <row r="644" ht="15.75" customHeight="1">
      <c r="A644" s="51"/>
      <c r="D644" s="53"/>
      <c r="F644" s="54"/>
    </row>
    <row r="645" ht="15.75" customHeight="1">
      <c r="A645" s="51"/>
      <c r="D645" s="53"/>
      <c r="F645" s="54"/>
    </row>
    <row r="646" ht="15.75" customHeight="1">
      <c r="A646" s="51"/>
      <c r="D646" s="53"/>
      <c r="F646" s="54"/>
    </row>
    <row r="647" ht="15.75" customHeight="1">
      <c r="A647" s="51"/>
      <c r="D647" s="53"/>
      <c r="F647" s="54"/>
    </row>
    <row r="648" ht="15.75" customHeight="1">
      <c r="A648" s="51"/>
      <c r="D648" s="53"/>
      <c r="F648" s="54"/>
    </row>
    <row r="649" ht="15.75" customHeight="1">
      <c r="A649" s="51"/>
      <c r="D649" s="53"/>
      <c r="F649" s="54"/>
    </row>
    <row r="650" ht="15.75" customHeight="1">
      <c r="A650" s="51"/>
      <c r="D650" s="53"/>
      <c r="F650" s="54"/>
    </row>
    <row r="651" ht="15.75" customHeight="1">
      <c r="A651" s="51"/>
      <c r="D651" s="53"/>
      <c r="F651" s="54"/>
    </row>
    <row r="652" ht="15.75" customHeight="1">
      <c r="A652" s="51"/>
      <c r="D652" s="53"/>
      <c r="F652" s="54"/>
    </row>
    <row r="653" ht="15.75" customHeight="1">
      <c r="A653" s="51"/>
      <c r="D653" s="53"/>
      <c r="F653" s="54"/>
    </row>
    <row r="654" ht="15.75" customHeight="1">
      <c r="A654" s="51"/>
      <c r="D654" s="53"/>
      <c r="F654" s="54"/>
    </row>
    <row r="655" ht="15.75" customHeight="1">
      <c r="A655" s="51"/>
      <c r="D655" s="53"/>
      <c r="F655" s="54"/>
    </row>
    <row r="656" ht="15.75" customHeight="1">
      <c r="A656" s="51"/>
      <c r="D656" s="53"/>
      <c r="F656" s="54"/>
    </row>
    <row r="657" ht="15.75" customHeight="1">
      <c r="A657" s="51"/>
      <c r="D657" s="53"/>
      <c r="F657" s="54"/>
    </row>
    <row r="658" ht="15.75" customHeight="1">
      <c r="A658" s="51"/>
      <c r="D658" s="53"/>
      <c r="F658" s="54"/>
    </row>
    <row r="659" ht="15.75" customHeight="1">
      <c r="A659" s="51"/>
      <c r="D659" s="53"/>
      <c r="F659" s="54"/>
    </row>
    <row r="660" ht="15.75" customHeight="1">
      <c r="A660" s="51"/>
      <c r="D660" s="53"/>
      <c r="F660" s="54"/>
    </row>
    <row r="661" ht="15.75" customHeight="1">
      <c r="A661" s="51"/>
      <c r="D661" s="53"/>
      <c r="F661" s="54"/>
    </row>
    <row r="662" ht="15.75" customHeight="1">
      <c r="A662" s="51"/>
      <c r="D662" s="53"/>
      <c r="F662" s="54"/>
    </row>
    <row r="663" ht="15.75" customHeight="1">
      <c r="A663" s="51"/>
      <c r="D663" s="53"/>
      <c r="F663" s="54"/>
    </row>
    <row r="664" ht="15.75" customHeight="1">
      <c r="A664" s="51"/>
      <c r="D664" s="53"/>
      <c r="F664" s="54"/>
    </row>
    <row r="665" ht="15.75" customHeight="1">
      <c r="A665" s="51"/>
      <c r="D665" s="53"/>
      <c r="F665" s="54"/>
    </row>
    <row r="666" ht="15.75" customHeight="1">
      <c r="A666" s="51"/>
      <c r="D666" s="53"/>
      <c r="F666" s="54"/>
    </row>
    <row r="667" ht="15.75" customHeight="1">
      <c r="A667" s="51"/>
      <c r="D667" s="53"/>
      <c r="F667" s="54"/>
    </row>
    <row r="668" ht="15.75" customHeight="1">
      <c r="A668" s="51"/>
      <c r="D668" s="53"/>
      <c r="F668" s="54"/>
    </row>
    <row r="669" ht="15.75" customHeight="1">
      <c r="A669" s="51"/>
      <c r="D669" s="53"/>
      <c r="F669" s="54"/>
    </row>
    <row r="670" ht="15.75" customHeight="1">
      <c r="A670" s="51"/>
      <c r="D670" s="53"/>
      <c r="F670" s="54"/>
    </row>
    <row r="671" ht="15.75" customHeight="1">
      <c r="A671" s="51"/>
      <c r="D671" s="53"/>
      <c r="F671" s="54"/>
    </row>
    <row r="672" ht="15.75" customHeight="1">
      <c r="A672" s="51"/>
      <c r="D672" s="53"/>
      <c r="F672" s="54"/>
    </row>
    <row r="673" ht="15.75" customHeight="1">
      <c r="A673" s="51"/>
      <c r="D673" s="53"/>
      <c r="F673" s="54"/>
    </row>
    <row r="674" ht="15.75" customHeight="1">
      <c r="A674" s="51"/>
      <c r="D674" s="53"/>
      <c r="F674" s="54"/>
    </row>
    <row r="675" ht="15.75" customHeight="1">
      <c r="A675" s="51"/>
      <c r="D675" s="53"/>
      <c r="F675" s="54"/>
    </row>
    <row r="676" ht="15.75" customHeight="1">
      <c r="A676" s="51"/>
      <c r="D676" s="53"/>
      <c r="F676" s="54"/>
    </row>
    <row r="677" ht="15.75" customHeight="1">
      <c r="A677" s="51"/>
      <c r="D677" s="53"/>
      <c r="F677" s="54"/>
    </row>
    <row r="678" ht="15.75" customHeight="1">
      <c r="A678" s="51"/>
      <c r="D678" s="53"/>
      <c r="F678" s="54"/>
    </row>
    <row r="679" ht="15.75" customHeight="1">
      <c r="A679" s="51"/>
      <c r="D679" s="53"/>
      <c r="F679" s="54"/>
    </row>
    <row r="680" ht="15.75" customHeight="1">
      <c r="A680" s="51"/>
      <c r="D680" s="53"/>
      <c r="F680" s="54"/>
    </row>
    <row r="681" ht="15.75" customHeight="1">
      <c r="A681" s="51"/>
      <c r="D681" s="53"/>
      <c r="F681" s="54"/>
    </row>
    <row r="682" ht="15.75" customHeight="1">
      <c r="A682" s="51"/>
      <c r="D682" s="53"/>
      <c r="F682" s="54"/>
    </row>
    <row r="683" ht="15.75" customHeight="1">
      <c r="A683" s="51"/>
      <c r="D683" s="53"/>
      <c r="F683" s="54"/>
    </row>
    <row r="684" ht="15.75" customHeight="1">
      <c r="A684" s="51"/>
      <c r="D684" s="53"/>
      <c r="F684" s="54"/>
    </row>
    <row r="685" ht="15.75" customHeight="1">
      <c r="A685" s="51"/>
      <c r="D685" s="53"/>
      <c r="F685" s="54"/>
    </row>
    <row r="686" ht="15.75" customHeight="1">
      <c r="A686" s="51"/>
      <c r="D686" s="53"/>
      <c r="F686" s="54"/>
    </row>
    <row r="687" ht="15.75" customHeight="1">
      <c r="A687" s="51"/>
      <c r="D687" s="53"/>
      <c r="F687" s="54"/>
    </row>
    <row r="688" ht="15.75" customHeight="1">
      <c r="A688" s="51"/>
      <c r="D688" s="53"/>
      <c r="F688" s="54"/>
    </row>
    <row r="689" ht="15.75" customHeight="1">
      <c r="A689" s="51"/>
      <c r="D689" s="53"/>
      <c r="F689" s="54"/>
    </row>
    <row r="690" ht="15.75" customHeight="1">
      <c r="A690" s="51"/>
      <c r="D690" s="53"/>
      <c r="F690" s="54"/>
    </row>
    <row r="691" ht="15.75" customHeight="1">
      <c r="A691" s="51"/>
      <c r="D691" s="53"/>
      <c r="F691" s="54"/>
    </row>
    <row r="692" ht="15.75" customHeight="1">
      <c r="A692" s="51"/>
      <c r="D692" s="53"/>
      <c r="F692" s="54"/>
    </row>
    <row r="693" ht="15.75" customHeight="1">
      <c r="A693" s="51"/>
      <c r="D693" s="53"/>
      <c r="F693" s="54"/>
    </row>
    <row r="694" ht="15.75" customHeight="1">
      <c r="A694" s="51"/>
      <c r="D694" s="53"/>
      <c r="F694" s="54"/>
    </row>
    <row r="695" ht="15.75" customHeight="1">
      <c r="A695" s="51"/>
      <c r="D695" s="53"/>
      <c r="F695" s="54"/>
    </row>
    <row r="696" ht="15.75" customHeight="1">
      <c r="A696" s="51"/>
      <c r="D696" s="53"/>
      <c r="F696" s="54"/>
    </row>
    <row r="697" ht="15.75" customHeight="1">
      <c r="A697" s="51"/>
      <c r="D697" s="53"/>
      <c r="F697" s="54"/>
    </row>
    <row r="698" ht="15.75" customHeight="1">
      <c r="A698" s="51"/>
      <c r="D698" s="53"/>
      <c r="F698" s="54"/>
    </row>
    <row r="699" ht="15.75" customHeight="1">
      <c r="A699" s="51"/>
      <c r="D699" s="53"/>
      <c r="F699" s="54"/>
    </row>
    <row r="700" ht="15.75" customHeight="1">
      <c r="A700" s="51"/>
      <c r="D700" s="53"/>
      <c r="F700" s="54"/>
    </row>
    <row r="701" ht="15.75" customHeight="1">
      <c r="A701" s="51"/>
      <c r="D701" s="53"/>
      <c r="F701" s="54"/>
    </row>
    <row r="702" ht="15.75" customHeight="1">
      <c r="A702" s="51"/>
      <c r="D702" s="53"/>
      <c r="F702" s="54"/>
    </row>
    <row r="703" ht="15.75" customHeight="1">
      <c r="A703" s="51"/>
      <c r="D703" s="53"/>
      <c r="F703" s="54"/>
    </row>
    <row r="704" ht="15.75" customHeight="1">
      <c r="A704" s="51"/>
      <c r="D704" s="53"/>
      <c r="F704" s="54"/>
    </row>
    <row r="705" ht="15.75" customHeight="1">
      <c r="A705" s="51"/>
      <c r="D705" s="53"/>
      <c r="F705" s="54"/>
    </row>
    <row r="706" ht="15.75" customHeight="1">
      <c r="A706" s="51"/>
      <c r="D706" s="53"/>
      <c r="F706" s="54"/>
    </row>
    <row r="707" ht="15.75" customHeight="1">
      <c r="A707" s="51"/>
      <c r="D707" s="53"/>
      <c r="F707" s="54"/>
    </row>
    <row r="708" ht="15.75" customHeight="1">
      <c r="A708" s="51"/>
      <c r="D708" s="53"/>
      <c r="F708" s="54"/>
    </row>
    <row r="709" ht="15.75" customHeight="1">
      <c r="A709" s="51"/>
      <c r="D709" s="53"/>
      <c r="F709" s="54"/>
    </row>
    <row r="710" ht="15.75" customHeight="1">
      <c r="A710" s="51"/>
      <c r="D710" s="53"/>
      <c r="F710" s="54"/>
    </row>
    <row r="711" ht="15.75" customHeight="1">
      <c r="A711" s="51"/>
      <c r="D711" s="53"/>
      <c r="F711" s="54"/>
    </row>
    <row r="712" ht="15.75" customHeight="1">
      <c r="A712" s="51"/>
      <c r="D712" s="53"/>
      <c r="F712" s="54"/>
    </row>
    <row r="713" ht="15.75" customHeight="1">
      <c r="A713" s="51"/>
      <c r="D713" s="53"/>
      <c r="F713" s="54"/>
    </row>
    <row r="714" ht="15.75" customHeight="1">
      <c r="A714" s="51"/>
      <c r="D714" s="53"/>
      <c r="F714" s="54"/>
    </row>
    <row r="715" ht="15.75" customHeight="1">
      <c r="A715" s="51"/>
      <c r="D715" s="53"/>
      <c r="F715" s="54"/>
    </row>
    <row r="716" ht="15.75" customHeight="1">
      <c r="A716" s="51"/>
      <c r="D716" s="53"/>
      <c r="F716" s="54"/>
    </row>
    <row r="717" ht="15.75" customHeight="1">
      <c r="A717" s="51"/>
      <c r="D717" s="53"/>
      <c r="F717" s="54"/>
    </row>
    <row r="718" ht="15.75" customHeight="1">
      <c r="A718" s="51"/>
      <c r="D718" s="53"/>
      <c r="F718" s="54"/>
    </row>
    <row r="719" ht="15.75" customHeight="1">
      <c r="A719" s="51"/>
      <c r="D719" s="53"/>
      <c r="F719" s="54"/>
    </row>
    <row r="720" ht="15.75" customHeight="1">
      <c r="A720" s="51"/>
      <c r="D720" s="53"/>
      <c r="F720" s="54"/>
    </row>
    <row r="721" ht="15.75" customHeight="1">
      <c r="A721" s="51"/>
      <c r="D721" s="53"/>
      <c r="F721" s="54"/>
    </row>
    <row r="722" ht="15.75" customHeight="1">
      <c r="A722" s="51"/>
      <c r="D722" s="53"/>
      <c r="F722" s="54"/>
    </row>
    <row r="723" ht="15.75" customHeight="1">
      <c r="A723" s="51"/>
      <c r="D723" s="53"/>
      <c r="F723" s="54"/>
    </row>
    <row r="724" ht="15.75" customHeight="1">
      <c r="A724" s="51"/>
      <c r="D724" s="53"/>
      <c r="F724" s="54"/>
    </row>
    <row r="725" ht="15.75" customHeight="1">
      <c r="A725" s="51"/>
      <c r="D725" s="53"/>
      <c r="F725" s="54"/>
    </row>
    <row r="726" ht="15.75" customHeight="1">
      <c r="A726" s="51"/>
      <c r="D726" s="53"/>
      <c r="F726" s="54"/>
    </row>
    <row r="727" ht="15.75" customHeight="1">
      <c r="A727" s="51"/>
      <c r="D727" s="53"/>
      <c r="F727" s="54"/>
    </row>
    <row r="728" ht="15.75" customHeight="1">
      <c r="A728" s="51"/>
      <c r="D728" s="53"/>
      <c r="F728" s="54"/>
    </row>
    <row r="729" ht="15.75" customHeight="1">
      <c r="A729" s="51"/>
      <c r="D729" s="53"/>
      <c r="F729" s="54"/>
    </row>
    <row r="730" ht="15.75" customHeight="1">
      <c r="A730" s="51"/>
      <c r="D730" s="53"/>
      <c r="F730" s="54"/>
    </row>
    <row r="731" ht="15.75" customHeight="1">
      <c r="A731" s="51"/>
      <c r="D731" s="53"/>
      <c r="F731" s="54"/>
    </row>
    <row r="732" ht="15.75" customHeight="1">
      <c r="A732" s="51"/>
      <c r="D732" s="53"/>
      <c r="F732" s="54"/>
    </row>
    <row r="733" ht="15.75" customHeight="1">
      <c r="A733" s="51"/>
      <c r="D733" s="53"/>
      <c r="F733" s="54"/>
    </row>
    <row r="734" ht="15.75" customHeight="1">
      <c r="A734" s="51"/>
      <c r="D734" s="53"/>
      <c r="F734" s="54"/>
    </row>
    <row r="735" ht="15.75" customHeight="1">
      <c r="A735" s="51"/>
      <c r="D735" s="53"/>
      <c r="F735" s="54"/>
    </row>
    <row r="736" ht="15.75" customHeight="1">
      <c r="A736" s="51"/>
      <c r="D736" s="53"/>
      <c r="F736" s="54"/>
    </row>
    <row r="737" ht="15.75" customHeight="1">
      <c r="A737" s="51"/>
      <c r="D737" s="53"/>
      <c r="F737" s="54"/>
    </row>
    <row r="738" ht="15.75" customHeight="1">
      <c r="A738" s="51"/>
      <c r="D738" s="53"/>
      <c r="F738" s="54"/>
    </row>
    <row r="739" ht="15.75" customHeight="1">
      <c r="A739" s="51"/>
      <c r="D739" s="53"/>
      <c r="F739" s="54"/>
    </row>
    <row r="740" ht="15.75" customHeight="1">
      <c r="A740" s="51"/>
      <c r="D740" s="53"/>
      <c r="F740" s="54"/>
    </row>
    <row r="741" ht="15.75" customHeight="1">
      <c r="A741" s="51"/>
      <c r="D741" s="53"/>
      <c r="F741" s="54"/>
    </row>
    <row r="742" ht="15.75" customHeight="1">
      <c r="A742" s="51"/>
      <c r="D742" s="53"/>
      <c r="F742" s="54"/>
    </row>
    <row r="743" ht="15.75" customHeight="1">
      <c r="A743" s="51"/>
      <c r="D743" s="53"/>
      <c r="F743" s="54"/>
    </row>
    <row r="744" ht="15.75" customHeight="1">
      <c r="A744" s="51"/>
      <c r="D744" s="53"/>
      <c r="F744" s="54"/>
    </row>
    <row r="745" ht="15.75" customHeight="1">
      <c r="A745" s="51"/>
      <c r="D745" s="53"/>
      <c r="F745" s="54"/>
    </row>
    <row r="746" ht="15.75" customHeight="1">
      <c r="A746" s="51"/>
      <c r="D746" s="53"/>
      <c r="F746" s="54"/>
    </row>
    <row r="747" ht="15.75" customHeight="1">
      <c r="A747" s="51"/>
      <c r="D747" s="53"/>
      <c r="F747" s="54"/>
    </row>
    <row r="748" ht="15.75" customHeight="1">
      <c r="A748" s="51"/>
      <c r="D748" s="53"/>
      <c r="F748" s="54"/>
    </row>
    <row r="749" ht="15.75" customHeight="1">
      <c r="A749" s="51"/>
      <c r="D749" s="53"/>
      <c r="F749" s="54"/>
    </row>
    <row r="750" ht="15.75" customHeight="1">
      <c r="A750" s="51"/>
      <c r="D750" s="53"/>
      <c r="F750" s="54"/>
    </row>
    <row r="751" ht="15.75" customHeight="1">
      <c r="A751" s="51"/>
      <c r="D751" s="53"/>
      <c r="F751" s="54"/>
    </row>
    <row r="752" ht="15.75" customHeight="1">
      <c r="A752" s="51"/>
      <c r="D752" s="53"/>
      <c r="F752" s="54"/>
    </row>
    <row r="753" ht="15.75" customHeight="1">
      <c r="A753" s="51"/>
      <c r="D753" s="53"/>
      <c r="F753" s="54"/>
    </row>
    <row r="754" ht="15.75" customHeight="1">
      <c r="A754" s="51"/>
      <c r="D754" s="53"/>
      <c r="F754" s="54"/>
    </row>
    <row r="755" ht="15.75" customHeight="1">
      <c r="A755" s="51"/>
      <c r="D755" s="53"/>
      <c r="F755" s="54"/>
    </row>
    <row r="756" ht="15.75" customHeight="1">
      <c r="A756" s="51"/>
      <c r="D756" s="53"/>
      <c r="F756" s="54"/>
    </row>
    <row r="757" ht="15.75" customHeight="1">
      <c r="A757" s="51"/>
      <c r="D757" s="53"/>
      <c r="F757" s="54"/>
    </row>
    <row r="758" ht="15.75" customHeight="1">
      <c r="A758" s="51"/>
      <c r="D758" s="53"/>
      <c r="F758" s="54"/>
    </row>
    <row r="759" ht="15.75" customHeight="1">
      <c r="A759" s="51"/>
      <c r="D759" s="53"/>
      <c r="F759" s="54"/>
    </row>
    <row r="760" ht="15.75" customHeight="1">
      <c r="A760" s="51"/>
      <c r="D760" s="53"/>
      <c r="F760" s="54"/>
    </row>
    <row r="761" ht="15.75" customHeight="1">
      <c r="A761" s="51"/>
      <c r="D761" s="53"/>
      <c r="F761" s="54"/>
    </row>
    <row r="762" ht="15.75" customHeight="1">
      <c r="A762" s="51"/>
      <c r="D762" s="53"/>
      <c r="F762" s="54"/>
    </row>
    <row r="763" ht="15.75" customHeight="1">
      <c r="A763" s="51"/>
      <c r="D763" s="53"/>
      <c r="F763" s="54"/>
    </row>
    <row r="764" ht="15.75" customHeight="1">
      <c r="A764" s="51"/>
      <c r="D764" s="53"/>
      <c r="F764" s="54"/>
    </row>
    <row r="765" ht="15.75" customHeight="1">
      <c r="A765" s="51"/>
      <c r="D765" s="53"/>
      <c r="F765" s="54"/>
    </row>
    <row r="766" ht="15.75" customHeight="1">
      <c r="A766" s="51"/>
      <c r="D766" s="53"/>
      <c r="F766" s="54"/>
    </row>
    <row r="767" ht="15.75" customHeight="1">
      <c r="A767" s="51"/>
      <c r="D767" s="53"/>
      <c r="F767" s="54"/>
    </row>
    <row r="768" ht="15.75" customHeight="1">
      <c r="A768" s="51"/>
      <c r="D768" s="53"/>
      <c r="F768" s="54"/>
    </row>
    <row r="769" ht="15.75" customHeight="1">
      <c r="A769" s="51"/>
      <c r="D769" s="53"/>
      <c r="F769" s="54"/>
    </row>
    <row r="770" ht="15.75" customHeight="1">
      <c r="A770" s="51"/>
      <c r="D770" s="53"/>
      <c r="F770" s="54"/>
    </row>
    <row r="771" ht="15.75" customHeight="1">
      <c r="A771" s="51"/>
      <c r="D771" s="53"/>
      <c r="F771" s="54"/>
    </row>
    <row r="772" ht="15.75" customHeight="1">
      <c r="A772" s="51"/>
      <c r="D772" s="53"/>
      <c r="F772" s="54"/>
    </row>
    <row r="773" ht="15.75" customHeight="1">
      <c r="A773" s="51"/>
      <c r="D773" s="53"/>
      <c r="F773" s="54"/>
    </row>
    <row r="774" ht="15.75" customHeight="1">
      <c r="A774" s="51"/>
      <c r="D774" s="53"/>
      <c r="F774" s="54"/>
    </row>
    <row r="775" ht="15.75" customHeight="1">
      <c r="A775" s="51"/>
      <c r="D775" s="53"/>
      <c r="F775" s="54"/>
    </row>
    <row r="776" ht="15.75" customHeight="1">
      <c r="A776" s="51"/>
      <c r="D776" s="53"/>
      <c r="F776" s="54"/>
    </row>
    <row r="777" ht="15.75" customHeight="1">
      <c r="A777" s="51"/>
      <c r="D777" s="53"/>
      <c r="F777" s="54"/>
    </row>
    <row r="778" ht="15.75" customHeight="1">
      <c r="A778" s="51"/>
      <c r="D778" s="53"/>
      <c r="F778" s="54"/>
    </row>
    <row r="779" ht="15.75" customHeight="1">
      <c r="A779" s="51"/>
      <c r="D779" s="53"/>
      <c r="F779" s="54"/>
    </row>
    <row r="780" ht="15.75" customHeight="1">
      <c r="A780" s="51"/>
      <c r="D780" s="53"/>
      <c r="F780" s="54"/>
    </row>
    <row r="781" ht="15.75" customHeight="1">
      <c r="A781" s="51"/>
      <c r="D781" s="53"/>
      <c r="F781" s="54"/>
    </row>
    <row r="782" ht="15.75" customHeight="1">
      <c r="A782" s="51"/>
      <c r="D782" s="53"/>
      <c r="F782" s="54"/>
    </row>
    <row r="783" ht="15.75" customHeight="1">
      <c r="A783" s="51"/>
      <c r="D783" s="53"/>
      <c r="F783" s="54"/>
    </row>
    <row r="784" ht="15.75" customHeight="1">
      <c r="A784" s="51"/>
      <c r="D784" s="53"/>
      <c r="F784" s="54"/>
    </row>
    <row r="785" ht="15.75" customHeight="1">
      <c r="A785" s="51"/>
      <c r="D785" s="53"/>
      <c r="F785" s="54"/>
    </row>
    <row r="786" ht="15.75" customHeight="1">
      <c r="A786" s="51"/>
      <c r="D786" s="53"/>
      <c r="F786" s="54"/>
    </row>
    <row r="787" ht="15.75" customHeight="1">
      <c r="A787" s="51"/>
      <c r="D787" s="53"/>
      <c r="F787" s="54"/>
    </row>
    <row r="788" ht="15.75" customHeight="1">
      <c r="A788" s="51"/>
      <c r="D788" s="53"/>
      <c r="F788" s="54"/>
    </row>
    <row r="789" ht="15.75" customHeight="1">
      <c r="A789" s="51"/>
      <c r="D789" s="53"/>
      <c r="F789" s="54"/>
    </row>
    <row r="790" ht="15.75" customHeight="1">
      <c r="A790" s="51"/>
      <c r="D790" s="53"/>
      <c r="F790" s="54"/>
    </row>
    <row r="791" ht="15.75" customHeight="1">
      <c r="A791" s="51"/>
      <c r="D791" s="53"/>
      <c r="F791" s="54"/>
    </row>
    <row r="792" ht="15.75" customHeight="1">
      <c r="A792" s="51"/>
      <c r="D792" s="53"/>
      <c r="F792" s="54"/>
    </row>
    <row r="793" ht="15.75" customHeight="1">
      <c r="A793" s="51"/>
      <c r="D793" s="53"/>
      <c r="F793" s="54"/>
    </row>
    <row r="794" ht="15.75" customHeight="1">
      <c r="A794" s="51"/>
      <c r="D794" s="53"/>
      <c r="F794" s="54"/>
    </row>
    <row r="795" ht="15.75" customHeight="1">
      <c r="A795" s="51"/>
      <c r="D795" s="53"/>
      <c r="F795" s="54"/>
    </row>
    <row r="796" ht="15.75" customHeight="1">
      <c r="A796" s="51"/>
      <c r="D796" s="53"/>
      <c r="F796" s="54"/>
    </row>
    <row r="797" ht="15.75" customHeight="1">
      <c r="A797" s="51"/>
      <c r="D797" s="53"/>
      <c r="F797" s="54"/>
    </row>
    <row r="798" ht="15.75" customHeight="1">
      <c r="A798" s="51"/>
      <c r="D798" s="53"/>
      <c r="F798" s="54"/>
    </row>
    <row r="799" ht="15.75" customHeight="1">
      <c r="A799" s="51"/>
      <c r="D799" s="53"/>
      <c r="F799" s="54"/>
    </row>
    <row r="800" ht="15.75" customHeight="1">
      <c r="A800" s="51"/>
      <c r="D800" s="53"/>
      <c r="F800" s="54"/>
    </row>
    <row r="801" ht="15.75" customHeight="1">
      <c r="A801" s="51"/>
      <c r="D801" s="53"/>
      <c r="F801" s="54"/>
    </row>
    <row r="802" ht="15.75" customHeight="1">
      <c r="A802" s="51"/>
      <c r="D802" s="53"/>
      <c r="F802" s="54"/>
    </row>
    <row r="803" ht="15.75" customHeight="1">
      <c r="A803" s="51"/>
      <c r="D803" s="53"/>
      <c r="F803" s="54"/>
    </row>
    <row r="804" ht="15.75" customHeight="1">
      <c r="A804" s="51"/>
      <c r="D804" s="53"/>
      <c r="F804" s="54"/>
    </row>
    <row r="805" ht="15.75" customHeight="1">
      <c r="A805" s="51"/>
      <c r="D805" s="53"/>
      <c r="F805" s="54"/>
    </row>
    <row r="806" ht="15.75" customHeight="1">
      <c r="A806" s="51"/>
      <c r="D806" s="53"/>
      <c r="F806" s="54"/>
    </row>
    <row r="807" ht="15.75" customHeight="1">
      <c r="A807" s="51"/>
      <c r="D807" s="53"/>
      <c r="F807" s="54"/>
    </row>
    <row r="808" ht="15.75" customHeight="1">
      <c r="A808" s="51"/>
      <c r="D808" s="53"/>
      <c r="F808" s="54"/>
    </row>
    <row r="809" ht="15.75" customHeight="1">
      <c r="A809" s="51"/>
      <c r="D809" s="53"/>
      <c r="F809" s="54"/>
    </row>
    <row r="810" ht="15.75" customHeight="1">
      <c r="A810" s="51"/>
      <c r="D810" s="53"/>
      <c r="F810" s="54"/>
    </row>
    <row r="811" ht="15.75" customHeight="1">
      <c r="A811" s="51"/>
      <c r="D811" s="53"/>
      <c r="F811" s="54"/>
    </row>
    <row r="812" ht="15.75" customHeight="1">
      <c r="A812" s="51"/>
      <c r="D812" s="53"/>
      <c r="F812" s="54"/>
    </row>
    <row r="813" ht="15.75" customHeight="1">
      <c r="A813" s="51"/>
      <c r="D813" s="53"/>
      <c r="F813" s="54"/>
    </row>
    <row r="814" ht="15.75" customHeight="1">
      <c r="A814" s="51"/>
      <c r="D814" s="53"/>
      <c r="F814" s="54"/>
    </row>
    <row r="815" ht="15.75" customHeight="1">
      <c r="A815" s="51"/>
      <c r="D815" s="53"/>
      <c r="F815" s="54"/>
    </row>
    <row r="816" ht="15.75" customHeight="1">
      <c r="A816" s="51"/>
      <c r="D816" s="53"/>
      <c r="F816" s="54"/>
    </row>
    <row r="817" ht="15.75" customHeight="1">
      <c r="A817" s="51"/>
      <c r="D817" s="53"/>
      <c r="F817" s="54"/>
    </row>
    <row r="818" ht="15.75" customHeight="1">
      <c r="A818" s="51"/>
      <c r="D818" s="53"/>
      <c r="F818" s="54"/>
    </row>
    <row r="819" ht="15.75" customHeight="1">
      <c r="A819" s="51"/>
      <c r="D819" s="53"/>
      <c r="F819" s="54"/>
    </row>
    <row r="820" ht="15.75" customHeight="1">
      <c r="A820" s="51"/>
      <c r="D820" s="53"/>
      <c r="F820" s="54"/>
    </row>
    <row r="821" ht="15.75" customHeight="1">
      <c r="A821" s="51"/>
      <c r="D821" s="53"/>
      <c r="F821" s="54"/>
    </row>
    <row r="822" ht="15.75" customHeight="1">
      <c r="A822" s="51"/>
      <c r="D822" s="53"/>
      <c r="F822" s="54"/>
    </row>
    <row r="823" ht="15.75" customHeight="1">
      <c r="A823" s="51"/>
      <c r="D823" s="53"/>
      <c r="F823" s="54"/>
    </row>
    <row r="824" ht="15.75" customHeight="1">
      <c r="A824" s="51"/>
      <c r="D824" s="53"/>
      <c r="F824" s="54"/>
    </row>
    <row r="825" ht="15.75" customHeight="1">
      <c r="A825" s="51"/>
      <c r="D825" s="53"/>
      <c r="F825" s="54"/>
    </row>
    <row r="826" ht="15.75" customHeight="1">
      <c r="A826" s="51"/>
      <c r="D826" s="53"/>
      <c r="F826" s="54"/>
    </row>
    <row r="827" ht="15.75" customHeight="1">
      <c r="A827" s="51"/>
      <c r="D827" s="53"/>
      <c r="F827" s="54"/>
    </row>
    <row r="828" ht="15.75" customHeight="1">
      <c r="A828" s="51"/>
      <c r="D828" s="53"/>
      <c r="F828" s="54"/>
    </row>
    <row r="829" ht="15.75" customHeight="1">
      <c r="A829" s="51"/>
      <c r="D829" s="53"/>
      <c r="F829" s="54"/>
    </row>
    <row r="830" ht="15.75" customHeight="1">
      <c r="A830" s="51"/>
      <c r="D830" s="53"/>
      <c r="F830" s="54"/>
    </row>
    <row r="831" ht="15.75" customHeight="1">
      <c r="A831" s="51"/>
      <c r="D831" s="53"/>
      <c r="F831" s="54"/>
    </row>
    <row r="832" ht="15.75" customHeight="1">
      <c r="A832" s="51"/>
      <c r="D832" s="53"/>
      <c r="F832" s="54"/>
    </row>
    <row r="833" ht="15.75" customHeight="1">
      <c r="A833" s="51"/>
      <c r="D833" s="53"/>
      <c r="F833" s="54"/>
    </row>
    <row r="834" ht="15.75" customHeight="1">
      <c r="A834" s="51"/>
      <c r="D834" s="53"/>
      <c r="F834" s="54"/>
    </row>
    <row r="835" ht="15.75" customHeight="1">
      <c r="A835" s="51"/>
      <c r="D835" s="53"/>
      <c r="F835" s="54"/>
    </row>
    <row r="836" ht="15.75" customHeight="1">
      <c r="A836" s="51"/>
      <c r="D836" s="53"/>
      <c r="F836" s="54"/>
    </row>
    <row r="837" ht="15.75" customHeight="1">
      <c r="A837" s="51"/>
      <c r="D837" s="53"/>
      <c r="F837" s="54"/>
    </row>
    <row r="838" ht="15.75" customHeight="1">
      <c r="A838" s="51"/>
      <c r="D838" s="53"/>
      <c r="F838" s="54"/>
    </row>
    <row r="839" ht="15.75" customHeight="1">
      <c r="A839" s="51"/>
      <c r="D839" s="53"/>
      <c r="F839" s="54"/>
    </row>
    <row r="840" ht="15.75" customHeight="1">
      <c r="A840" s="51"/>
      <c r="D840" s="53"/>
      <c r="F840" s="54"/>
    </row>
    <row r="841" ht="15.75" customHeight="1">
      <c r="A841" s="51"/>
      <c r="D841" s="53"/>
      <c r="F841" s="54"/>
    </row>
    <row r="842" ht="15.75" customHeight="1">
      <c r="A842" s="51"/>
      <c r="D842" s="53"/>
      <c r="F842" s="54"/>
    </row>
    <row r="843" ht="15.75" customHeight="1">
      <c r="A843" s="51"/>
      <c r="D843" s="53"/>
      <c r="F843" s="54"/>
    </row>
    <row r="844" ht="15.75" customHeight="1">
      <c r="A844" s="51"/>
      <c r="D844" s="53"/>
      <c r="F844" s="54"/>
    </row>
    <row r="845" ht="15.75" customHeight="1">
      <c r="A845" s="51"/>
      <c r="D845" s="53"/>
      <c r="F845" s="54"/>
    </row>
    <row r="846" ht="15.75" customHeight="1">
      <c r="A846" s="51"/>
      <c r="D846" s="53"/>
      <c r="F846" s="54"/>
    </row>
    <row r="847" ht="15.75" customHeight="1">
      <c r="A847" s="51"/>
      <c r="D847" s="53"/>
      <c r="F847" s="54"/>
    </row>
    <row r="848" ht="15.75" customHeight="1">
      <c r="A848" s="51"/>
      <c r="D848" s="53"/>
      <c r="F848" s="54"/>
    </row>
    <row r="849" ht="15.75" customHeight="1">
      <c r="A849" s="51"/>
      <c r="D849" s="53"/>
      <c r="F849" s="54"/>
    </row>
    <row r="850" ht="15.75" customHeight="1">
      <c r="A850" s="51"/>
      <c r="D850" s="53"/>
      <c r="F850" s="54"/>
    </row>
    <row r="851" ht="15.75" customHeight="1">
      <c r="A851" s="51"/>
      <c r="D851" s="53"/>
      <c r="F851" s="54"/>
    </row>
    <row r="852" ht="15.75" customHeight="1">
      <c r="A852" s="51"/>
      <c r="D852" s="53"/>
      <c r="F852" s="54"/>
    </row>
    <row r="853" ht="15.75" customHeight="1">
      <c r="A853" s="51"/>
      <c r="D853" s="53"/>
      <c r="F853" s="54"/>
    </row>
    <row r="854" ht="15.75" customHeight="1">
      <c r="A854" s="51"/>
      <c r="D854" s="53"/>
      <c r="F854" s="54"/>
    </row>
    <row r="855" ht="15.75" customHeight="1">
      <c r="A855" s="51"/>
      <c r="D855" s="53"/>
      <c r="F855" s="54"/>
    </row>
    <row r="856" ht="15.75" customHeight="1">
      <c r="A856" s="51"/>
      <c r="D856" s="53"/>
      <c r="F856" s="54"/>
    </row>
    <row r="857" ht="15.75" customHeight="1">
      <c r="A857" s="51"/>
      <c r="D857" s="53"/>
      <c r="F857" s="54"/>
    </row>
    <row r="858" ht="15.75" customHeight="1">
      <c r="A858" s="51"/>
      <c r="D858" s="53"/>
      <c r="F858" s="54"/>
    </row>
    <row r="859" ht="15.75" customHeight="1">
      <c r="A859" s="51"/>
      <c r="D859" s="53"/>
      <c r="F859" s="54"/>
    </row>
    <row r="860" ht="15.75" customHeight="1">
      <c r="A860" s="51"/>
      <c r="D860" s="53"/>
      <c r="F860" s="54"/>
    </row>
    <row r="861" ht="15.75" customHeight="1">
      <c r="A861" s="51"/>
      <c r="D861" s="53"/>
      <c r="F861" s="54"/>
    </row>
    <row r="862" ht="15.75" customHeight="1">
      <c r="A862" s="51"/>
      <c r="D862" s="53"/>
      <c r="F862" s="54"/>
    </row>
    <row r="863" ht="15.75" customHeight="1">
      <c r="A863" s="51"/>
      <c r="D863" s="53"/>
      <c r="F863" s="54"/>
    </row>
    <row r="864" ht="15.75" customHeight="1">
      <c r="A864" s="51"/>
      <c r="D864" s="53"/>
      <c r="F864" s="54"/>
    </row>
    <row r="865" ht="15.75" customHeight="1">
      <c r="A865" s="51"/>
      <c r="D865" s="53"/>
      <c r="F865" s="54"/>
    </row>
    <row r="866" ht="15.75" customHeight="1">
      <c r="A866" s="51"/>
      <c r="D866" s="53"/>
      <c r="F866" s="54"/>
    </row>
    <row r="867" ht="15.75" customHeight="1">
      <c r="A867" s="51"/>
      <c r="D867" s="53"/>
      <c r="F867" s="54"/>
    </row>
    <row r="868" ht="15.75" customHeight="1">
      <c r="A868" s="51"/>
      <c r="D868" s="53"/>
      <c r="F868" s="54"/>
    </row>
    <row r="869" ht="15.75" customHeight="1">
      <c r="A869" s="51"/>
      <c r="D869" s="53"/>
      <c r="F869" s="54"/>
    </row>
    <row r="870" ht="15.75" customHeight="1">
      <c r="A870" s="51"/>
      <c r="D870" s="53"/>
      <c r="F870" s="54"/>
    </row>
    <row r="871" ht="15.75" customHeight="1">
      <c r="A871" s="51"/>
      <c r="D871" s="53"/>
      <c r="F871" s="54"/>
    </row>
    <row r="872" ht="15.75" customHeight="1">
      <c r="A872" s="51"/>
      <c r="D872" s="53"/>
      <c r="F872" s="54"/>
    </row>
    <row r="873" ht="15.75" customHeight="1">
      <c r="A873" s="51"/>
      <c r="D873" s="53"/>
      <c r="F873" s="54"/>
    </row>
    <row r="874" ht="15.75" customHeight="1">
      <c r="A874" s="51"/>
      <c r="D874" s="53"/>
      <c r="F874" s="54"/>
    </row>
    <row r="875" ht="15.75" customHeight="1">
      <c r="A875" s="51"/>
      <c r="D875" s="53"/>
      <c r="F875" s="54"/>
    </row>
    <row r="876" ht="15.75" customHeight="1">
      <c r="A876" s="51"/>
      <c r="D876" s="53"/>
      <c r="F876" s="54"/>
    </row>
    <row r="877" ht="15.75" customHeight="1">
      <c r="A877" s="51"/>
      <c r="D877" s="53"/>
      <c r="F877" s="54"/>
    </row>
    <row r="878" ht="15.75" customHeight="1">
      <c r="A878" s="51"/>
      <c r="D878" s="53"/>
      <c r="F878" s="54"/>
    </row>
    <row r="879" ht="15.75" customHeight="1">
      <c r="A879" s="51"/>
      <c r="D879" s="53"/>
      <c r="F879" s="54"/>
    </row>
    <row r="880" ht="15.75" customHeight="1">
      <c r="A880" s="51"/>
      <c r="D880" s="53"/>
      <c r="F880" s="54"/>
    </row>
    <row r="881" ht="15.75" customHeight="1">
      <c r="A881" s="51"/>
      <c r="D881" s="53"/>
      <c r="F881" s="54"/>
    </row>
    <row r="882" ht="15.75" customHeight="1">
      <c r="A882" s="51"/>
      <c r="D882" s="53"/>
      <c r="F882" s="54"/>
    </row>
    <row r="883" ht="15.75" customHeight="1">
      <c r="A883" s="51"/>
      <c r="D883" s="53"/>
      <c r="F883" s="54"/>
    </row>
    <row r="884" ht="15.75" customHeight="1">
      <c r="A884" s="51"/>
      <c r="D884" s="53"/>
      <c r="F884" s="54"/>
    </row>
    <row r="885" ht="15.75" customHeight="1">
      <c r="A885" s="51"/>
      <c r="D885" s="53"/>
      <c r="F885" s="54"/>
    </row>
    <row r="886" ht="15.75" customHeight="1">
      <c r="A886" s="51"/>
      <c r="D886" s="53"/>
      <c r="F886" s="54"/>
    </row>
    <row r="887" ht="15.75" customHeight="1">
      <c r="A887" s="51"/>
      <c r="D887" s="53"/>
      <c r="F887" s="54"/>
    </row>
    <row r="888" ht="15.75" customHeight="1">
      <c r="A888" s="51"/>
      <c r="D888" s="53"/>
      <c r="F888" s="54"/>
    </row>
    <row r="889" ht="15.75" customHeight="1">
      <c r="A889" s="51"/>
      <c r="D889" s="53"/>
      <c r="F889" s="54"/>
    </row>
    <row r="890" ht="15.75" customHeight="1">
      <c r="A890" s="51"/>
      <c r="D890" s="53"/>
      <c r="F890" s="54"/>
    </row>
    <row r="891" ht="15.75" customHeight="1">
      <c r="A891" s="51"/>
      <c r="D891" s="53"/>
      <c r="F891" s="54"/>
    </row>
    <row r="892" ht="15.75" customHeight="1">
      <c r="A892" s="51"/>
      <c r="D892" s="53"/>
      <c r="F892" s="54"/>
    </row>
    <row r="893" ht="15.75" customHeight="1">
      <c r="A893" s="51"/>
      <c r="D893" s="53"/>
      <c r="F893" s="54"/>
    </row>
    <row r="894" ht="15.75" customHeight="1">
      <c r="A894" s="51"/>
      <c r="D894" s="53"/>
      <c r="F894" s="54"/>
    </row>
    <row r="895" ht="15.75" customHeight="1">
      <c r="A895" s="51"/>
      <c r="D895" s="53"/>
      <c r="F895" s="54"/>
    </row>
    <row r="896" ht="15.75" customHeight="1">
      <c r="A896" s="51"/>
      <c r="D896" s="53"/>
      <c r="F896" s="54"/>
    </row>
    <row r="897" ht="15.75" customHeight="1">
      <c r="A897" s="51"/>
      <c r="D897" s="53"/>
      <c r="F897" s="54"/>
    </row>
    <row r="898" ht="15.75" customHeight="1">
      <c r="A898" s="51"/>
      <c r="D898" s="53"/>
      <c r="F898" s="54"/>
    </row>
    <row r="899" ht="15.75" customHeight="1">
      <c r="A899" s="51"/>
      <c r="D899" s="53"/>
      <c r="F899" s="54"/>
    </row>
    <row r="900" ht="15.75" customHeight="1">
      <c r="A900" s="51"/>
      <c r="D900" s="53"/>
      <c r="F900" s="54"/>
    </row>
    <row r="901" ht="15.75" customHeight="1">
      <c r="A901" s="51"/>
      <c r="D901" s="53"/>
      <c r="F901" s="54"/>
    </row>
    <row r="902" ht="15.75" customHeight="1">
      <c r="A902" s="51"/>
      <c r="D902" s="53"/>
      <c r="F902" s="54"/>
    </row>
    <row r="903" ht="15.75" customHeight="1">
      <c r="A903" s="51"/>
      <c r="D903" s="53"/>
      <c r="F903" s="54"/>
    </row>
    <row r="904" ht="15.75" customHeight="1">
      <c r="A904" s="51"/>
      <c r="D904" s="53"/>
      <c r="F904" s="54"/>
    </row>
    <row r="905" ht="15.75" customHeight="1">
      <c r="A905" s="51"/>
      <c r="D905" s="53"/>
      <c r="F905" s="54"/>
    </row>
    <row r="906" ht="15.75" customHeight="1">
      <c r="A906" s="51"/>
      <c r="D906" s="53"/>
      <c r="F906" s="54"/>
    </row>
    <row r="907" ht="15.75" customHeight="1">
      <c r="A907" s="51"/>
      <c r="D907" s="53"/>
      <c r="F907" s="54"/>
    </row>
    <row r="908" ht="15.75" customHeight="1">
      <c r="A908" s="51"/>
      <c r="D908" s="53"/>
      <c r="F908" s="54"/>
    </row>
    <row r="909" ht="15.75" customHeight="1">
      <c r="A909" s="51"/>
      <c r="D909" s="53"/>
      <c r="F909" s="54"/>
    </row>
    <row r="910" ht="15.75" customHeight="1">
      <c r="A910" s="51"/>
      <c r="D910" s="53"/>
      <c r="F910" s="54"/>
    </row>
    <row r="911" ht="15.75" customHeight="1">
      <c r="A911" s="51"/>
      <c r="D911" s="53"/>
      <c r="F911" s="54"/>
    </row>
    <row r="912" ht="15.75" customHeight="1">
      <c r="A912" s="51"/>
      <c r="D912" s="53"/>
      <c r="F912" s="54"/>
    </row>
    <row r="913" ht="15.75" customHeight="1">
      <c r="A913" s="51"/>
      <c r="D913" s="53"/>
      <c r="F913" s="54"/>
    </row>
    <row r="914" ht="15.75" customHeight="1">
      <c r="A914" s="51"/>
      <c r="D914" s="53"/>
      <c r="F914" s="54"/>
    </row>
    <row r="915" ht="15.75" customHeight="1">
      <c r="A915" s="51"/>
      <c r="D915" s="53"/>
      <c r="F915" s="54"/>
    </row>
    <row r="916" ht="15.75" customHeight="1">
      <c r="A916" s="51"/>
      <c r="D916" s="53"/>
      <c r="F916" s="54"/>
    </row>
    <row r="917" ht="15.75" customHeight="1">
      <c r="A917" s="51"/>
      <c r="D917" s="53"/>
      <c r="F917" s="54"/>
    </row>
    <row r="918" ht="15.75" customHeight="1">
      <c r="A918" s="51"/>
      <c r="D918" s="53"/>
      <c r="F918" s="54"/>
    </row>
    <row r="919" ht="15.75" customHeight="1">
      <c r="A919" s="51"/>
      <c r="D919" s="53"/>
      <c r="F919" s="54"/>
    </row>
    <row r="920" ht="15.75" customHeight="1">
      <c r="A920" s="51"/>
      <c r="D920" s="53"/>
      <c r="F920" s="54"/>
    </row>
    <row r="921" ht="15.75" customHeight="1">
      <c r="A921" s="51"/>
      <c r="D921" s="53"/>
      <c r="F921" s="54"/>
    </row>
    <row r="922" ht="15.75" customHeight="1">
      <c r="A922" s="51"/>
      <c r="D922" s="53"/>
      <c r="F922" s="54"/>
    </row>
    <row r="923" ht="15.75" customHeight="1">
      <c r="A923" s="51"/>
      <c r="D923" s="53"/>
      <c r="F923" s="54"/>
    </row>
    <row r="924" ht="15.75" customHeight="1">
      <c r="A924" s="51"/>
      <c r="D924" s="53"/>
      <c r="F924" s="54"/>
    </row>
    <row r="925" ht="15.75" customHeight="1">
      <c r="A925" s="51"/>
      <c r="D925" s="53"/>
      <c r="F925" s="54"/>
    </row>
    <row r="926" ht="15.75" customHeight="1">
      <c r="A926" s="51"/>
      <c r="D926" s="53"/>
      <c r="F926" s="54"/>
    </row>
    <row r="927" ht="15.75" customHeight="1">
      <c r="A927" s="51"/>
      <c r="D927" s="53"/>
      <c r="F927" s="54"/>
    </row>
    <row r="928" ht="15.75" customHeight="1">
      <c r="A928" s="51"/>
      <c r="D928" s="53"/>
      <c r="F928" s="54"/>
    </row>
    <row r="929" ht="15.75" customHeight="1">
      <c r="A929" s="51"/>
      <c r="D929" s="53"/>
      <c r="F929" s="54"/>
    </row>
    <row r="930" ht="15.75" customHeight="1">
      <c r="A930" s="51"/>
      <c r="D930" s="53"/>
      <c r="F930" s="54"/>
    </row>
    <row r="931" ht="15.75" customHeight="1">
      <c r="A931" s="51"/>
      <c r="D931" s="53"/>
      <c r="F931" s="54"/>
    </row>
    <row r="932" ht="15.75" customHeight="1">
      <c r="A932" s="51"/>
      <c r="D932" s="53"/>
      <c r="F932" s="54"/>
    </row>
    <row r="933" ht="15.75" customHeight="1">
      <c r="A933" s="51"/>
      <c r="D933" s="53"/>
      <c r="F933" s="54"/>
    </row>
    <row r="934" ht="15.75" customHeight="1">
      <c r="A934" s="51"/>
      <c r="D934" s="53"/>
      <c r="F934" s="54"/>
    </row>
    <row r="935" ht="15.75" customHeight="1">
      <c r="A935" s="51"/>
      <c r="D935" s="53"/>
      <c r="F935" s="54"/>
    </row>
    <row r="936" ht="15.75" customHeight="1">
      <c r="A936" s="51"/>
      <c r="D936" s="53"/>
      <c r="F936" s="54"/>
    </row>
    <row r="937" ht="15.75" customHeight="1">
      <c r="A937" s="51"/>
      <c r="D937" s="53"/>
      <c r="F937" s="54"/>
    </row>
    <row r="938" ht="15.75" customHeight="1">
      <c r="A938" s="51"/>
      <c r="D938" s="53"/>
      <c r="F938" s="54"/>
    </row>
    <row r="939" ht="15.75" customHeight="1">
      <c r="A939" s="51"/>
      <c r="D939" s="53"/>
      <c r="F939" s="54"/>
    </row>
    <row r="940" ht="15.75" customHeight="1">
      <c r="A940" s="51"/>
      <c r="D940" s="53"/>
      <c r="F940" s="54"/>
    </row>
    <row r="941" ht="15.75" customHeight="1">
      <c r="A941" s="51"/>
      <c r="D941" s="53"/>
      <c r="F941" s="54"/>
    </row>
    <row r="942" ht="15.75" customHeight="1">
      <c r="A942" s="51"/>
      <c r="D942" s="53"/>
      <c r="F942" s="54"/>
    </row>
    <row r="943" ht="15.75" customHeight="1">
      <c r="A943" s="51"/>
      <c r="D943" s="53"/>
      <c r="F943" s="54"/>
    </row>
    <row r="944" ht="15.75" customHeight="1">
      <c r="A944" s="51"/>
      <c r="D944" s="53"/>
      <c r="F944" s="54"/>
    </row>
    <row r="945" ht="15.75" customHeight="1">
      <c r="A945" s="51"/>
      <c r="D945" s="53"/>
      <c r="F945" s="54"/>
    </row>
    <row r="946" ht="15.75" customHeight="1">
      <c r="A946" s="51"/>
      <c r="D946" s="53"/>
      <c r="F946" s="54"/>
    </row>
    <row r="947" ht="15.75" customHeight="1">
      <c r="A947" s="51"/>
      <c r="D947" s="53"/>
      <c r="F947" s="54"/>
    </row>
    <row r="948" ht="15.75" customHeight="1">
      <c r="A948" s="51"/>
      <c r="D948" s="53"/>
      <c r="F948" s="54"/>
    </row>
    <row r="949" ht="15.75" customHeight="1">
      <c r="A949" s="51"/>
      <c r="D949" s="53"/>
      <c r="F949" s="54"/>
    </row>
    <row r="950" ht="15.75" customHeight="1">
      <c r="A950" s="51"/>
      <c r="D950" s="53"/>
      <c r="F950" s="54"/>
    </row>
    <row r="951" ht="15.75" customHeight="1">
      <c r="A951" s="51"/>
      <c r="D951" s="53"/>
      <c r="F951" s="54"/>
    </row>
    <row r="952" ht="15.75" customHeight="1">
      <c r="A952" s="51"/>
      <c r="D952" s="53"/>
      <c r="F952" s="54"/>
    </row>
    <row r="953" ht="15.75" customHeight="1">
      <c r="A953" s="51"/>
      <c r="D953" s="53"/>
      <c r="F953" s="54"/>
    </row>
    <row r="954" ht="15.75" customHeight="1">
      <c r="A954" s="51"/>
      <c r="D954" s="53"/>
      <c r="F954" s="54"/>
    </row>
    <row r="955" ht="15.75" customHeight="1">
      <c r="A955" s="51"/>
      <c r="D955" s="53"/>
      <c r="F955" s="54"/>
    </row>
    <row r="956" ht="15.75" customHeight="1">
      <c r="A956" s="51"/>
      <c r="D956" s="53"/>
      <c r="F956" s="54"/>
    </row>
    <row r="957" ht="15.75" customHeight="1">
      <c r="A957" s="51"/>
      <c r="D957" s="53"/>
      <c r="F957" s="54"/>
    </row>
    <row r="958" ht="15.75" customHeight="1">
      <c r="A958" s="51"/>
      <c r="D958" s="53"/>
      <c r="F958" s="54"/>
    </row>
    <row r="959" ht="15.75" customHeight="1">
      <c r="A959" s="51"/>
      <c r="D959" s="53"/>
      <c r="F959" s="54"/>
    </row>
    <row r="960" ht="15.75" customHeight="1">
      <c r="A960" s="51"/>
      <c r="D960" s="53"/>
      <c r="F960" s="54"/>
    </row>
    <row r="961" ht="15.75" customHeight="1">
      <c r="A961" s="51"/>
      <c r="D961" s="53"/>
      <c r="F961" s="54"/>
    </row>
    <row r="962" ht="15.75" customHeight="1">
      <c r="A962" s="51"/>
      <c r="D962" s="53"/>
      <c r="F962" s="54"/>
    </row>
    <row r="963" ht="15.75" customHeight="1">
      <c r="A963" s="51"/>
      <c r="D963" s="53"/>
      <c r="F963" s="54"/>
    </row>
    <row r="964" ht="15.75" customHeight="1">
      <c r="A964" s="51"/>
      <c r="D964" s="53"/>
      <c r="F964" s="54"/>
    </row>
    <row r="965" ht="15.75" customHeight="1">
      <c r="A965" s="51"/>
      <c r="D965" s="53"/>
      <c r="F965" s="54"/>
    </row>
    <row r="966" ht="15.75" customHeight="1">
      <c r="A966" s="51"/>
      <c r="D966" s="53"/>
      <c r="F966" s="54"/>
    </row>
    <row r="967" ht="15.75" customHeight="1">
      <c r="A967" s="51"/>
      <c r="D967" s="53"/>
      <c r="F967" s="54"/>
    </row>
    <row r="968" ht="15.75" customHeight="1">
      <c r="A968" s="51"/>
      <c r="D968" s="53"/>
      <c r="F968" s="54"/>
    </row>
    <row r="969" ht="15.75" customHeight="1">
      <c r="A969" s="51"/>
      <c r="D969" s="53"/>
      <c r="F969" s="54"/>
    </row>
    <row r="970" ht="15.75" customHeight="1">
      <c r="A970" s="51"/>
      <c r="D970" s="53"/>
      <c r="F970" s="54"/>
    </row>
    <row r="971" ht="15.75" customHeight="1">
      <c r="A971" s="51"/>
      <c r="D971" s="53"/>
      <c r="F971" s="54"/>
    </row>
    <row r="972" ht="15.75" customHeight="1">
      <c r="A972" s="51"/>
      <c r="D972" s="53"/>
      <c r="F972" s="54"/>
    </row>
    <row r="973" ht="15.75" customHeight="1">
      <c r="A973" s="51"/>
      <c r="D973" s="53"/>
      <c r="F973" s="54"/>
    </row>
    <row r="974" ht="15.75" customHeight="1">
      <c r="A974" s="51"/>
      <c r="D974" s="53"/>
      <c r="F974" s="54"/>
    </row>
    <row r="975" ht="15.75" customHeight="1">
      <c r="A975" s="51"/>
      <c r="D975" s="53"/>
      <c r="F975" s="54"/>
    </row>
    <row r="976" ht="15.75" customHeight="1">
      <c r="A976" s="51"/>
      <c r="D976" s="53"/>
      <c r="F976" s="54"/>
    </row>
    <row r="977" ht="15.75" customHeight="1">
      <c r="A977" s="51"/>
      <c r="D977" s="53"/>
      <c r="F977" s="54"/>
    </row>
    <row r="978" ht="15.75" customHeight="1">
      <c r="A978" s="51"/>
      <c r="D978" s="53"/>
      <c r="F978" s="54"/>
    </row>
    <row r="979" ht="15.75" customHeight="1">
      <c r="A979" s="51"/>
      <c r="D979" s="53"/>
      <c r="F979" s="54"/>
    </row>
    <row r="980" ht="15.75" customHeight="1">
      <c r="A980" s="51"/>
      <c r="D980" s="53"/>
      <c r="F980" s="54"/>
    </row>
    <row r="981" ht="15.75" customHeight="1">
      <c r="A981" s="51"/>
      <c r="D981" s="53"/>
      <c r="F981" s="54"/>
    </row>
    <row r="982" ht="15.75" customHeight="1">
      <c r="A982" s="51"/>
      <c r="D982" s="53"/>
      <c r="F982" s="54"/>
    </row>
    <row r="983" ht="15.75" customHeight="1">
      <c r="A983" s="51"/>
      <c r="D983" s="53"/>
      <c r="F983" s="54"/>
    </row>
    <row r="984" ht="15.75" customHeight="1">
      <c r="A984" s="51"/>
      <c r="D984" s="53"/>
      <c r="F984" s="54"/>
    </row>
    <row r="985" ht="15.75" customHeight="1">
      <c r="A985" s="51"/>
      <c r="D985" s="53"/>
      <c r="F985" s="54"/>
    </row>
    <row r="986" ht="15.75" customHeight="1">
      <c r="A986" s="51"/>
      <c r="D986" s="53"/>
      <c r="F986" s="54"/>
    </row>
    <row r="987" ht="15.75" customHeight="1">
      <c r="A987" s="51"/>
      <c r="D987" s="53"/>
      <c r="F987" s="54"/>
    </row>
    <row r="988" ht="15.75" customHeight="1">
      <c r="A988" s="51"/>
      <c r="D988" s="53"/>
      <c r="F988" s="54"/>
    </row>
    <row r="989" ht="15.75" customHeight="1">
      <c r="A989" s="51"/>
      <c r="D989" s="53"/>
      <c r="F989" s="54"/>
    </row>
    <row r="990" ht="15.75" customHeight="1">
      <c r="A990" s="51"/>
      <c r="D990" s="53"/>
      <c r="F990" s="54"/>
    </row>
    <row r="991" ht="15.75" customHeight="1">
      <c r="A991" s="51"/>
      <c r="D991" s="53"/>
      <c r="F991" s="54"/>
    </row>
    <row r="992" ht="15.75" customHeight="1">
      <c r="A992" s="51"/>
      <c r="D992" s="53"/>
      <c r="F992" s="54"/>
    </row>
    <row r="993" ht="15.75" customHeight="1">
      <c r="A993" s="51"/>
      <c r="D993" s="53"/>
      <c r="F993" s="54"/>
    </row>
    <row r="994" ht="15.75" customHeight="1">
      <c r="A994" s="51"/>
      <c r="D994" s="53"/>
      <c r="F994" s="54"/>
    </row>
    <row r="995" ht="15.75" customHeight="1">
      <c r="A995" s="51"/>
      <c r="D995" s="53"/>
      <c r="F995" s="54"/>
    </row>
    <row r="996" ht="15.75" customHeight="1">
      <c r="A996" s="51"/>
      <c r="D996" s="53"/>
      <c r="F996" s="54"/>
    </row>
    <row r="997" ht="15.75" customHeight="1">
      <c r="A997" s="51"/>
      <c r="D997" s="53"/>
      <c r="F997" s="54"/>
    </row>
    <row r="998" ht="15.75" customHeight="1">
      <c r="A998" s="51"/>
      <c r="D998" s="53"/>
      <c r="F998" s="54"/>
    </row>
    <row r="999" ht="15.75" customHeight="1">
      <c r="A999" s="51"/>
      <c r="D999" s="53"/>
      <c r="F999" s="54"/>
    </row>
    <row r="1000" ht="15.75" customHeight="1">
      <c r="A1000" s="51"/>
      <c r="D1000" s="53"/>
      <c r="F1000" s="54"/>
    </row>
  </sheetData>
  <dataValidations>
    <dataValidation type="list" allowBlank="1" showErrorMessage="1" sqref="E2:E137">
      <formula1>$W$2:$W$4</formula1>
    </dataValidation>
    <dataValidation type="list" allowBlank="1" showErrorMessage="1" sqref="G2:G122">
      <formula1>Lists_hidden!$A$1:$A$5</formula1>
    </dataValidation>
  </dataValidations>
  <hyperlinks>
    <hyperlink r:id="rId1" ref="F3"/>
    <hyperlink r:id="rId2" ref="F4"/>
    <hyperlink r:id="rId3" location="revoke-access" ref="F7"/>
    <hyperlink r:id="rId4" ref="F10"/>
    <hyperlink r:id="rId5" ref="F14"/>
    <hyperlink r:id="rId6" ref="F16"/>
    <hyperlink r:id="rId7" ref="F18"/>
    <hyperlink r:id="rId8" ref="F20"/>
    <hyperlink r:id="rId9" ref="F80"/>
  </hyperlinks>
  <printOptions/>
  <pageMargins bottom="0.75" footer="0.0" header="0.0" left="0.7" right="0.7" top="0.75"/>
  <pageSetup orientation="portrait"/>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5.14"/>
    <col customWidth="1" min="3" max="3" width="29.43"/>
    <col customWidth="1" min="4" max="4" width="19.14"/>
    <col customWidth="1" min="5" max="5" width="23.43"/>
    <col customWidth="1" min="6" max="6" width="19.86"/>
    <col customWidth="1" min="7" max="7" width="28.43"/>
    <col customWidth="1" min="8" max="26" width="8.86"/>
  </cols>
  <sheetData>
    <row r="1" ht="57.0" customHeight="1">
      <c r="A1" s="42" t="s">
        <v>81</v>
      </c>
      <c r="B1" s="15"/>
      <c r="C1" s="15"/>
      <c r="D1" s="15"/>
      <c r="E1" s="15"/>
      <c r="F1" s="15"/>
      <c r="G1" s="16"/>
    </row>
    <row r="2">
      <c r="A2" s="4" t="s">
        <v>2</v>
      </c>
      <c r="B2" s="4" t="s">
        <v>3</v>
      </c>
      <c r="C2" s="4" t="s">
        <v>6</v>
      </c>
      <c r="D2" s="43" t="s">
        <v>83</v>
      </c>
      <c r="E2" s="43" t="s">
        <v>85</v>
      </c>
      <c r="F2" s="43" t="s">
        <v>86</v>
      </c>
      <c r="G2" s="43" t="s">
        <v>87</v>
      </c>
    </row>
    <row r="3">
      <c r="D3" s="34"/>
      <c r="F3" s="34"/>
    </row>
    <row r="4">
      <c r="D4" s="34"/>
      <c r="F4" s="34"/>
    </row>
    <row r="5">
      <c r="D5" s="34"/>
      <c r="F5" s="34"/>
    </row>
    <row r="6">
      <c r="D6" s="34"/>
      <c r="F6" s="34"/>
    </row>
    <row r="7">
      <c r="D7" s="34"/>
      <c r="F7" s="34"/>
    </row>
    <row r="8">
      <c r="D8" s="34"/>
      <c r="F8" s="34"/>
    </row>
    <row r="9">
      <c r="D9" s="34"/>
      <c r="F9" s="34"/>
    </row>
    <row r="10">
      <c r="D10" s="34"/>
      <c r="F10" s="34"/>
    </row>
    <row r="11">
      <c r="D11" s="34"/>
      <c r="F11" s="34"/>
    </row>
    <row r="12">
      <c r="D12" s="34"/>
      <c r="F12" s="34"/>
    </row>
    <row r="13">
      <c r="D13" s="34"/>
      <c r="F13" s="34"/>
    </row>
    <row r="14">
      <c r="D14" s="34"/>
      <c r="F14" s="34"/>
    </row>
    <row r="15">
      <c r="D15" s="34"/>
      <c r="F15" s="34"/>
    </row>
    <row r="16">
      <c r="D16" s="34"/>
      <c r="F16" s="34"/>
    </row>
    <row r="17">
      <c r="D17" s="34"/>
      <c r="F17" s="3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ataValidations>
    <dataValidation type="list" allowBlank="1" showErrorMessage="1" sqref="F3:F17">
      <formula1>$P$4:$P$5</formula1>
    </dataValidation>
    <dataValidation type="list" allowBlank="1" showErrorMessage="1" sqref="D3:D17">
      <formula1>$M$4:$M$6</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34" t="s">
        <v>41</v>
      </c>
    </row>
    <row r="2">
      <c r="A2" s="34" t="s">
        <v>112</v>
      </c>
    </row>
    <row r="3">
      <c r="A3" s="34" t="s">
        <v>113</v>
      </c>
    </row>
    <row r="4">
      <c r="A4" s="34" t="s">
        <v>114</v>
      </c>
    </row>
    <row r="5">
      <c r="A5" s="34" t="s">
        <v>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