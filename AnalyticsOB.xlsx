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Faltu/"/>
    </mc:Choice>
  </mc:AlternateContent>
  <xr:revisionPtr revIDLastSave="0" documentId="8_{5D69D0BD-8AFB-42CF-A790-CAA84F376108}" xr6:coauthVersionLast="36" xr6:coauthVersionMax="36" xr10:uidLastSave="{00000000-0000-0000-0000-000000000000}"/>
  <bookViews>
    <workbookView xWindow="0" yWindow="0" windowWidth="23040" windowHeight="8364" xr2:uid="{E5971156-7DDC-4FEB-9A0E-43260F5D2AD4}"/>
  </bookViews>
  <sheets>
    <sheet name="RFP-Enterprise Digital Analytic" sheetId="1" r:id="rId1"/>
  </sheets>
  <definedNames>
    <definedName name="_xlnm._FilterDatabase" localSheetId="0" hidden="1">'RFP-Enterprise Digital Analytic'!$A$2:$AB$221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21" i="1" l="1"/>
  <c r="P220" i="1"/>
  <c r="N220" i="1"/>
  <c r="L220" i="1"/>
  <c r="J220" i="1"/>
  <c r="H220" i="1"/>
  <c r="F220" i="1"/>
  <c r="P219" i="1"/>
  <c r="N219" i="1"/>
  <c r="L219" i="1"/>
  <c r="J219" i="1"/>
  <c r="H219" i="1"/>
  <c r="F219" i="1"/>
  <c r="P218" i="1"/>
  <c r="N218" i="1"/>
  <c r="L218" i="1"/>
  <c r="J218" i="1"/>
  <c r="H218" i="1"/>
  <c r="F218" i="1"/>
  <c r="P217" i="1"/>
  <c r="N217" i="1"/>
  <c r="L217" i="1"/>
  <c r="J217" i="1"/>
  <c r="H217" i="1"/>
  <c r="F217" i="1"/>
  <c r="P216" i="1"/>
  <c r="N216" i="1"/>
  <c r="L216" i="1"/>
  <c r="J216" i="1"/>
  <c r="H216" i="1"/>
  <c r="F216" i="1"/>
  <c r="P215" i="1"/>
  <c r="N215" i="1"/>
  <c r="L215" i="1"/>
  <c r="J215" i="1"/>
  <c r="H215" i="1"/>
  <c r="F215" i="1"/>
  <c r="P214" i="1"/>
  <c r="N214" i="1"/>
  <c r="L214" i="1"/>
  <c r="J214" i="1"/>
  <c r="H214" i="1"/>
  <c r="F214" i="1"/>
  <c r="P213" i="1"/>
  <c r="N213" i="1"/>
  <c r="L213" i="1"/>
  <c r="J213" i="1"/>
  <c r="H213" i="1"/>
  <c r="F213" i="1"/>
  <c r="P212" i="1"/>
  <c r="N212" i="1"/>
  <c r="L212" i="1"/>
  <c r="J212" i="1"/>
  <c r="H212" i="1"/>
  <c r="F212" i="1"/>
  <c r="P211" i="1"/>
  <c r="N211" i="1"/>
  <c r="L211" i="1"/>
  <c r="J211" i="1"/>
  <c r="H211" i="1"/>
  <c r="F211" i="1"/>
  <c r="P210" i="1"/>
  <c r="N210" i="1"/>
  <c r="L210" i="1"/>
  <c r="J210" i="1"/>
  <c r="H210" i="1"/>
  <c r="F210" i="1"/>
  <c r="P209" i="1"/>
  <c r="N209" i="1"/>
  <c r="L209" i="1"/>
  <c r="J209" i="1"/>
  <c r="H209" i="1"/>
  <c r="F209" i="1"/>
  <c r="P208" i="1"/>
  <c r="N208" i="1"/>
  <c r="L208" i="1"/>
  <c r="J208" i="1"/>
  <c r="H208" i="1"/>
  <c r="F208" i="1"/>
  <c r="P207" i="1"/>
  <c r="N207" i="1"/>
  <c r="AA205" i="1" s="1"/>
  <c r="L207" i="1"/>
  <c r="Z205" i="1" s="1"/>
  <c r="J207" i="1"/>
  <c r="H207" i="1"/>
  <c r="F207" i="1"/>
  <c r="P206" i="1"/>
  <c r="N206" i="1"/>
  <c r="L206" i="1"/>
  <c r="J206" i="1"/>
  <c r="H206" i="1"/>
  <c r="F206" i="1"/>
  <c r="W205" i="1"/>
  <c r="P205" i="1"/>
  <c r="AB205" i="1" s="1"/>
  <c r="N205" i="1"/>
  <c r="L205" i="1"/>
  <c r="J205" i="1"/>
  <c r="Y205" i="1" s="1"/>
  <c r="H205" i="1"/>
  <c r="X205" i="1" s="1"/>
  <c r="F205" i="1"/>
  <c r="P204" i="1"/>
  <c r="N204" i="1"/>
  <c r="L204" i="1"/>
  <c r="J204" i="1"/>
  <c r="H204" i="1"/>
  <c r="F204" i="1"/>
  <c r="P203" i="1"/>
  <c r="N203" i="1"/>
  <c r="L203" i="1"/>
  <c r="J203" i="1"/>
  <c r="H203" i="1"/>
  <c r="F203" i="1"/>
  <c r="P202" i="1"/>
  <c r="N202" i="1"/>
  <c r="L202" i="1"/>
  <c r="J202" i="1"/>
  <c r="H202" i="1"/>
  <c r="F202" i="1"/>
  <c r="P201" i="1"/>
  <c r="N201" i="1"/>
  <c r="L201" i="1"/>
  <c r="J201" i="1"/>
  <c r="H201" i="1"/>
  <c r="F201" i="1"/>
  <c r="P200" i="1"/>
  <c r="N200" i="1"/>
  <c r="L200" i="1"/>
  <c r="J200" i="1"/>
  <c r="H200" i="1"/>
  <c r="F200" i="1"/>
  <c r="P199" i="1"/>
  <c r="N199" i="1"/>
  <c r="L199" i="1"/>
  <c r="J199" i="1"/>
  <c r="H199" i="1"/>
  <c r="F199" i="1"/>
  <c r="P198" i="1"/>
  <c r="N198" i="1"/>
  <c r="L198" i="1"/>
  <c r="J198" i="1"/>
  <c r="H198" i="1"/>
  <c r="F198" i="1"/>
  <c r="P197" i="1"/>
  <c r="N197" i="1"/>
  <c r="L197" i="1"/>
  <c r="J197" i="1"/>
  <c r="H197" i="1"/>
  <c r="F197" i="1"/>
  <c r="P196" i="1"/>
  <c r="N196" i="1"/>
  <c r="L196" i="1"/>
  <c r="J196" i="1"/>
  <c r="H196" i="1"/>
  <c r="F196" i="1"/>
  <c r="P195" i="1"/>
  <c r="N195" i="1"/>
  <c r="L195" i="1"/>
  <c r="J195" i="1"/>
  <c r="H195" i="1"/>
  <c r="F195" i="1"/>
  <c r="P194" i="1"/>
  <c r="N194" i="1"/>
  <c r="L194" i="1"/>
  <c r="J194" i="1"/>
  <c r="H194" i="1"/>
  <c r="F194" i="1"/>
  <c r="P193" i="1"/>
  <c r="N193" i="1"/>
  <c r="L193" i="1"/>
  <c r="J193" i="1"/>
  <c r="H193" i="1"/>
  <c r="F193" i="1"/>
  <c r="P192" i="1"/>
  <c r="N192" i="1"/>
  <c r="L192" i="1"/>
  <c r="J192" i="1"/>
  <c r="H192" i="1"/>
  <c r="F192" i="1"/>
  <c r="P191" i="1"/>
  <c r="N191" i="1"/>
  <c r="L191" i="1"/>
  <c r="J191" i="1"/>
  <c r="Y189" i="1" s="1"/>
  <c r="H191" i="1"/>
  <c r="X189" i="1" s="1"/>
  <c r="F191" i="1"/>
  <c r="P190" i="1"/>
  <c r="N190" i="1"/>
  <c r="L190" i="1"/>
  <c r="J190" i="1"/>
  <c r="H190" i="1"/>
  <c r="F190" i="1"/>
  <c r="AB189" i="1"/>
  <c r="P189" i="1"/>
  <c r="N189" i="1"/>
  <c r="AA189" i="1" s="1"/>
  <c r="L189" i="1"/>
  <c r="Z189" i="1" s="1"/>
  <c r="J189" i="1"/>
  <c r="H189" i="1"/>
  <c r="F189" i="1"/>
  <c r="W189" i="1" s="1"/>
  <c r="P188" i="1"/>
  <c r="N188" i="1"/>
  <c r="L188" i="1"/>
  <c r="J188" i="1"/>
  <c r="H188" i="1"/>
  <c r="F188" i="1"/>
  <c r="P187" i="1"/>
  <c r="N187" i="1"/>
  <c r="L187" i="1"/>
  <c r="J187" i="1"/>
  <c r="H187" i="1"/>
  <c r="F187" i="1"/>
  <c r="P186" i="1"/>
  <c r="N186" i="1"/>
  <c r="L186" i="1"/>
  <c r="J186" i="1"/>
  <c r="H186" i="1"/>
  <c r="F186" i="1"/>
  <c r="P185" i="1"/>
  <c r="N185" i="1"/>
  <c r="L185" i="1"/>
  <c r="J185" i="1"/>
  <c r="H185" i="1"/>
  <c r="F185" i="1"/>
  <c r="P184" i="1"/>
  <c r="N184" i="1"/>
  <c r="L184" i="1"/>
  <c r="J184" i="1"/>
  <c r="H184" i="1"/>
  <c r="F184" i="1"/>
  <c r="P183" i="1"/>
  <c r="N183" i="1"/>
  <c r="L183" i="1"/>
  <c r="J183" i="1"/>
  <c r="H183" i="1"/>
  <c r="F183" i="1"/>
  <c r="P182" i="1"/>
  <c r="N182" i="1"/>
  <c r="L182" i="1"/>
  <c r="J182" i="1"/>
  <c r="H182" i="1"/>
  <c r="F182" i="1"/>
  <c r="P181" i="1"/>
  <c r="N181" i="1"/>
  <c r="L181" i="1"/>
  <c r="J181" i="1"/>
  <c r="H181" i="1"/>
  <c r="F181" i="1"/>
  <c r="P180" i="1"/>
  <c r="N180" i="1"/>
  <c r="L180" i="1"/>
  <c r="J180" i="1"/>
  <c r="H180" i="1"/>
  <c r="F180" i="1"/>
  <c r="P179" i="1"/>
  <c r="N179" i="1"/>
  <c r="L179" i="1"/>
  <c r="J179" i="1"/>
  <c r="H179" i="1"/>
  <c r="F179" i="1"/>
  <c r="P178" i="1"/>
  <c r="N178" i="1"/>
  <c r="L178" i="1"/>
  <c r="J178" i="1"/>
  <c r="H178" i="1"/>
  <c r="F178" i="1"/>
  <c r="P177" i="1"/>
  <c r="N177" i="1"/>
  <c r="L177" i="1"/>
  <c r="J177" i="1"/>
  <c r="H177" i="1"/>
  <c r="F177" i="1"/>
  <c r="P176" i="1"/>
  <c r="N176" i="1"/>
  <c r="L176" i="1"/>
  <c r="J176" i="1"/>
  <c r="Y174" i="1" s="1"/>
  <c r="H176" i="1"/>
  <c r="X174" i="1" s="1"/>
  <c r="F176" i="1"/>
  <c r="P175" i="1"/>
  <c r="N175" i="1"/>
  <c r="L175" i="1"/>
  <c r="J175" i="1"/>
  <c r="H175" i="1"/>
  <c r="F175" i="1"/>
  <c r="AB174" i="1"/>
  <c r="P174" i="1"/>
  <c r="N174" i="1"/>
  <c r="AA174" i="1" s="1"/>
  <c r="L174" i="1"/>
  <c r="Z174" i="1" s="1"/>
  <c r="J174" i="1"/>
  <c r="H174" i="1"/>
  <c r="F174" i="1"/>
  <c r="W174" i="1" s="1"/>
  <c r="P173" i="1"/>
  <c r="N173" i="1"/>
  <c r="L173" i="1"/>
  <c r="J173" i="1"/>
  <c r="H173" i="1"/>
  <c r="F173" i="1"/>
  <c r="P172" i="1"/>
  <c r="N172" i="1"/>
  <c r="L172" i="1"/>
  <c r="J172" i="1"/>
  <c r="H172" i="1"/>
  <c r="F172" i="1"/>
  <c r="P171" i="1"/>
  <c r="N171" i="1"/>
  <c r="L171" i="1"/>
  <c r="J171" i="1"/>
  <c r="H171" i="1"/>
  <c r="F171" i="1"/>
  <c r="P170" i="1"/>
  <c r="N170" i="1"/>
  <c r="L170" i="1"/>
  <c r="J170" i="1"/>
  <c r="H170" i="1"/>
  <c r="F170" i="1"/>
  <c r="P169" i="1"/>
  <c r="N169" i="1"/>
  <c r="L169" i="1"/>
  <c r="J169" i="1"/>
  <c r="H169" i="1"/>
  <c r="F169" i="1"/>
  <c r="P168" i="1"/>
  <c r="N168" i="1"/>
  <c r="L168" i="1"/>
  <c r="J168" i="1"/>
  <c r="H168" i="1"/>
  <c r="F168" i="1"/>
  <c r="P167" i="1"/>
  <c r="N167" i="1"/>
  <c r="L167" i="1"/>
  <c r="J167" i="1"/>
  <c r="H167" i="1"/>
  <c r="F167" i="1"/>
  <c r="P166" i="1"/>
  <c r="N166" i="1"/>
  <c r="L166" i="1"/>
  <c r="J166" i="1"/>
  <c r="H166" i="1"/>
  <c r="F166" i="1"/>
  <c r="P165" i="1"/>
  <c r="N165" i="1"/>
  <c r="L165" i="1"/>
  <c r="J165" i="1"/>
  <c r="H165" i="1"/>
  <c r="F165" i="1"/>
  <c r="P164" i="1"/>
  <c r="N164" i="1"/>
  <c r="L164" i="1"/>
  <c r="J164" i="1"/>
  <c r="H164" i="1"/>
  <c r="F164" i="1"/>
  <c r="P163" i="1"/>
  <c r="N163" i="1"/>
  <c r="L163" i="1"/>
  <c r="J163" i="1"/>
  <c r="H163" i="1"/>
  <c r="F163" i="1"/>
  <c r="P162" i="1"/>
  <c r="N162" i="1"/>
  <c r="L162" i="1"/>
  <c r="J162" i="1"/>
  <c r="H162" i="1"/>
  <c r="F162" i="1"/>
  <c r="P161" i="1"/>
  <c r="N161" i="1"/>
  <c r="L161" i="1"/>
  <c r="J161" i="1"/>
  <c r="H161" i="1"/>
  <c r="F161" i="1"/>
  <c r="P160" i="1"/>
  <c r="N160" i="1"/>
  <c r="L160" i="1"/>
  <c r="J160" i="1"/>
  <c r="H160" i="1"/>
  <c r="F160" i="1"/>
  <c r="W158" i="1" s="1"/>
  <c r="P159" i="1"/>
  <c r="N159" i="1"/>
  <c r="L159" i="1"/>
  <c r="J159" i="1"/>
  <c r="H159" i="1"/>
  <c r="F159" i="1"/>
  <c r="AA158" i="1"/>
  <c r="Z158" i="1"/>
  <c r="P158" i="1"/>
  <c r="AB158" i="1" s="1"/>
  <c r="N158" i="1"/>
  <c r="L158" i="1"/>
  <c r="J158" i="1"/>
  <c r="Y158" i="1" s="1"/>
  <c r="H158" i="1"/>
  <c r="X158" i="1" s="1"/>
  <c r="F158" i="1"/>
  <c r="P157" i="1"/>
  <c r="N157" i="1"/>
  <c r="L157" i="1"/>
  <c r="J157" i="1"/>
  <c r="H157" i="1"/>
  <c r="F157" i="1"/>
  <c r="P156" i="1"/>
  <c r="N156" i="1"/>
  <c r="L156" i="1"/>
  <c r="J156" i="1"/>
  <c r="H156" i="1"/>
  <c r="F156" i="1"/>
  <c r="P155" i="1"/>
  <c r="N155" i="1"/>
  <c r="L155" i="1"/>
  <c r="J155" i="1"/>
  <c r="H155" i="1"/>
  <c r="F155" i="1"/>
  <c r="P154" i="1"/>
  <c r="N154" i="1"/>
  <c r="L154" i="1"/>
  <c r="J154" i="1"/>
  <c r="H154" i="1"/>
  <c r="F154" i="1"/>
  <c r="P153" i="1"/>
  <c r="N153" i="1"/>
  <c r="L153" i="1"/>
  <c r="J153" i="1"/>
  <c r="H153" i="1"/>
  <c r="F153" i="1"/>
  <c r="P152" i="1"/>
  <c r="N152" i="1"/>
  <c r="L152" i="1"/>
  <c r="J152" i="1"/>
  <c r="H152" i="1"/>
  <c r="F152" i="1"/>
  <c r="P151" i="1"/>
  <c r="N151" i="1"/>
  <c r="L151" i="1"/>
  <c r="J151" i="1"/>
  <c r="H151" i="1"/>
  <c r="F151" i="1"/>
  <c r="P150" i="1"/>
  <c r="N150" i="1"/>
  <c r="L150" i="1"/>
  <c r="J150" i="1"/>
  <c r="H150" i="1"/>
  <c r="F150" i="1"/>
  <c r="P149" i="1"/>
  <c r="N149" i="1"/>
  <c r="L149" i="1"/>
  <c r="J149" i="1"/>
  <c r="H149" i="1"/>
  <c r="F149" i="1"/>
  <c r="P148" i="1"/>
  <c r="N148" i="1"/>
  <c r="L148" i="1"/>
  <c r="J148" i="1"/>
  <c r="H148" i="1"/>
  <c r="F148" i="1"/>
  <c r="P147" i="1"/>
  <c r="N147" i="1"/>
  <c r="L147" i="1"/>
  <c r="J147" i="1"/>
  <c r="H147" i="1"/>
  <c r="F147" i="1"/>
  <c r="P146" i="1"/>
  <c r="N146" i="1"/>
  <c r="L146" i="1"/>
  <c r="J146" i="1"/>
  <c r="H146" i="1"/>
  <c r="F146" i="1"/>
  <c r="P145" i="1"/>
  <c r="N145" i="1"/>
  <c r="L145" i="1"/>
  <c r="J145" i="1"/>
  <c r="H145" i="1"/>
  <c r="F145" i="1"/>
  <c r="P144" i="1"/>
  <c r="N144" i="1"/>
  <c r="L144" i="1"/>
  <c r="J144" i="1"/>
  <c r="H144" i="1"/>
  <c r="F144" i="1"/>
  <c r="P143" i="1"/>
  <c r="N143" i="1"/>
  <c r="L143" i="1"/>
  <c r="J143" i="1"/>
  <c r="H143" i="1"/>
  <c r="F143" i="1"/>
  <c r="P142" i="1"/>
  <c r="N142" i="1"/>
  <c r="L142" i="1"/>
  <c r="J142" i="1"/>
  <c r="Y140" i="1" s="1"/>
  <c r="H142" i="1"/>
  <c r="X140" i="1" s="1"/>
  <c r="F142" i="1"/>
  <c r="P141" i="1"/>
  <c r="N141" i="1"/>
  <c r="L141" i="1"/>
  <c r="J141" i="1"/>
  <c r="H141" i="1"/>
  <c r="F141" i="1"/>
  <c r="AB140" i="1"/>
  <c r="P140" i="1"/>
  <c r="N140" i="1"/>
  <c r="AA140" i="1" s="1"/>
  <c r="L140" i="1"/>
  <c r="Z140" i="1" s="1"/>
  <c r="J140" i="1"/>
  <c r="H140" i="1"/>
  <c r="F140" i="1"/>
  <c r="W140" i="1" s="1"/>
  <c r="P139" i="1"/>
  <c r="N139" i="1"/>
  <c r="L139" i="1"/>
  <c r="J139" i="1"/>
  <c r="H139" i="1"/>
  <c r="F139" i="1"/>
  <c r="P138" i="1"/>
  <c r="N138" i="1"/>
  <c r="L138" i="1"/>
  <c r="J138" i="1"/>
  <c r="H138" i="1"/>
  <c r="F138" i="1"/>
  <c r="P137" i="1"/>
  <c r="N137" i="1"/>
  <c r="L137" i="1"/>
  <c r="J137" i="1"/>
  <c r="H137" i="1"/>
  <c r="F137" i="1"/>
  <c r="P136" i="1"/>
  <c r="N136" i="1"/>
  <c r="L136" i="1"/>
  <c r="J136" i="1"/>
  <c r="H136" i="1"/>
  <c r="F136" i="1"/>
  <c r="P135" i="1"/>
  <c r="N135" i="1"/>
  <c r="L135" i="1"/>
  <c r="J135" i="1"/>
  <c r="H135" i="1"/>
  <c r="F135" i="1"/>
  <c r="P134" i="1"/>
  <c r="N134" i="1"/>
  <c r="L134" i="1"/>
  <c r="J134" i="1"/>
  <c r="H134" i="1"/>
  <c r="F134" i="1"/>
  <c r="P133" i="1"/>
  <c r="N133" i="1"/>
  <c r="L133" i="1"/>
  <c r="J133" i="1"/>
  <c r="H133" i="1"/>
  <c r="F133" i="1"/>
  <c r="P132" i="1"/>
  <c r="N132" i="1"/>
  <c r="L132" i="1"/>
  <c r="J132" i="1"/>
  <c r="H132" i="1"/>
  <c r="F132" i="1"/>
  <c r="P131" i="1"/>
  <c r="N131" i="1"/>
  <c r="L131" i="1"/>
  <c r="J131" i="1"/>
  <c r="H131" i="1"/>
  <c r="X118" i="1" s="1"/>
  <c r="F131" i="1"/>
  <c r="P130" i="1"/>
  <c r="N130" i="1"/>
  <c r="L130" i="1"/>
  <c r="J130" i="1"/>
  <c r="H130" i="1"/>
  <c r="F130" i="1"/>
  <c r="P129" i="1"/>
  <c r="N129" i="1"/>
  <c r="L129" i="1"/>
  <c r="J129" i="1"/>
  <c r="H129" i="1"/>
  <c r="F129" i="1"/>
  <c r="P128" i="1"/>
  <c r="N128" i="1"/>
  <c r="AA118" i="1" s="1"/>
  <c r="L128" i="1"/>
  <c r="J128" i="1"/>
  <c r="H128" i="1"/>
  <c r="F128" i="1"/>
  <c r="L127" i="1"/>
  <c r="J127" i="1"/>
  <c r="H127" i="1"/>
  <c r="F127" i="1"/>
  <c r="L126" i="1"/>
  <c r="J126" i="1"/>
  <c r="H126" i="1"/>
  <c r="F126" i="1"/>
  <c r="L125" i="1"/>
  <c r="J125" i="1"/>
  <c r="H125" i="1"/>
  <c r="F125" i="1"/>
  <c r="L124" i="1"/>
  <c r="J124" i="1"/>
  <c r="H124" i="1"/>
  <c r="F124" i="1"/>
  <c r="L123" i="1"/>
  <c r="J123" i="1"/>
  <c r="H123" i="1"/>
  <c r="F123" i="1"/>
  <c r="L122" i="1"/>
  <c r="J122" i="1"/>
  <c r="H122" i="1"/>
  <c r="F122" i="1"/>
  <c r="L121" i="1"/>
  <c r="J121" i="1"/>
  <c r="H121" i="1"/>
  <c r="F121" i="1"/>
  <c r="P120" i="1"/>
  <c r="AB118" i="1" s="1"/>
  <c r="N120" i="1"/>
  <c r="L120" i="1"/>
  <c r="J120" i="1"/>
  <c r="H120" i="1"/>
  <c r="P119" i="1"/>
  <c r="N119" i="1"/>
  <c r="L119" i="1"/>
  <c r="J119" i="1"/>
  <c r="H119" i="1"/>
  <c r="F119" i="1"/>
  <c r="W118" i="1"/>
  <c r="P118" i="1"/>
  <c r="N118" i="1"/>
  <c r="L118" i="1"/>
  <c r="Z118" i="1" s="1"/>
  <c r="J118" i="1"/>
  <c r="Y118" i="1" s="1"/>
  <c r="H118" i="1"/>
  <c r="F118" i="1"/>
  <c r="P117" i="1"/>
  <c r="N117" i="1"/>
  <c r="L117" i="1"/>
  <c r="J117" i="1"/>
  <c r="H117" i="1"/>
  <c r="F117" i="1"/>
  <c r="P116" i="1"/>
  <c r="N116" i="1"/>
  <c r="L116" i="1"/>
  <c r="J116" i="1"/>
  <c r="H116" i="1"/>
  <c r="F116" i="1"/>
  <c r="P115" i="1"/>
  <c r="N115" i="1"/>
  <c r="L115" i="1"/>
  <c r="J115" i="1"/>
  <c r="H115" i="1"/>
  <c r="F115" i="1"/>
  <c r="P114" i="1"/>
  <c r="N114" i="1"/>
  <c r="L114" i="1"/>
  <c r="J114" i="1"/>
  <c r="H114" i="1"/>
  <c r="P113" i="1"/>
  <c r="N113" i="1"/>
  <c r="L113" i="1"/>
  <c r="J113" i="1"/>
  <c r="H113" i="1"/>
  <c r="P112" i="1"/>
  <c r="N112" i="1"/>
  <c r="L112" i="1"/>
  <c r="J112" i="1"/>
  <c r="H112" i="1"/>
  <c r="P111" i="1"/>
  <c r="N111" i="1"/>
  <c r="L111" i="1"/>
  <c r="J111" i="1"/>
  <c r="H111" i="1"/>
  <c r="P110" i="1"/>
  <c r="N110" i="1"/>
  <c r="L110" i="1"/>
  <c r="J110" i="1"/>
  <c r="H110" i="1"/>
  <c r="P109" i="1"/>
  <c r="N109" i="1"/>
  <c r="L109" i="1"/>
  <c r="J109" i="1"/>
  <c r="H109" i="1"/>
  <c r="P108" i="1"/>
  <c r="N108" i="1"/>
  <c r="L108" i="1"/>
  <c r="J108" i="1"/>
  <c r="H108" i="1"/>
  <c r="P107" i="1"/>
  <c r="N107" i="1"/>
  <c r="L107" i="1"/>
  <c r="J107" i="1"/>
  <c r="H107" i="1"/>
  <c r="P106" i="1"/>
  <c r="N106" i="1"/>
  <c r="L106" i="1"/>
  <c r="J106" i="1"/>
  <c r="H106" i="1"/>
  <c r="P105" i="1"/>
  <c r="N105" i="1"/>
  <c r="L105" i="1"/>
  <c r="J105" i="1"/>
  <c r="H105" i="1"/>
  <c r="P104" i="1"/>
  <c r="N104" i="1"/>
  <c r="L104" i="1"/>
  <c r="J104" i="1"/>
  <c r="H104" i="1"/>
  <c r="P103" i="1"/>
  <c r="N103" i="1"/>
  <c r="L103" i="1"/>
  <c r="J103" i="1"/>
  <c r="H103" i="1"/>
  <c r="P102" i="1"/>
  <c r="N102" i="1"/>
  <c r="L102" i="1"/>
  <c r="J102" i="1"/>
  <c r="H102" i="1"/>
  <c r="F102" i="1"/>
  <c r="P101" i="1"/>
  <c r="N101" i="1"/>
  <c r="L101" i="1"/>
  <c r="J101" i="1"/>
  <c r="H101" i="1"/>
  <c r="F101" i="1"/>
  <c r="P100" i="1"/>
  <c r="N100" i="1"/>
  <c r="L100" i="1"/>
  <c r="J100" i="1"/>
  <c r="H100" i="1"/>
  <c r="F100" i="1"/>
  <c r="P99" i="1"/>
  <c r="N99" i="1"/>
  <c r="L99" i="1"/>
  <c r="J99" i="1"/>
  <c r="H99" i="1"/>
  <c r="F99" i="1"/>
  <c r="P98" i="1"/>
  <c r="N98" i="1"/>
  <c r="L98" i="1"/>
  <c r="J98" i="1"/>
  <c r="H98" i="1"/>
  <c r="F98" i="1"/>
  <c r="P97" i="1"/>
  <c r="N97" i="1"/>
  <c r="L97" i="1"/>
  <c r="J97" i="1"/>
  <c r="H97" i="1"/>
  <c r="F97" i="1"/>
  <c r="P96" i="1"/>
  <c r="N96" i="1"/>
  <c r="L96" i="1"/>
  <c r="J96" i="1"/>
  <c r="H96" i="1"/>
  <c r="F96" i="1"/>
  <c r="P95" i="1"/>
  <c r="N95" i="1"/>
  <c r="L95" i="1"/>
  <c r="J95" i="1"/>
  <c r="H95" i="1"/>
  <c r="F95" i="1"/>
  <c r="P94" i="1"/>
  <c r="N94" i="1"/>
  <c r="L94" i="1"/>
  <c r="Z92" i="1" s="1"/>
  <c r="J94" i="1"/>
  <c r="Y92" i="1" s="1"/>
  <c r="H94" i="1"/>
  <c r="F94" i="1"/>
  <c r="P93" i="1"/>
  <c r="N93" i="1"/>
  <c r="L93" i="1"/>
  <c r="J93" i="1"/>
  <c r="H93" i="1"/>
  <c r="F93" i="1"/>
  <c r="P92" i="1"/>
  <c r="AB92" i="1" s="1"/>
  <c r="N92" i="1"/>
  <c r="AA92" i="1" s="1"/>
  <c r="L92" i="1"/>
  <c r="J92" i="1"/>
  <c r="H92" i="1"/>
  <c r="X92" i="1" s="1"/>
  <c r="F92" i="1"/>
  <c r="W92" i="1" s="1"/>
  <c r="P91" i="1"/>
  <c r="N91" i="1"/>
  <c r="L91" i="1"/>
  <c r="J91" i="1"/>
  <c r="H91" i="1"/>
  <c r="F91" i="1"/>
  <c r="P90" i="1"/>
  <c r="N90" i="1"/>
  <c r="L90" i="1"/>
  <c r="J90" i="1"/>
  <c r="H90" i="1"/>
  <c r="F90" i="1"/>
  <c r="P89" i="1"/>
  <c r="N89" i="1"/>
  <c r="L89" i="1"/>
  <c r="J89" i="1"/>
  <c r="H89" i="1"/>
  <c r="F89" i="1"/>
  <c r="P88" i="1"/>
  <c r="N88" i="1"/>
  <c r="L88" i="1"/>
  <c r="J88" i="1"/>
  <c r="H88" i="1"/>
  <c r="F88" i="1"/>
  <c r="P87" i="1"/>
  <c r="N87" i="1"/>
  <c r="L87" i="1"/>
  <c r="J87" i="1"/>
  <c r="H87" i="1"/>
  <c r="F87" i="1"/>
  <c r="P86" i="1"/>
  <c r="N86" i="1"/>
  <c r="L86" i="1"/>
  <c r="J86" i="1"/>
  <c r="H86" i="1"/>
  <c r="F86" i="1"/>
  <c r="P85" i="1"/>
  <c r="N85" i="1"/>
  <c r="L85" i="1"/>
  <c r="J85" i="1"/>
  <c r="H85" i="1"/>
  <c r="F85" i="1"/>
  <c r="P84" i="1"/>
  <c r="N84" i="1"/>
  <c r="L84" i="1"/>
  <c r="J84" i="1"/>
  <c r="H84" i="1"/>
  <c r="F84" i="1"/>
  <c r="P83" i="1"/>
  <c r="N83" i="1"/>
  <c r="L83" i="1"/>
  <c r="J83" i="1"/>
  <c r="H83" i="1"/>
  <c r="F83" i="1"/>
  <c r="P82" i="1"/>
  <c r="N82" i="1"/>
  <c r="L82" i="1"/>
  <c r="J82" i="1"/>
  <c r="H82" i="1"/>
  <c r="F82" i="1"/>
  <c r="P81" i="1"/>
  <c r="N81" i="1"/>
  <c r="L81" i="1"/>
  <c r="J81" i="1"/>
  <c r="H81" i="1"/>
  <c r="F81" i="1"/>
  <c r="P80" i="1"/>
  <c r="N80" i="1"/>
  <c r="L80" i="1"/>
  <c r="J80" i="1"/>
  <c r="H80" i="1"/>
  <c r="F80" i="1"/>
  <c r="P79" i="1"/>
  <c r="N79" i="1"/>
  <c r="L79" i="1"/>
  <c r="J79" i="1"/>
  <c r="H79" i="1"/>
  <c r="F79" i="1"/>
  <c r="P78" i="1"/>
  <c r="N78" i="1"/>
  <c r="L78" i="1"/>
  <c r="J78" i="1"/>
  <c r="H78" i="1"/>
  <c r="X76" i="1" s="1"/>
  <c r="F78" i="1"/>
  <c r="W76" i="1" s="1"/>
  <c r="P77" i="1"/>
  <c r="N77" i="1"/>
  <c r="L77" i="1"/>
  <c r="J77" i="1"/>
  <c r="H77" i="1"/>
  <c r="F77" i="1"/>
  <c r="AB76" i="1"/>
  <c r="AA76" i="1"/>
  <c r="P76" i="1"/>
  <c r="N76" i="1"/>
  <c r="L76" i="1"/>
  <c r="Z76" i="1" s="1"/>
  <c r="J76" i="1"/>
  <c r="Y76" i="1" s="1"/>
  <c r="H76" i="1"/>
  <c r="F76" i="1"/>
  <c r="P75" i="1"/>
  <c r="N75" i="1"/>
  <c r="L75" i="1"/>
  <c r="J75" i="1"/>
  <c r="H75" i="1"/>
  <c r="F75" i="1"/>
  <c r="P74" i="1"/>
  <c r="N74" i="1"/>
  <c r="L74" i="1"/>
  <c r="J74" i="1"/>
  <c r="H74" i="1"/>
  <c r="F74" i="1"/>
  <c r="P73" i="1"/>
  <c r="N73" i="1"/>
  <c r="L73" i="1"/>
  <c r="J73" i="1"/>
  <c r="H73" i="1"/>
  <c r="F73" i="1"/>
  <c r="P72" i="1"/>
  <c r="N72" i="1"/>
  <c r="L72" i="1"/>
  <c r="J72" i="1"/>
  <c r="H72" i="1"/>
  <c r="F72" i="1"/>
  <c r="P71" i="1"/>
  <c r="N71" i="1"/>
  <c r="L71" i="1"/>
  <c r="J71" i="1"/>
  <c r="H71" i="1"/>
  <c r="F71" i="1"/>
  <c r="P70" i="1"/>
  <c r="N70" i="1"/>
  <c r="L70" i="1"/>
  <c r="J70" i="1"/>
  <c r="H70" i="1"/>
  <c r="F70" i="1"/>
  <c r="P69" i="1"/>
  <c r="N69" i="1"/>
  <c r="L69" i="1"/>
  <c r="J69" i="1"/>
  <c r="H69" i="1"/>
  <c r="F69" i="1"/>
  <c r="P68" i="1"/>
  <c r="N68" i="1"/>
  <c r="L68" i="1"/>
  <c r="J68" i="1"/>
  <c r="H68" i="1"/>
  <c r="F68" i="1"/>
  <c r="P67" i="1"/>
  <c r="N67" i="1"/>
  <c r="L67" i="1"/>
  <c r="J67" i="1"/>
  <c r="H67" i="1"/>
  <c r="F67" i="1"/>
  <c r="P66" i="1"/>
  <c r="N66" i="1"/>
  <c r="L66" i="1"/>
  <c r="J66" i="1"/>
  <c r="H66" i="1"/>
  <c r="F66" i="1"/>
  <c r="P65" i="1"/>
  <c r="N65" i="1"/>
  <c r="L65" i="1"/>
  <c r="J65" i="1"/>
  <c r="H65" i="1"/>
  <c r="F65" i="1"/>
  <c r="P64" i="1"/>
  <c r="N64" i="1"/>
  <c r="L64" i="1"/>
  <c r="J64" i="1"/>
  <c r="H64" i="1"/>
  <c r="F64" i="1"/>
  <c r="P63" i="1"/>
  <c r="N63" i="1"/>
  <c r="L63" i="1"/>
  <c r="J63" i="1"/>
  <c r="H63" i="1"/>
  <c r="F63" i="1"/>
  <c r="P62" i="1"/>
  <c r="N62" i="1"/>
  <c r="L62" i="1"/>
  <c r="J62" i="1"/>
  <c r="H62" i="1"/>
  <c r="F62" i="1"/>
  <c r="P61" i="1"/>
  <c r="N61" i="1"/>
  <c r="L61" i="1"/>
  <c r="J61" i="1"/>
  <c r="H61" i="1"/>
  <c r="F61" i="1"/>
  <c r="P60" i="1"/>
  <c r="N60" i="1"/>
  <c r="L60" i="1"/>
  <c r="Z58" i="1" s="1"/>
  <c r="J60" i="1"/>
  <c r="Y58" i="1" s="1"/>
  <c r="H60" i="1"/>
  <c r="F60" i="1"/>
  <c r="P59" i="1"/>
  <c r="N59" i="1"/>
  <c r="L59" i="1"/>
  <c r="J59" i="1"/>
  <c r="H59" i="1"/>
  <c r="F59" i="1"/>
  <c r="P58" i="1"/>
  <c r="AB58" i="1" s="1"/>
  <c r="N58" i="1"/>
  <c r="AA58" i="1" s="1"/>
  <c r="L58" i="1"/>
  <c r="J58" i="1"/>
  <c r="H58" i="1"/>
  <c r="X58" i="1" s="1"/>
  <c r="F58" i="1"/>
  <c r="W58" i="1" s="1"/>
  <c r="P57" i="1"/>
  <c r="N57" i="1"/>
  <c r="L57" i="1"/>
  <c r="J57" i="1"/>
  <c r="H57" i="1"/>
  <c r="F57" i="1"/>
  <c r="P56" i="1"/>
  <c r="N56" i="1"/>
  <c r="L56" i="1"/>
  <c r="J56" i="1"/>
  <c r="H56" i="1"/>
  <c r="F56" i="1"/>
  <c r="P55" i="1"/>
  <c r="N55" i="1"/>
  <c r="L55" i="1"/>
  <c r="J55" i="1"/>
  <c r="H55" i="1"/>
  <c r="F55" i="1"/>
  <c r="P54" i="1"/>
  <c r="N54" i="1"/>
  <c r="L54" i="1"/>
  <c r="J54" i="1"/>
  <c r="H54" i="1"/>
  <c r="F54" i="1"/>
  <c r="P53" i="1"/>
  <c r="N53" i="1"/>
  <c r="L53" i="1"/>
  <c r="J53" i="1"/>
  <c r="H53" i="1"/>
  <c r="F53" i="1"/>
  <c r="P52" i="1"/>
  <c r="N52" i="1"/>
  <c r="L52" i="1"/>
  <c r="J52" i="1"/>
  <c r="H52" i="1"/>
  <c r="F52" i="1"/>
  <c r="P51" i="1"/>
  <c r="N51" i="1"/>
  <c r="L51" i="1"/>
  <c r="J51" i="1"/>
  <c r="H51" i="1"/>
  <c r="F51" i="1"/>
  <c r="P50" i="1"/>
  <c r="N50" i="1"/>
  <c r="L50" i="1"/>
  <c r="J50" i="1"/>
  <c r="H50" i="1"/>
  <c r="F50" i="1"/>
  <c r="P49" i="1"/>
  <c r="N49" i="1"/>
  <c r="L49" i="1"/>
  <c r="J49" i="1"/>
  <c r="H49" i="1"/>
  <c r="F49" i="1"/>
  <c r="P48" i="1"/>
  <c r="N48" i="1"/>
  <c r="L48" i="1"/>
  <c r="J48" i="1"/>
  <c r="H48" i="1"/>
  <c r="F48" i="1"/>
  <c r="P47" i="1"/>
  <c r="N47" i="1"/>
  <c r="L47" i="1"/>
  <c r="J47" i="1"/>
  <c r="H47" i="1"/>
  <c r="F47" i="1"/>
  <c r="P46" i="1"/>
  <c r="AB42" i="1" s="1"/>
  <c r="N46" i="1"/>
  <c r="L46" i="1"/>
  <c r="J46" i="1"/>
  <c r="H46" i="1"/>
  <c r="F46" i="1"/>
  <c r="P45" i="1"/>
  <c r="N45" i="1"/>
  <c r="L45" i="1"/>
  <c r="J45" i="1"/>
  <c r="H45" i="1"/>
  <c r="F45" i="1"/>
  <c r="P44" i="1"/>
  <c r="N44" i="1"/>
  <c r="L44" i="1"/>
  <c r="J44" i="1"/>
  <c r="H44" i="1"/>
  <c r="X42" i="1" s="1"/>
  <c r="F44" i="1"/>
  <c r="W42" i="1" s="1"/>
  <c r="P43" i="1"/>
  <c r="N43" i="1"/>
  <c r="L43" i="1"/>
  <c r="J43" i="1"/>
  <c r="H43" i="1"/>
  <c r="F43" i="1"/>
  <c r="AA42" i="1"/>
  <c r="P42" i="1"/>
  <c r="N42" i="1"/>
  <c r="L42" i="1"/>
  <c r="Z42" i="1" s="1"/>
  <c r="J42" i="1"/>
  <c r="Y42" i="1" s="1"/>
  <c r="H42" i="1"/>
  <c r="F42" i="1"/>
  <c r="P41" i="1"/>
  <c r="N41" i="1"/>
  <c r="L41" i="1"/>
  <c r="J41" i="1"/>
  <c r="H41" i="1"/>
  <c r="F41" i="1"/>
  <c r="P40" i="1"/>
  <c r="N40" i="1"/>
  <c r="L40" i="1"/>
  <c r="J40" i="1"/>
  <c r="H40" i="1"/>
  <c r="F40" i="1"/>
  <c r="P39" i="1"/>
  <c r="N39" i="1"/>
  <c r="L39" i="1"/>
  <c r="J39" i="1"/>
  <c r="H39" i="1"/>
  <c r="F39" i="1"/>
  <c r="P38" i="1"/>
  <c r="N38" i="1"/>
  <c r="L38" i="1"/>
  <c r="J38" i="1"/>
  <c r="H38" i="1"/>
  <c r="F38" i="1"/>
  <c r="P37" i="1"/>
  <c r="N37" i="1"/>
  <c r="L37" i="1"/>
  <c r="J37" i="1"/>
  <c r="H37" i="1"/>
  <c r="F37" i="1"/>
  <c r="P36" i="1"/>
  <c r="N36" i="1"/>
  <c r="L36" i="1"/>
  <c r="J36" i="1"/>
  <c r="H36" i="1"/>
  <c r="F36" i="1"/>
  <c r="P35" i="1"/>
  <c r="N35" i="1"/>
  <c r="L35" i="1"/>
  <c r="J35" i="1"/>
  <c r="H35" i="1"/>
  <c r="F35" i="1"/>
  <c r="P34" i="1"/>
  <c r="N34" i="1"/>
  <c r="L34" i="1"/>
  <c r="J34" i="1"/>
  <c r="H34" i="1"/>
  <c r="F34" i="1"/>
  <c r="P33" i="1"/>
  <c r="N33" i="1"/>
  <c r="L33" i="1"/>
  <c r="J33" i="1"/>
  <c r="H33" i="1"/>
  <c r="F33" i="1"/>
  <c r="P32" i="1"/>
  <c r="N32" i="1"/>
  <c r="L32" i="1"/>
  <c r="J32" i="1"/>
  <c r="H32" i="1"/>
  <c r="F32" i="1"/>
  <c r="P31" i="1"/>
  <c r="AB29" i="1" s="1"/>
  <c r="N31" i="1"/>
  <c r="AA29" i="1" s="1"/>
  <c r="L31" i="1"/>
  <c r="J31" i="1"/>
  <c r="H31" i="1"/>
  <c r="F31" i="1"/>
  <c r="P30" i="1"/>
  <c r="N30" i="1"/>
  <c r="L30" i="1"/>
  <c r="J30" i="1"/>
  <c r="H30" i="1"/>
  <c r="F30" i="1"/>
  <c r="X29" i="1"/>
  <c r="W29" i="1"/>
  <c r="P29" i="1"/>
  <c r="N29" i="1"/>
  <c r="L29" i="1"/>
  <c r="Z29" i="1" s="1"/>
  <c r="J29" i="1"/>
  <c r="Y29" i="1" s="1"/>
  <c r="H29" i="1"/>
  <c r="F29" i="1"/>
  <c r="P28" i="1"/>
  <c r="N28" i="1"/>
  <c r="L28" i="1"/>
  <c r="J28" i="1"/>
  <c r="H28" i="1"/>
  <c r="F28" i="1"/>
  <c r="P27" i="1"/>
  <c r="N27" i="1"/>
  <c r="L27" i="1"/>
  <c r="J27" i="1"/>
  <c r="H27" i="1"/>
  <c r="F27" i="1"/>
  <c r="P26" i="1"/>
  <c r="N26" i="1"/>
  <c r="L26" i="1"/>
  <c r="J26" i="1"/>
  <c r="H26" i="1"/>
  <c r="F26" i="1"/>
  <c r="P25" i="1"/>
  <c r="N25" i="1"/>
  <c r="L25" i="1"/>
  <c r="J25" i="1"/>
  <c r="H25" i="1"/>
  <c r="F25" i="1"/>
  <c r="P24" i="1"/>
  <c r="N24" i="1"/>
  <c r="L24" i="1"/>
  <c r="J24" i="1"/>
  <c r="H24" i="1"/>
  <c r="F24" i="1"/>
  <c r="P23" i="1"/>
  <c r="N23" i="1"/>
  <c r="L23" i="1"/>
  <c r="J23" i="1"/>
  <c r="H23" i="1"/>
  <c r="F23" i="1"/>
  <c r="P22" i="1"/>
  <c r="N22" i="1"/>
  <c r="L22" i="1"/>
  <c r="J22" i="1"/>
  <c r="H22" i="1"/>
  <c r="F22" i="1"/>
  <c r="P21" i="1"/>
  <c r="N21" i="1"/>
  <c r="L21" i="1"/>
  <c r="J21" i="1"/>
  <c r="H21" i="1"/>
  <c r="F21" i="1"/>
  <c r="P20" i="1"/>
  <c r="AB18" i="1" s="1"/>
  <c r="N20" i="1"/>
  <c r="AA18" i="1" s="1"/>
  <c r="L20" i="1"/>
  <c r="J20" i="1"/>
  <c r="H20" i="1"/>
  <c r="F20" i="1"/>
  <c r="P19" i="1"/>
  <c r="N19" i="1"/>
  <c r="L19" i="1"/>
  <c r="J19" i="1"/>
  <c r="H19" i="1"/>
  <c r="F19" i="1"/>
  <c r="X18" i="1"/>
  <c r="W18" i="1"/>
  <c r="P18" i="1"/>
  <c r="N18" i="1"/>
  <c r="L18" i="1"/>
  <c r="Z18" i="1" s="1"/>
  <c r="J18" i="1"/>
  <c r="Y18" i="1" s="1"/>
  <c r="H18" i="1"/>
  <c r="F18" i="1"/>
  <c r="P17" i="1"/>
  <c r="N17" i="1"/>
  <c r="L17" i="1"/>
  <c r="J17" i="1"/>
  <c r="H17" i="1"/>
  <c r="F17" i="1"/>
  <c r="P16" i="1"/>
  <c r="N16" i="1"/>
  <c r="L16" i="1"/>
  <c r="Z12" i="1" s="1"/>
  <c r="J16" i="1"/>
  <c r="H16" i="1"/>
  <c r="F16" i="1"/>
  <c r="P15" i="1"/>
  <c r="N15" i="1"/>
  <c r="L15" i="1"/>
  <c r="J15" i="1"/>
  <c r="H15" i="1"/>
  <c r="F15" i="1"/>
  <c r="P14" i="1"/>
  <c r="N14" i="1"/>
  <c r="L14" i="1"/>
  <c r="J14" i="1"/>
  <c r="H14" i="1"/>
  <c r="F14" i="1"/>
  <c r="P13" i="1"/>
  <c r="N13" i="1"/>
  <c r="L13" i="1"/>
  <c r="J13" i="1"/>
  <c r="H13" i="1"/>
  <c r="F13" i="1"/>
  <c r="Y12" i="1"/>
  <c r="P12" i="1"/>
  <c r="AB12" i="1" s="1"/>
  <c r="N12" i="1"/>
  <c r="AA12" i="1" s="1"/>
  <c r="L12" i="1"/>
  <c r="J12" i="1"/>
  <c r="H12" i="1"/>
  <c r="X12" i="1" s="1"/>
  <c r="F12" i="1"/>
  <c r="W12" i="1" s="1"/>
  <c r="P11" i="1"/>
  <c r="N11" i="1"/>
  <c r="L11" i="1"/>
  <c r="J11" i="1"/>
  <c r="H11" i="1"/>
  <c r="F11" i="1"/>
  <c r="P10" i="1"/>
  <c r="N10" i="1"/>
  <c r="L10" i="1"/>
  <c r="J10" i="1"/>
  <c r="H10" i="1"/>
  <c r="F10" i="1"/>
  <c r="P9" i="1"/>
  <c r="N9" i="1"/>
  <c r="L9" i="1"/>
  <c r="J9" i="1"/>
  <c r="H9" i="1"/>
  <c r="F9" i="1"/>
  <c r="P8" i="1"/>
  <c r="N8" i="1"/>
  <c r="L8" i="1"/>
  <c r="J8" i="1"/>
  <c r="H8" i="1"/>
  <c r="F8" i="1"/>
  <c r="P7" i="1"/>
  <c r="N7" i="1"/>
  <c r="L7" i="1"/>
  <c r="J7" i="1"/>
  <c r="H7" i="1"/>
  <c r="F7" i="1"/>
  <c r="P6" i="1"/>
  <c r="N6" i="1"/>
  <c r="L6" i="1"/>
  <c r="J6" i="1"/>
  <c r="H6" i="1"/>
  <c r="F6" i="1"/>
  <c r="P5" i="1"/>
  <c r="N5" i="1"/>
  <c r="L5" i="1"/>
  <c r="Z3" i="1" s="1"/>
  <c r="Z221" i="1" s="1"/>
  <c r="J5" i="1"/>
  <c r="Y3" i="1" s="1"/>
  <c r="H5" i="1"/>
  <c r="F5" i="1"/>
  <c r="P4" i="1"/>
  <c r="N4" i="1"/>
  <c r="L4" i="1"/>
  <c r="J4" i="1"/>
  <c r="H4" i="1"/>
  <c r="F4" i="1"/>
  <c r="P3" i="1"/>
  <c r="AB3" i="1" s="1"/>
  <c r="N3" i="1"/>
  <c r="AA3" i="1" s="1"/>
  <c r="L3" i="1"/>
  <c r="J3" i="1"/>
  <c r="H3" i="1"/>
  <c r="X3" i="1" s="1"/>
  <c r="F3" i="1"/>
  <c r="W3" i="1" s="1"/>
  <c r="W221" i="1" s="1"/>
  <c r="AB221" i="1" l="1"/>
  <c r="X221" i="1"/>
  <c r="AA221" i="1"/>
  <c r="Y221" i="1"/>
</calcChain>
</file>

<file path=xl/sharedStrings.xml><?xml version="1.0" encoding="utf-8"?>
<sst xmlns="http://schemas.openxmlformats.org/spreadsheetml/2006/main" count="2671" uniqueCount="1183">
  <si>
    <t xml:space="preserve">Amplitude </t>
  </si>
  <si>
    <t xml:space="preserve">Content Square </t>
  </si>
  <si>
    <t>MixPanel</t>
  </si>
  <si>
    <t>MoEngage</t>
  </si>
  <si>
    <t>Adobe  - Old Stack</t>
  </si>
  <si>
    <t>Adobe - New Stack</t>
  </si>
  <si>
    <t>RFP- Comments</t>
  </si>
  <si>
    <t>Final Score</t>
  </si>
  <si>
    <t>S. No.</t>
  </si>
  <si>
    <t>Evaluation Area</t>
  </si>
  <si>
    <t>Functional Requirement</t>
  </si>
  <si>
    <t>Overall IndiGo Weight</t>
  </si>
  <si>
    <t>Self Rating</t>
  </si>
  <si>
    <t>IndiGo Score</t>
  </si>
  <si>
    <t>Amplitude
Comment</t>
  </si>
  <si>
    <t>Content Square
Comment</t>
  </si>
  <si>
    <t>MixPanel
Comment</t>
  </si>
  <si>
    <t>MoEngage
Comment</t>
  </si>
  <si>
    <t>Adobe Comments - Old Stack</t>
  </si>
  <si>
    <t>Adobe Comments - New Stack</t>
  </si>
  <si>
    <t>Content Square</t>
  </si>
  <si>
    <t>Adobe - Old Stack</t>
  </si>
  <si>
    <t>Enterprise Analytics Data Collection</t>
  </si>
  <si>
    <t>1.1.1. Ability to capture customer interaction events across Web, Mobile Applications (Android and iOS), backend services, APIs, kiosks, chatbots, and future digital channels.</t>
  </si>
  <si>
    <t>C</t>
  </si>
  <si>
    <t>Amplitude ingests behavioural events from web, Android, iOS, React Native, Flutter and Unity client SDKs, from server-side SDKs (Node, Python, Java, Go, Ruby, PHP) and from the HTTP V2 API, so web, mobile, backend, API, kiosk and chatbot channels all feed a single project. New digital channels use the same SDK/API contract.</t>
  </si>
  <si>
    <t>Supports web, Android, iOS, chatbot, kiosk, server-side booking/payment events, APIs and SDK deployment.</t>
  </si>
  <si>
    <t>Capability appears supported; however, airline-specific implementation evidence for all listed channels is not provided.</t>
  </si>
  <si>
    <t>Adobe Analytics collects interactions from web, mobile apps and any connected system, including APIs, kiosks and chatbots, through its web and mobile SDKs and the Data Insertion API. Everything lands in one governed, unsampled data set that IndiGo's teams already know.</t>
  </si>
  <si>
    <t>Adobe Experience Platform collects events once and uses them everywhere. Web and Mobile SDKs (Android/iOS) capture app and site interactions; backend services, APIs, kiosks and chatbots stream the same standard-schema events. New channels onboard onto the existing schema, and IndiGo's current Adobe data collection carries forward.</t>
  </si>
  <si>
    <t>1.1.2. Ability to support SDK-based, API-based, server-side, client-side, and hybrid event collection mechanisms.</t>
  </si>
  <si>
    <t>PC</t>
  </si>
  <si>
    <t>All listed mechanisms are supported: client-side SDKs, server-side SDKs, direct HTTP/REST ingestion, and hybrid deployments that mix client and server collection. Client-side vs server-side guidance is documented.</t>
  </si>
  <si>
    <t>SDKs, GTM, CDP, server-side APIs, hybrid architecture and offline queueing are explicitly described.</t>
  </si>
  <si>
    <t>Requirement addressed comprehensively, though API limits and throughput per mechanism are not specified.</t>
  </si>
  <si>
    <t>Client-side tags, mobile SDKs, server-side calls and bulk or real-time insertion APIs are all supported, so IndiGo can mix collection methods without changing the reporting model.</t>
  </si>
  <si>
    <t>Adobe Experience Platform supports SDK-based, API-based, server-side, client-side and hybrid collection on one schema and identity map, plus batch and source-connector ingestion.</t>
  </si>
  <si>
    <t>1.1.3. Ability to capture page views, screen views, clicks, searches, bookings, payment events, ancillary purchases, cancellations, refunds, modifications, check-in activities, and servicing events.</t>
  </si>
  <si>
    <t>Autocapture records page views, screen views and clicks automatically. Domain events (search, booking, payment, ancillary purchase, cancellation, refund, modification, check-in, servicing) are tracked via track() calls or defined in the tracking plan and instrumented once.</t>
  </si>
  <si>
    <t>Event taxonomy and customer journeys explicitly cover these business events.</t>
  </si>
  <si>
    <t>Events are primarily implemented as configurable custom events rather than demonstrated native airline analytics models.</t>
  </si>
  <si>
    <t>Page and screen views, clicks, searches, bookings, payments, ancillaries, cancellations, refunds, modifications, check-in and servicing are captured as standard events and variables, and are already part of IndiGo's implementation.</t>
  </si>
  <si>
    <t>All listed events are modelled in the Experience Platform standard data model (XDM): views, clicks, searches, bookings, payments, ancillaries, cancellations, refunds, modifications, check-in and servicing. Airline-specific events are added as reusable field groups.</t>
  </si>
  <si>
    <t>1.1.4. Ability to capture custom business events without requiring significant engineering effort.</t>
  </si>
  <si>
    <t>Business users can define events from the UI using Autocapture and Visual Labeling without engineering changes, and the Wizard CLI generates code for developer-instrumented events, minimising engineering effort.</t>
  </si>
  <si>
    <t>Auto-capture and configurable event taxonomy are described, but minimal engineering effort is not explicitly committed.</t>
  </si>
  <si>
    <t>Engineering effort is still required to instrument new events. The proposal overstates complete business self-service.</t>
  </si>
  <si>
    <t>New events are added with tag-management rules and data-layer mapping, so business teams can extend tracking without waiting for an application release on web.</t>
  </si>
  <si>
    <t>Tag-based rules and data-layer mapping let teams add web events without an application release, and the shared schema means a new business event is defined once for all downstream use.</t>
  </si>
  <si>
    <t>1.1.5. Ability to define custom event parameters, custom dimensions, calculated metrics, and event attributes.</t>
  </si>
  <si>
    <t>Amplitude supports custom event and user properties, property groups, derived (computed) properties evaluated at query time, and custom/calculated metrics, covering custom parameters, dimensions, calculated metrics and attributes.</t>
  </si>
  <si>
    <t>Event schema, metadata, calculated dimensions and custom metrics are described.</t>
  </si>
  <si>
    <t>Requirement is met; however, platform limits, complexity and performance constraints are not disclosed.</t>
  </si>
  <si>
    <t>Custom events, eVars and props carry any business parameter, and analysts build calculated metrics on top of them without code.</t>
  </si>
  <si>
    <t>Custom event parameters, dimensions, metrics and calculated metrics are defined by business analysts in the platform's data views and analysis workspace, with no code.</t>
  </si>
  <si>
    <t>1.1.6. Ability to capture customer identifiers, session identifiers, device identifiers, campaign identifiers, booking identifiers, and transaction identifiers.</t>
  </si>
  <si>
    <t>user_id, device_id and session_id are managed by the SDKs; campaign/UTM identifiers are captured automatically; booking, loyalty, customer and transaction identifiers are sent as event or user properties. Identity resolution stitches these together.</t>
  </si>
  <si>
    <t>Identity layer supports login ID, PNR, loyalty ID, email, phone, booking ID, transaction ID and campaign attribution.</t>
  </si>
  <si>
    <t>Capability is described, but "no cap" claims are not substantiated with product limits or documentation.</t>
  </si>
  <si>
    <t>Visitor ID, login ID, session, campaign, booking reference and transaction identifiers travel with every event and are available as dimensions in every report.</t>
  </si>
  <si>
    <t>The Experience Platform identity map carries customer, session, device, campaign, booking and transaction identifiers (ECID, login ID, loyalty ID, mobile ad IDs, PNR) on every event.</t>
  </si>
  <si>
    <t>1.1.7. Ability to support offline event collection with automatic synchronization once connectivity is restored.</t>
  </si>
  <si>
    <t>Mobile SDKs persist events to on-device storage when offline and automatically flush and synchronise them once connectivity is restored, with configurable retry.</t>
  </si>
  <si>
    <t>Offline queuing with automatic synchronization is explicitly mentioned.</t>
  </si>
  <si>
    <t>Requirement addressed; offline storage capacity, retention period and queue limitations are not provided.</t>
  </si>
  <si>
    <t>The mobile SDK queues events while offline and sends them on reconnect with original timestamps, using timestamp-enabled report suites. Very long offline gaps are back-filled through bulk insertion.</t>
  </si>
  <si>
    <t>Mobile SDK queues events offline and sends them on reconnect with original timestamps; longer gaps are back-filled through streaming or batch ingestion.</t>
  </si>
  <si>
    <t>1.1.8. Ability to validate events before ingestion to prevent duplicate, malformed, or incomplete analytics records.</t>
  </si>
  <si>
    <t>Events are validated before ingestion through the tracking plan schema (with blocking enforcement), Ampli type-safe instrumentation, and Observe monitoring. Duplicate events are prevented using insert_id de-duplication.</t>
  </si>
  <si>
    <t>CDP Tracking Plans, schema validation and DebugView validation are described before publishing.</t>
  </si>
  <si>
    <t>Proposal focuses mainly on data-type validation. Duplicate detection, payload governance and validation rules are not fully explained.</t>
  </si>
  <si>
    <t>Processing rules, data-layer standards and tag-level debugging catch most malformed or incomplete events, and the Data Repair API fixes errors after the fact. There is no schema-level validation gate, so duplicate prevention relies on unique transaction IDs.</t>
  </si>
  <si>
    <t>Adobe Experience Platform validates every event against its schema at ingestion, rejects malformed or incomplete records and applies data-prep rules. Duplicates are removed with event-ID controls and SQL-based de-duplication in the platform.</t>
  </si>
  <si>
    <t>1.1.9. Ability to support high-volume event ingestion while maintaining low latency during peak booking periods.</t>
  </si>
  <si>
    <t>The cloud-native ingestion pipeline scales elastically to billions of events and sustains low latency during peak booking and flash-sale periods; batching and the HTTP V2 API support high throughput.</t>
  </si>
  <si>
    <t>15B+ sessions/day, horizontal scaling, real-time monitoring and streaming architecture are described.</t>
  </si>
  <si>
    <t>Evidence is based on platform-wide benchmarks and marketing references rather than tenant-specific or contractually committed performance for IndiGo.</t>
  </si>
  <si>
    <t>Adobe Analytics is built for very high volumes and has run airline-scale peaks, such as sales and disruption days, without sampling reports.</t>
  </si>
  <si>
    <t>Adobe Experience Platform's Edge network and Streaming ingestion scale elastically for peak booking and sale periods, with near-real-time availability of data for analysis and activation.</t>
  </si>
  <si>
    <t>Event Taxonomy &amp; Data Governance</t>
  </si>
  <si>
    <t>2.1.1. Ability to define standardized enterprise event taxonomy.</t>
  </si>
  <si>
    <t>Amplitude Data provides a central tracking plan that defines a standardised enterprise event taxonomy (events, properties, categories) shared across every source and project.</t>
  </si>
  <si>
    <t>Event Taxonomy Design and Governance Playbook are proposed.</t>
  </si>
  <si>
    <t>Capability adequately supported.</t>
  </si>
  <si>
    <t>Capability supported but largely implementation-process driven rather than product-native.</t>
  </si>
  <si>
    <t>Report-suite variable definitions and a solution-design reference give one enterprise taxonomy across web and app, reused by tags, reports and downstream personalization.</t>
  </si>
  <si>
    <t>One enterprise event taxonomy is defined in the Experience Platform schema registry and reused across web, app and backend sources.</t>
  </si>
  <si>
    <t>2.1.2. Ability to maintain event naming conventions across all digital channels.</t>
  </si>
  <si>
    <t>Naming conventions are enforced with configurable naming rules and casing checks in Amplitude Data; the plan applies across all web, mobile and server sources.</t>
  </si>
  <si>
    <t>Naming conventions are governed through the Governance Playbook.</t>
  </si>
  <si>
    <t>No automated governance or enforcement mechanism demonstrated.</t>
  </si>
  <si>
    <t>Naming conventions are set through the solution-design reference and tag standards. Enforcement relies on governance process and permissions rather than an automated linter.</t>
  </si>
  <si>
    <t>Naming conventions are enforced through shared schema standards, tag-rule standards and curated data-view components, with role-based permissions.</t>
  </si>
  <si>
    <t>2.1.3. Ability to define reusable event schemas.</t>
  </si>
  <si>
    <t>Reusable schemas are supported through property groups and shared property/event definitions that can be applied consistently across events.</t>
  </si>
  <si>
    <t>CDP Tracking Plans act as a reusable schema registry.</t>
  </si>
  <si>
    <t>Evidence adequate; schema versioning approach not detailed.</t>
  </si>
  <si>
    <t>Variable definitions, tag data elements and report-suite templates are reusable across properties, with consistent setup managed through governance.</t>
  </si>
  <si>
    <t>Reusable schemas and field groups are defined once and applied across datasets and channels.</t>
  </si>
  <si>
    <t>2.1.4. Ability to manage metadata associated with events, dimensions, and metrics.</t>
  </si>
  <si>
    <t>Every event, property and metric carries managed metadata (descriptions, categories, examples, owners, data types and validation rules) in the tracking plan.</t>
  </si>
  <si>
    <t>Metadata management and business glossary are described.</t>
  </si>
  <si>
    <t>Meets requirement; metadata governance workflow not fully described.</t>
  </si>
  <si>
    <t>Variable names, descriptions and classifications document each event and dimension in the interface, and a solution-design reference holds the wider documentation.</t>
  </si>
  <si>
    <t>Schemas, field descriptions, data-usage labels and data-view component metadata are managed centrally in Adobe Experience Platform.</t>
  </si>
  <si>
    <t>2.1.5. Ability to maintain version history of analytics events.</t>
  </si>
  <si>
    <t>Amplitude Data maintains version history of taxonomy changes and lets teams work in branches with full change tracking before merging to the plan.</t>
  </si>
  <si>
    <t>GTM workspace version control and approval workflows support version history.</t>
  </si>
  <si>
    <t>Version history demonstrated through audit logs.</t>
  </si>
  <si>
    <t>Tag libraries keep full revision and publishing history. Variable-level changes are tracked through admin and audit logs, so rollback is by tag-library version.</t>
  </si>
  <si>
    <t>Adobe Experience Platform keeps full revision and publishing history for tag libraries and evolves schemas additively with change tracking through its schema APIs; schema definitions are also maintained in source control for rollback.</t>
  </si>
  <si>
    <t>2.1.6. Ability to validate event payloads before publishing.</t>
  </si>
  <si>
    <t>Event payloads are validated against the schema before publishing using branch review, Ampli type-safe validation, and blocking schema enforcement.</t>
  </si>
  <si>
    <t>CDP schema validation and GA4 DebugView validate payloads before deployment.</t>
  </si>
  <si>
    <t>Limited evidence for payload schema validation, business rule validation and duplicate prevention.</t>
  </si>
  <si>
    <t>The Experience Platform Debugger and Assurance validate tags and payloads before release, and staged tag publishing (development, staging, production) gates every change.</t>
  </si>
  <si>
    <t>Payloads are validated against the schema at ingestion and checked before release with Assurance and Edge Trace, and staged tag publishing (development, staging, production) gates changes.</t>
  </si>
  <si>
    <t>Customer Identity Resolution &amp; Unified Customer Profiles</t>
  </si>
  <si>
    <t>3.1.1. Ability to identify anonymous visitors.</t>
  </si>
  <si>
    <t>Anonymous visitors are tracked with an Amplitude-managed device_id from the first interaction, before any login, so pre-authentication behaviour is captured.</t>
  </si>
  <si>
    <t>Contentsquare identifies anonymous visitors and builds behavioural profiles from the first visit.</t>
  </si>
  <si>
    <t>Adobe Analytics assigns a persistent first-party visitor ID automatically to every anonymous web and app visitor.</t>
  </si>
  <si>
    <t>Adobe Experience Platform assigns a persistent first-party identifier to every anonymous web and app visitor automatically.</t>
  </si>
  <si>
    <t>3.1.2. Ability to merge anonymous users into authenticated customer profiles</t>
  </si>
  <si>
    <t>When a visitor authenticates, Amplitude merges the anonymous device_id history into the known user_id so the profile is continuous. The User Mapping (Aliasing) API supports explicit merges.</t>
  </si>
  <si>
    <t>Unknown-to-known identity stitching upon login/PNR/loyalty identification is explicitly described.</t>
  </si>
  <si>
    <t>Requirement addressed satisfactorily.</t>
  </si>
  <si>
    <t>Once a customer logs in, the authenticated ID identifies subsequent activity so it can be reported at person level. Retroactive stitching of earlier anonymous activity and automatic device linking are not part of Prime and come with Adobe's wider platform.</t>
  </si>
  <si>
    <t>Identity stitching re-attributes earlier anonymous activity to the known customer after login, including retroactive replay of prior history.</t>
  </si>
  <si>
    <t>3.1.3. Ability to stitch customer journeys across multiple devices.</t>
  </si>
  <si>
    <t>Cross-device journeys are stitched by mapping multiple device_ids to a single user_id once the user is identified on each device.</t>
  </si>
  <si>
    <t>Cross-device identity stitching is supported using Contentsquare, GA4 and CDP.</t>
  </si>
  <si>
    <t>Dependent on proper identifier implementation.</t>
  </si>
  <si>
    <t>Automatic cross-device stitching is not part of AA. Journeys are reported per device, and logged-in customers can be recognised with a common authenticated ID. Adobe's wider platform provides identity stitching as IndiGo's next step.</t>
  </si>
  <si>
    <t>Cross-device journeys are stitched through the identity graph using login or customer ID as the link between devices.</t>
  </si>
  <si>
    <t>3.1.4. Ability to support identity resolution using login IDs, loyalty numbers, booking references, customer IDs, cookies, mobile identifiers, and enterprise identity providers.</t>
  </si>
  <si>
    <t>Identity resolution supports login IDs, loyalty numbers, booking references, customer IDs, cookies/device identifiers and enterprise IdP identifiers, set as user_id or user properties via the Identify API.</t>
  </si>
  <si>
    <t>Login ID, BluChip, PNR, email, phone, CRM and CDP identity resolution are explicitly supported.</t>
  </si>
  <si>
    <t>Enterprise identity resolution relies partly on FirstHive/CDP instead of entirely native capability.</t>
  </si>
  <si>
    <t>A custom visitor ID carries the authenticated identifier from IndiGo's identity provider. A single primary persistent ID is supported; multiple parallel identity namespaces would need a broader identity layer, which Adobe provides as the next step.</t>
  </si>
  <si>
    <t>Standard and custom identity namespaces cover login IDs, loyalty numbers, booking references, customer IDs, cookies, mobile identifiers and email/phone. Identity-provider IDs from IndiGo's enterprise systems become the authenticated identifier.</t>
  </si>
  <si>
    <t>3.1.5. Ability to create persistent customer profiles.</t>
  </si>
  <si>
    <t>Persistent user profiles accumulate behavioural events plus user properties over time and are queryable in User Look-Up and the User Profile API.</t>
  </si>
  <si>
    <t>Persistent, enrichable customer profiles are maintained in WebEngage.</t>
  </si>
  <si>
    <t>Requirement adequately covered.</t>
  </si>
  <si>
    <t>Visitor-level history is persistent, and CRM attributes can be attached through customer attributes and data sources. A full cross-channel profile would use Adobe's wider platform.</t>
  </si>
  <si>
    <t>Adobe Experience Platform builds persistent real-time customer profiles keyed to the identity graph.</t>
  </si>
  <si>
    <t>3.1.6. Ability to support household and family relationships where applicable.</t>
  </si>
  <si>
    <t>NC</t>
  </si>
  <si>
    <t>Household/family relationships are supported at the account/group level using the Accounts add-on (group-level reporting) and shared group properties; relationship modelling is handled with group types and properties.</t>
  </si>
  <si>
    <t>Household/family modelling is delivered through PNR-derived family groups.</t>
  </si>
  <si>
    <t>Native platform capability not demonstrated.</t>
  </si>
  <si>
    <t xml:space="preserve">Household or family grouping is modelled with a household identifier as a custom dimension and analysed alongside individual behaviour. Adobe Campaign supports household relationships. </t>
  </si>
  <si>
    <t xml:space="preserve">Adobe Experience Platform (AEP) can support linking household and family relationships with individual customer profiles. </t>
  </si>
  <si>
    <t>3.1.7. Ability to combine behavioural, transactional, operational, demographic, and loyalty information.</t>
  </si>
  <si>
    <t>Profiles combine behavioural events, transactional and ancillary properties, operational context and loyalty/demographic user properties into one unified view.</t>
  </si>
  <si>
    <t>Proposal combines behavioural, operational, booking, loyalty and customer data through BigQuery/CDP.</t>
  </si>
  <si>
    <t>Requirement adequately addressed.</t>
  </si>
  <si>
    <t>Behavioural data is native. Transactional, operational and loyalty data can be tracked from the digital events or can be brought in through data sources, bulk insertion and classifications and reported alongside it.</t>
  </si>
  <si>
    <t>The unified profile combines behavioural, transactional, operational, demographic and loyalty data from sources, APIs and batch files.</t>
  </si>
  <si>
    <t>3.1.8. Ability to support profile enrichment using enterprise systems.</t>
  </si>
  <si>
    <t>Profiles are enriched from enterprise systems (CRM, loyalty, data warehouse) using the Identify API, warehouse sources and the Profiles feature.</t>
  </si>
  <si>
    <t>CRM, PSS and loyalty integrations enrich customer profiles.</t>
  </si>
  <si>
    <t>Integration capability sufficiently described.</t>
  </si>
  <si>
    <t xml:space="preserve">External attributes are added through classifications and customer-attribute uploads, enriching reports and audiences. Profile enrichment also available within Adobe Campaign. </t>
  </si>
  <si>
    <t>Profiles are enriched from enterprise systems through source connectors, computed attributes and SQL-based enrichment in the platform.</t>
  </si>
  <si>
    <t>3.1.9. Ability to maintain customer profile history.</t>
  </si>
  <si>
    <t>Profile history is retained as the full event stream plus current user-property state, with historical property values available via Persisted Properties and computations.</t>
  </si>
  <si>
    <t>Profile history is maintained using BigQuery profile history and change logging.</t>
  </si>
  <si>
    <t>Retention duration depends on configured policies.</t>
  </si>
  <si>
    <t>Hit-level history is retained for every visitor using ECID. Attribute history comes from classification and data-feed snapshots.</t>
  </si>
  <si>
    <t>Adobe Experience Platform brings together current customer profile attributes and a timestamped history of customer interactions. Daily profile snapshots provide point-in-time views of profile attributes that can be queried for historical review.</t>
  </si>
  <si>
    <t>3.1.10. Ability to support first-party identity management strategies.</t>
  </si>
  <si>
    <t>Amplitude supports first-party identity strategies using your own user_id keyspace, first-party cookies, Domain Proxy and server-side collection.</t>
  </si>
  <si>
    <t>First-party identity is based on authenticated customer identifiers across owned channels.</t>
  </si>
  <si>
    <t>Capability sufficiently demonstrated.</t>
  </si>
  <si>
    <t>First-party cookies (including CNAME) and login-based identity support a consented, first-party identity strategy that does not depend on third-party cookies.</t>
  </si>
  <si>
    <t>First-party identity is supported through first-party cookies and login-based identity as the primary anchor.</t>
  </si>
  <si>
    <t>3.1.11. Ability to maintain customer profile audit history.</t>
  </si>
  <si>
    <t>Changes to profile data are captured; administrative and data changes are recorded in the Audit Log and property override history.</t>
  </si>
  <si>
    <t>Dedicated customer profile audit trail is implemented through BigQuery audit tables.</t>
  </si>
  <si>
    <t>Meets requirement.</t>
  </si>
  <si>
    <t>Admin audit logs record configuration and user-management changes. Identity-level change lineage is not a standard report.</t>
  </si>
  <si>
    <t>Adobe Experience Platform provides audit logs for supported platform activities, timestamped customer interaction history within profiles, and dataset and batch monitoring to help teams review profile-related activity and trace the data contributing to profiles.</t>
  </si>
  <si>
    <t>Customer Journey Analytics</t>
  </si>
  <si>
    <t>4.1.1. Ability to visualize end-to-end customer journeys across Web, Mobile Applications, APIs, Contact Centre, Loyalty Platform, Marketing Platforms, and future channels.</t>
  </si>
  <si>
    <t>The Journeys chart (Pathfinder and Journey Map) visualises end-to-end paths across web, app, API and any instrumented channel; contact centre, loyalty and marketing data can be ingested as events for a single view.</t>
  </si>
  <si>
    <t>Journey Analysis integrates Web, Mobile, APIs, Contact Centre, Loyalty, Marketing and BigQuery.</t>
  </si>
  <si>
    <t>Contact Centre and future channels depend on API integrations.</t>
  </si>
  <si>
    <t>Web and app data is native and unified in one tool. Offline, CRM, loyalty and call-centre data comes in through data sources and bulk insertion, so IndiGo can already analyse journeys across them. A fully person-level, any-channel view is available as a natural extension.</t>
  </si>
  <si>
    <t>Adobe Experience Platform joins web, mobile, API, contact-centre, loyalty and marketing data at person level, so journeys are visualised across every channel. New channels are added as datasets.</t>
  </si>
  <si>
    <t>4.1.2. Ability to analyse customer movement across booking, servicing, check-in, ancillary purchase, loyalty, and post-travel journeys.</t>
  </si>
  <si>
    <t>Movement across booking, servicing, check-in, ancillary, loyalty and post-travel stages is analysed with Journeys and Funnels once those stages are instrumented as events.</t>
  </si>
  <si>
    <t>Eight airline journeys cover booking, check-in, ancillary, loyalty and post-booking engagement.</t>
  </si>
  <si>
    <t>Requirement addressed.</t>
  </si>
  <si>
    <t>Flow, Fallout, pathing and cohort-style analysis cover booking, servicing, check-in, ancillary and loyalty journeys on the data IndiGo collects. All of it runs on complete, unsampled data.</t>
  </si>
  <si>
    <t>Flow, Fallout and journey-canvas visualisation analyse movement across booking, servicing, check-in, ancillary, loyalty and post-travel stages.</t>
  </si>
  <si>
    <t>4.1.3. Ability to automatically identify journey drop-off points.</t>
  </si>
  <si>
    <t>Journeys and Funnel Analysis automatically surface the steps where users drop off, with conversion and drop-off rates per step.</t>
  </si>
  <si>
    <t>Sense AI and Journey Analysis automatically identify drop-off points.</t>
  </si>
  <si>
    <t>Capability adequately demonstrated.</t>
  </si>
  <si>
    <t>Fallout and Flow show drop-off at every step, and Contribution Analysis helps explain what drives it.</t>
  </si>
  <si>
    <t>Fallout and journey views show drop-off at every step, and Contribution Analysis explains what drives it.</t>
  </si>
  <si>
    <t>4.1.4. Ability to compare customer journeys across different traveller segments.</t>
  </si>
  <si>
    <t>Journeys and funnels can be segmented and compared across traveller segments using user/event properties and cohorts.</t>
  </si>
  <si>
    <t>Segmentation by traveller type, loyalty and behavioural segments supported.</t>
  </si>
  <si>
    <t>Segment comparison and Segment IQ compare journeys across traveller segments side by side.</t>
  </si>
  <si>
    <t>Segment comparison can compare journeys across traveller segments.</t>
  </si>
  <si>
    <t>4.1.5. Ability to analyse conversion paths and customer behaviour across multiple sessions.</t>
  </si>
  <si>
    <t>Multi-session conversion paths and behaviour are analysed with Journeys and Pathfinder across sessions.</t>
  </si>
  <si>
    <t>Cross-session reconstruction explicitly supported.</t>
  </si>
  <si>
    <t>Response is brief but acceptable.</t>
  </si>
  <si>
    <t>Visitor-level segments and cross-visit analysis cover conversion paths over multiple sessions.</t>
  </si>
  <si>
    <t>The person-level model and cross-session segments analyse conversion paths and behaviour across multiple sessions, with configurable session definitions.</t>
  </si>
  <si>
    <t>4.1.6. Ability to identify friction points affecting booking conversion.</t>
  </si>
  <si>
    <t>Friction points affecting booking conversion are identified via Funnel drop-off, Journeys and Session Replay of the affected steps.</t>
  </si>
  <si>
    <t>Rage clicks, errors, session replay and frustration analysis identify friction.</t>
  </si>
  <si>
    <t>Requirement supported.</t>
  </si>
  <si>
    <t>Fallout, Flow, Contribution Analysis, Segment IQ and anomaly detection together locate friction points that affect conversion.</t>
  </si>
  <si>
    <t>Fallout, Flow, Contribution Analysis, Segment IQ and anomaly detection together identify friction points.</t>
  </si>
  <si>
    <t>4.1.7. Ability to support multi-session journey reconstruction.</t>
  </si>
  <si>
    <t>Journeys reconstruct multi-session paths for a user; sessions are tracked automatically and can be chained.</t>
  </si>
  <si>
    <t>Cross-session reconstruction explicitly stated.</t>
  </si>
  <si>
    <t>Depends on successful identity stitching.</t>
  </si>
  <si>
    <t>Visitor-level data reconstructs journeys across sessions on a device, and across devices for customers once they log in with a common ID.</t>
  </si>
  <si>
    <t>Person-level stitching and sequential segmentation reconstruct journeys across sessions.</t>
  </si>
  <si>
    <t>4.1.8. Ability to compare successful versus unsuccessful customer journeys.</t>
  </si>
  <si>
    <t>Successful versus unsuccessful journeys are compared with Journeys and with converted/non-converted cohorts in funnels.</t>
  </si>
  <si>
    <t>Completed vs abandoned booking journeys analysed using Journey Analysis and session replay.</t>
  </si>
  <si>
    <t>Segment IQ and segment-filtered Fallout compare successful and unsuccessful journeys automatically.</t>
  </si>
  <si>
    <t>Segment comparison and segment-filtered Fallout compare successful and unsuccessful journeys.</t>
  </si>
  <si>
    <t>4.1.9. Ability to analyse customer behaviour before cancellations, payment failures, booking abandonment, and ancillary purchases.</t>
  </si>
  <si>
    <t>Behaviour before cancellations, payment failures, abandonment and ancillary purchases is analysed with Pathfinder (paths-to/from an event) and behavioural cohorts.</t>
  </si>
  <si>
    <t>Payment failures, abandonment, ancillary behaviour and cancellations analysed.</t>
  </si>
  <si>
    <t>Sequential segments and backward Flow show what preceded cancellations, payment failures, abandonment and ancillary purchases.</t>
  </si>
  <si>
    <t>Sequential segments and backward Flow show the behaviour before cancellations, payment failures, abandonment and ancillary purchases.</t>
  </si>
  <si>
    <t>4.1.10. Ability to correlate customer journeys with operational events including flight delays, disruptions, fare changes, and schedule modifications.</t>
  </si>
  <si>
    <t>Operational events (delays, disruptions, fare changes, schedule changes) can be ingested as events and correlated with customer journeys in the same charts.</t>
  </si>
  <si>
    <t>Custom BigQuery ETL correlates IROPS, operational events and customer journeys.</t>
  </si>
  <si>
    <t>Correlation depends on external operational data integration; no airline case study provided.</t>
  </si>
  <si>
    <t>Operational events such as delays and disruptions are imported through data sources and analysed beside behaviour, depending on IndiGo's feeds.</t>
  </si>
  <si>
    <t>Operational events (delays, disruptions, fare and schedule changes) can be ingested as datasets and analysed alongside journeys in the same person-level model.</t>
  </si>
  <si>
    <t>4.1.11. Ability to analyse journey performance across channels, geographies, devices, campaigns, and loyalty tiers.</t>
  </si>
  <si>
    <t>Journey performance is analysed across channels, geographies, devices, campaigns and loyalty tiers using group-by and segmentation.</t>
  </si>
  <si>
    <t>Journey analytics spans campaigns, devices, loyalty and channels.</t>
  </si>
  <si>
    <t>Any metric can be broken down by channel, geography, device, campaign and loyalty tier.</t>
  </si>
  <si>
    <t>4.1.12. Ability to support journey segmentation using behavioural, transactional, and operational attributes.</t>
  </si>
  <si>
    <t>Journey segmentation uses behavioural cohorts plus transactional and operational properties.</t>
  </si>
  <si>
    <t>Dynamic segmentation using behavioural, booking and operational attributes.</t>
  </si>
  <si>
    <t>Capability demonstrated.</t>
  </si>
  <si>
    <t>The segment builder combines behavioural, transactional and imported operational attributes and shares segments with personalization and campaign tools through the Experience Cloud.</t>
  </si>
  <si>
    <t>Behavioural, transactional and operational segments are built visually and activated across the platform's engagement tools.</t>
  </si>
  <si>
    <t>4.1.13. Ability to provide AI-assisted journey insights and optimization recommendations.</t>
  </si>
  <si>
    <t>AI-assisted journey insights and optimisation recommendations are provided by the Global Agent and the Website Conversion Agent.</t>
  </si>
  <si>
    <t>Sense AI provides AI recommendations and optimisation opportunities.</t>
  </si>
  <si>
    <t>AI recommendations are described conceptually; no measurable airline use case, model accuracy or business outcome evidence is provided.</t>
  </si>
  <si>
    <t>Contribution Analysis, anomaly detection, Segment IQ and intelligent alerts surface insights automatically without analyst effort.</t>
  </si>
  <si>
    <t>Anomaly detection, Contribution Analysis, Segment IQ and intelligent captions provide AI-assisted insights, and CX Coworker adds natural-language investigation and recommended next steps.</t>
  </si>
  <si>
    <t>Product Analytics</t>
  </si>
  <si>
    <t>5.1.1. Ability to measure feature adoption, customer engagement, and product usage across Web, Mobile Applications, and future digital channels.</t>
  </si>
  <si>
    <t>Feature adoption, engagement and product usage are measured across web, app and future channels with Event Segmentation, Engagement Matrix and out-of-the-box Product Analytics.</t>
  </si>
  <si>
    <t>Product Analytics autocaptures feature usage across Web/iOS/Android.</t>
  </si>
  <si>
    <t>Feature adoption and engagement are measured from event data with cohort-style and flow analysis. A dedicated product-analytics view is available as an extension.</t>
  </si>
  <si>
    <t>Adobe Experience Platform's product analytics capabilities measure feature adoption and engagement across web and mobile apps, with cohort, retention, fallout and flow analysis.</t>
  </si>
  <si>
    <t>5.1.2. Ability to analyse customer interaction with every product feature throughout the customer lifecycle.</t>
  </si>
  <si>
    <t>Interaction with every feature across the lifecycle is analysed with Event Segmentation, Journeys and the Lifecycle chart.</t>
  </si>
  <si>
    <t>Every feature interaction automatically captured.</t>
  </si>
  <si>
    <t>Every feature interaction is captured as an event, so usage can be analysed across the customer lifecycle.</t>
  </si>
  <si>
    <t>Every feature interaction is captured as an event, so usage can be analysed across the full customer lifecycle.</t>
  </si>
  <si>
    <t>5.1.3. Ability to measure customer retention, repeat usage, stickiness, and engagement trends.</t>
  </si>
  <si>
    <t>Retention, repeat usage, stickiness and engagement trends are measured with the Retention, Stickiness and Engagement Matrix charts.</t>
  </si>
  <si>
    <t>Retention, cohort analysis and engagement trends supported.</t>
  </si>
  <si>
    <t>Evidence satisfactory.</t>
  </si>
  <si>
    <t>Cohort analysis, return frequency and retention are native in Analysis Workspace, so IndiGo can follow how groups of customers behave over time.</t>
  </si>
  <si>
    <t>Cohort and retention analysis, return frequency and stickiness are native.</t>
  </si>
  <si>
    <t>5.1.4. Ability to identify frequently used, underutilized, and abandoned product features.</t>
  </si>
  <si>
    <t>Frequently used, underused and abandoned features are identified with the Engagement Matrix (frequency vs adoption).</t>
  </si>
  <si>
    <t>Product Analytics and heatmaps identify feature utilisation.</t>
  </si>
  <si>
    <t>Feature usage and frequency are analysed with freeform tables and calculated metrics. A purpose-built feature matrix is not included.</t>
  </si>
  <si>
    <t>The feature matrix view classifies features as frequently used, underused or abandoned.</t>
  </si>
  <si>
    <t>5.1.5. Ability to measure customer engagement across booking, servicing, loyalty, ancillary, and post-booking journeys.</t>
  </si>
  <si>
    <t>Engagement across booking, servicing, loyalty, ancillary and post-booking journeys is measured once each is instrumented, using segmentation and cohorts.</t>
  </si>
  <si>
    <t>Multiple customer journeys cover complete lifecycle.</t>
  </si>
  <si>
    <t>Capability supported.</t>
  </si>
  <si>
    <t>Engagement across booking, servicing, loyalty, ancillary and post-booking journeys is measured in one tool.</t>
  </si>
  <si>
    <t>Engagement across booking, servicing, loyalty, ancillary and post-booking journeys is measured on one data model.</t>
  </si>
  <si>
    <t>5.1.6. Ability to analyse user behaviour across multiple application versions and releases.</t>
  </si>
  <si>
    <t>Behaviour across app versions and releases is analysed with the Releases feature and version group-by.</t>
  </si>
  <si>
    <t>Version-over-version engagement comparison supported.</t>
  </si>
  <si>
    <t>Release comparison methodology and release analytics are not comprehensively demonstrated.</t>
  </si>
  <si>
    <t>App version and release are captured as dimensions, so behaviour can be compared across releases.</t>
  </si>
  <si>
    <t>Release and app-version dimensions allow behaviour comparison across versions.</t>
  </si>
  <si>
    <t>5.1.7. Ability to compare product adoption across customer cohorts, geographies, devices, operating systems, and application versions.</t>
  </si>
  <si>
    <t>Adoption is compared across cohorts, geographies, devices, operating systems and app versions with group-by and behavioural cohorts.</t>
  </si>
  <si>
    <t>Cohort analysis, devices and application versions supported.</t>
  </si>
  <si>
    <t>Requirement met.</t>
  </si>
  <si>
    <t>Adoption is compared across cohorts, geographies, devices, operating systems and app versions with breakdowns and segments.</t>
  </si>
  <si>
    <t>Adoption is compared across cohorts, geographies, devices, operating systems and app versions.</t>
  </si>
  <si>
    <t>5.1.8. Ability to measure customer engagement with newly launched features.</t>
  </si>
  <si>
    <t>Engagement with newly launched features is measured with Releases and Event Segmentation over time.</t>
  </si>
  <si>
    <t>Feature adoption measurement supported.</t>
  </si>
  <si>
    <t>No dedicated feature adoption dashboard demonstrated.</t>
  </si>
  <si>
    <t>Date-range comparison and first-use segments show engagement with new features. A dedicated first-use impact view is not included.</t>
  </si>
  <si>
    <t>First-use impact analysis compares behaviour before and after exposure to a newly launched feature.</t>
  </si>
  <si>
    <t>5.1.9. Ability to analyse feature discovery, feature completion, and feature abandonment.</t>
  </si>
  <si>
    <t>Feature discovery, completion and abandonment are analysed with Funnels and Journeys.</t>
  </si>
  <si>
    <t>User flow and feature interaction analysis supported.</t>
  </si>
  <si>
    <t>Fallout shows discovery, completion and abandonment for each feature.</t>
  </si>
  <si>
    <t>Fallout analysis shows discovery, completion and abandonment for each feature.</t>
  </si>
  <si>
    <t>5.1.10. Ability to monitor feature health using configurable KPIs.</t>
  </si>
  <si>
    <t>Feature health is monitored with configurable KPIs on dashboards and metrics.</t>
  </si>
  <si>
    <t>Dashboards, KPIs and anomaly monitoring provided.</t>
  </si>
  <si>
    <t>Native product health monitoring framework not demonstrated.</t>
  </si>
  <si>
    <t>Feature KPIs are calculated metrics with threshold and anomaly alerts.</t>
  </si>
  <si>
    <t>Feature KPIs are configured as calculated metrics with threshold and anomaly alerts.</t>
  </si>
  <si>
    <t>5.1.11. Ability to create custom product health scorecards.</t>
  </si>
  <si>
    <t>Custom product health scorecards are built as dashboards with saved metrics and thresholds.</t>
  </si>
  <si>
    <t>Executive dashboards and custom metrics supported.</t>
  </si>
  <si>
    <t>Product health scorecards appear configurable rather than native capability.</t>
  </si>
  <si>
    <t>Workspace projects combine KPIs into shareable product-health scorecards.</t>
  </si>
  <si>
    <t>Scorecards combine KPIs into shareable product-health views.</t>
  </si>
  <si>
    <t>5.1.12. Ability to identify behavioural patterns leading to successful booking completion.</t>
  </si>
  <si>
    <t>Behavioural patterns leading to booking completion are found with the Compass chart (a-ha / inflection metrics) and behavioural cohorts.</t>
  </si>
  <si>
    <t>Behavioural analysis and booking funnel optimisation provided.</t>
  </si>
  <si>
    <t>Segment IQ, Flow and sequential segments identify behaviour that leads to booking completion.</t>
  </si>
  <si>
    <t>Segment IQ, Flow and sequential segments identify behaviour patterns that lead to booking completion.</t>
  </si>
  <si>
    <t>5.1.13. Ability to analyse user flows across different customer personas.</t>
  </si>
  <si>
    <t>User flows across personas are analysed with Journeys and the Personas (clustering) chart.</t>
  </si>
  <si>
    <t>Persona-based segmentation and journeys supported.</t>
  </si>
  <si>
    <t>User flows by persona are analysed by applying persona segments to Flow and Fallout.</t>
  </si>
  <si>
    <t>5.1.14. Ability to measure customer lifetime engagement across all owned digital channels.</t>
  </si>
  <si>
    <t>Lifetime engagement across all owned channels is measured with the Lifecycle and Revenue LTV charts on the unified profile.</t>
  </si>
  <si>
    <t>CLV and engagement across channels supported.</t>
  </si>
  <si>
    <t>Visitor-level history covers web and app. Lifetime engagement across other channels depends on the offline data IndiGo imports.</t>
  </si>
  <si>
    <t>Person-level history across all connected channels supports lifetime engagement measurement.</t>
  </si>
  <si>
    <t>5.1.15. Ability to support event-based, user-based, and account-based analytics.</t>
  </si>
  <si>
    <t>Event-based and user-based analytics are native; account-based analytics is supported with the Accounts add-on.</t>
  </si>
  <si>
    <t>Event, user and corporate account analytics described.</t>
  </si>
  <si>
    <t>Account-based analytics not clearly evidenced.</t>
  </si>
  <si>
    <t>Visitor- and event-level analysis is native, and account-level analysis uses an account identifier as a custom dimension.</t>
  </si>
  <si>
    <t>The Adobe Experience Platform solution supports analysis of customer interactions, individual customers, and business accounts. Marketers can explore customer journeys at the event and individual level, and understand engagement across business accounts using configured person and account identifiers.</t>
  </si>
  <si>
    <t>5.1.16. Ability to support airline-specific product analytics including Search, Fare Calendar, Flight Selection, Add-ons, Seat Selection, Payment, Check-in, Boarding Pass, Flight Status, Loyalty, and Customer Support.</t>
  </si>
  <si>
    <t>Airline-specific flows (Search, Fare Calendar, Flight Selection, Add-ons, Seat Selection, Payment, Check-in, Boarding Pass, Flight Status, Loyalty, Support) are analysed once instrumented, using the full chart suite.</t>
  </si>
  <si>
    <t>Most airline journeys covered; Fare Calendar and Customer Support analytics are not explicitly described.</t>
  </si>
  <si>
    <t>No native airline data model or production evidence for all listed use cases.</t>
  </si>
  <si>
    <t>Search, fare calendar, flight selection, add-ons, seat selection, payment, check-in, boarding pass, flight status, loyalty and support analytics are configured on IndiGo's existing implementation with reusable templates.</t>
  </si>
  <si>
    <t>Adobe Experience Platform can support airline-specific product analytics by bringing together customer interactions across the travel journey, including flight search, fare-calendar activity, flight selection, add-ons, seat selection, payment, check-in, boarding-pass activity, flight status, loyalty, and customer support. These interactions can be organized around the airline’s business needs and analyzed using configured metrics and dimensions.</t>
  </si>
  <si>
    <t>Booking Funnel Analytics &amp; Conversion Optimization</t>
  </si>
  <si>
    <t>6.1.1. Ability to analyse complete booking funnels from Search through Booking Confirmation.</t>
  </si>
  <si>
    <t>Complete Search-through-Confirmation funnels are analysed with the Funnel Analysis chart, with per-step conversion and time between steps.</t>
  </si>
  <si>
    <t>Complete booking funnel covered.</t>
  </si>
  <si>
    <t>Fallout covers the complete funnel from search to booking confirmation.</t>
  </si>
  <si>
    <t>Fallout analysis covers the complete funnel from Search to Booking Confirmation.</t>
  </si>
  <si>
    <t>6.1.2. Ability to identify customer abandonment across every booking stage.</t>
  </si>
  <si>
    <t>Abandonment at every stage is quantified by funnel drop-off with conversion/drop rates per step.</t>
  </si>
  <si>
    <t>Abandonment analysis explicitly supported.</t>
  </si>
  <si>
    <t>Abandonment is visible at every booking stage.</t>
  </si>
  <si>
    <t>6.1.3. Ability to analyse conversion across Search, Flight Selection, Passenger Details, Ancillary Selection, Seat Selection, Payment, Confirmation, and Check-in.</t>
  </si>
  <si>
    <t>Conversion across Search, Flight Selection, Passenger Details, Ancillary, Seat, Payment, Confirmation and Check-in is measured as funnel steps.</t>
  </si>
  <si>
    <t>Journey mapping covers all stages.</t>
  </si>
  <si>
    <t>Depends on correct event instrumentation.</t>
  </si>
  <si>
    <t>Multi-step Fallout covers all listed stages, extending to check-in when those events are tracked.</t>
  </si>
  <si>
    <t>Multi-step Fallout covers all listed stages and extends to check-in through person-level data.</t>
  </si>
  <si>
    <t>6.1.4. Ability to identify friction points reducing booking completion.</t>
  </si>
  <si>
    <t>Friction reducing completion is identified with funnel drop-off, conversion drivers and Session Replay of failing steps.</t>
  </si>
  <si>
    <t>Frustration analysis, session replay and AI identify friction.</t>
  </si>
  <si>
    <t>Requirement satisfied.</t>
  </si>
  <si>
    <t>Fallout, Contribution Analysis and anomaly detection surface the friction reducing booking completion.</t>
  </si>
  <si>
    <t>Fallout, Contribution Analysis and anomaly detection surface friction reducing booking completion.</t>
  </si>
  <si>
    <t>6.1.5. Ability to analyse payment success and failure patterns.</t>
  </si>
  <si>
    <t>Payment success/failure patterns are analysed by segmenting payment events by status, method, gateway and error properties.</t>
  </si>
  <si>
    <t>Payment analysis explicitly supported.</t>
  </si>
  <si>
    <t>Payment events and error codes captured in the event stream give success and failure patterns by gateway, device and segment.</t>
  </si>
  <si>
    <t>Payment events and error codes captured in the event stream give payment success and failure patterns by gateway, device and segment.</t>
  </si>
  <si>
    <t>6.1.6. Ability to compare funnel performance across channels, devices, customer types, and markets.</t>
  </si>
  <si>
    <t>Funnel performance is compared across channels, devices, customer types and markets with group-by and segments.</t>
  </si>
  <si>
    <t>Funnel analysis across channels and segments supported.</t>
  </si>
  <si>
    <t>Funnels are compared across channels, devices, customer types and markets with breakdowns and segments.</t>
  </si>
  <si>
    <t>6.1.7. Ability to identify high-converting customer journeys.</t>
  </si>
  <si>
    <t>High-converting journeys are found with Journeys/Compass and converted-user cohorts.</t>
  </si>
  <si>
    <t>Journey and conversion analytics supported.</t>
  </si>
  <si>
    <t>Segment IQ and Flow identify the journeys that convert at high rates.</t>
  </si>
  <si>
    <t>Segment IQ and Flow identify high-converting journeys.</t>
  </si>
  <si>
    <t>6.1.8. Ability to analyse impact of fare changes on booking behaviour.</t>
  </si>
  <si>
    <t>The impact of fare changes on booking behaviour is analysed by correlating fare-change events/properties with conversion.</t>
  </si>
  <si>
    <t>Fare sale campaigns discussed, but direct fare-change impact analytics are not fully described.</t>
  </si>
  <si>
    <t>Analysis depends on external operational data integration.</t>
  </si>
  <si>
    <t>Fare data imported as a data source or classification is analysed against booking behaviour, depending on IndiGo's fare feed.</t>
  </si>
  <si>
    <t>Fare data ingested as a dataset is analysed against booking behaviour.</t>
  </si>
  <si>
    <t>6.1.9. Ability to monitor ancillary attachment rates.</t>
  </si>
  <si>
    <t>Ancillary attachment rates are monitored as a metric (ancillary purchasers over bookings) on dashboards.</t>
  </si>
  <si>
    <t>Ancillary attachment monitoring explicitly mentioned.</t>
  </si>
  <si>
    <t>Ancillary attachment rate is a calculated metric trended by any dimension.</t>
  </si>
  <si>
    <t>6.1.10. Ability to measure booking completion time.</t>
  </si>
  <si>
    <t>Booking completion time is measured with time-to-convert in the Funnel chart.</t>
  </si>
  <si>
    <t>Session duration and booking timing captured.</t>
  </si>
  <si>
    <t>Booking completion time is measured with time-based metrics and visit-duration analysis.</t>
  </si>
  <si>
    <t>Time-between-events analysis measures booking completion time.</t>
  </si>
  <si>
    <t>6.1.11. Ability to analyse coupon redemption behaviour.</t>
  </si>
  <si>
    <t>Coupon redemption behaviour is analysed by segmenting redemption events by coupon and outcome properties.</t>
  </si>
  <si>
    <t>No explicit evidence of coupon redemption analytics.</t>
  </si>
  <si>
    <t>Depends on event implementation.</t>
  </si>
  <si>
    <t>Coupon codes captured as a dimension give redemption analysis by segment, channel and route.</t>
  </si>
  <si>
    <t>6.1.12. Ability to measure impact of promotional campaigns on booking conversion.</t>
  </si>
  <si>
    <t>Promotional campaign impact on conversion is measured with attribution, channels and campaign segmentation on funnels.</t>
  </si>
  <si>
    <t>Campaign attribution and booking conversion measurement supported.</t>
  </si>
  <si>
    <t>Campaign identifiers on events measure the impact of promotions on booking conversion.</t>
  </si>
  <si>
    <t>6.1.13. Ability to compare booking funnels across domestic and international routes.</t>
  </si>
  <si>
    <t>Domestic vs international funnels are compared by grouping on a route/market property.</t>
  </si>
  <si>
    <t>Route analysis mentioned but domestic vs international comparison is not explicitly committed.</t>
  </si>
  <si>
    <t>Route-type dimensions compare domestic and international funnels.</t>
  </si>
  <si>
    <t>6.1.14. Ability to analyse repeat booking behaviour.</t>
  </si>
  <si>
    <t>Repeat booking behaviour is analysed with Retention and behavioural cohorts.</t>
  </si>
  <si>
    <t>Retention, repeat usage and loyalty analytics supported.</t>
  </si>
  <si>
    <t>Visitor-level counts and cohort-style analysis cover repeat booking behaviour.</t>
  </si>
  <si>
    <t>Person-level counts and cohorts analyse repeat booking behaviour.</t>
  </si>
  <si>
    <t>6.1.15. Ability to support real-time booking funnel monitoring.</t>
  </si>
  <si>
    <t>Real-time funnel monitoring is supported with real-time dashboards and Event Explorer.</t>
  </si>
  <si>
    <t>Real-time monitoring during flash sales and IROPS explicitly supported.</t>
  </si>
  <si>
    <t>No contractual latency SLA provided.</t>
  </si>
  <si>
    <t>Real-time reporting shows live traffic and funnel activity, and a streaming add-on is available for second-level monitoring.</t>
  </si>
  <si>
    <t>The Adobe Experience Platform solution can support near-real-time monitoring of the booking funnel. Booking steps can be captured as events and displayed in configured dashboards, helping marketers track activity and conversion from flight search through completed booking.</t>
  </si>
  <si>
    <t>6.1.16. Ability to identify abnormal funnel behaviour during sales, disruptions (IROPS), and promotional events.</t>
  </si>
  <si>
    <t>Abnormal funnel behaviour during sales, IROPS and promos is flagged with Anomaly detection and alerts.</t>
  </si>
  <si>
    <t>AI anomaly detection during IROPS and flash sales supported.</t>
  </si>
  <si>
    <t>IROPS-specific production evidence not provided.</t>
  </si>
  <si>
    <t>Anomaly detection and intelligent alerts flag abnormal funnel behaviour during sales, disruptions and promotions.</t>
  </si>
  <si>
    <t>Anomaly detection with alerting flags abnormal funnel behaviour during sales, IROPS and promotions.</t>
  </si>
  <si>
    <t>6.1.17. Ability to monitor conversion impact after product releases.</t>
  </si>
  <si>
    <t>Conversion impact after product releases is monitored with the Releases feature and pre/post comparison.</t>
  </si>
  <si>
    <t>Version-over-version engagement and release comparison supported.</t>
  </si>
  <si>
    <t>No dedicated release analytics capability demonstrated.</t>
  </si>
  <si>
    <t>Release dimensions, date comparison and annotations show conversion impact after releases.</t>
  </si>
  <si>
    <t>Release-version dimensions, date comparison and annotations show conversion impact after releases.</t>
  </si>
  <si>
    <t>6.1.18. Ability to integrate booking analytics with experimentation and personalization platforms.</t>
  </si>
  <si>
    <t>Booking analytics integrate with Amplitude Experiment (experimentation) and Web Experiment/Guides (personalization) natively.</t>
  </si>
  <si>
    <t>Adobe Target integration with Contentsquare and GA4 explicitly proposed.</t>
  </si>
  <si>
    <t>Capability supported through integrations rather than native experimentation platform.</t>
  </si>
  <si>
    <t>Adobe Analytics integrates natively with Adobe Target through Analytics for Target (A4T), so every test and personalized experience is measured with the same metrics and segments, and winning audiences flow straight back for activation.</t>
  </si>
  <si>
    <t>Experimentation, personalization and messaging data share one platform with analytics, so test and campaign performance is analysed on the same person-level data and audiences flow back for activation.</t>
  </si>
  <si>
    <t>Marketing Analytics &amp; Attribution</t>
  </si>
  <si>
    <t>7.1.1. Ability to measure marketing campaign performance across paid, owned, and earned channels.</t>
  </si>
  <si>
    <t>Campaign performance across paid, owned and earned channels is measured with Sessions, Channels and out-of-the-box Marketing Analytics.</t>
  </si>
  <si>
    <t>GA4 measures campaign performance across Google Ads, Meta, Email, Push, SMS, WhatsApp and other marketing channels.</t>
  </si>
  <si>
    <t>Owned-channel performance is native, and paid and earned data comes in through data sources and connectors for a single performance view.</t>
  </si>
  <si>
    <t>Adobe Experience Platform measures owned-channel performance natively and brings paid and earned data in through connectors and file/API ingestion.</t>
  </si>
  <si>
    <t>7.1.2. Ability to support first-touch, last-touch, linear, position-based, time-decay, and custom attribution models.</t>
  </si>
  <si>
    <t xml:space="preserve">First-touch, last-touch, linear and multi-touch/position-based attribution are supported out-of-the-box in Amplitude's data tables. </t>
  </si>
  <si>
    <t>Proposal explicitly supports first-touch, last-touch, linear, position-based, time-decay and data-driven attribution. Custom attribution models are not explicitly stated.</t>
  </si>
  <si>
    <t>Custom attribution modelling and methodology are not comprehensively evidenced.</t>
  </si>
  <si>
    <t>Attribution IQ offers first-touch, last-touch, linear, U-shaped, J-curve, inverse-J, time-decay, participation and custom models, switchable in any report.</t>
  </si>
  <si>
    <t>First-touch, last-touch, linear, U-shaped, J-curve, inverse J, time-decay, participation, custom and algorithmic attribution models are available.</t>
  </si>
  <si>
    <t>7.1.3. Ability to analyse acquisition channels including Search, Social Media, Display, Email, Push Notifications, SMS, Affiliate, Referral, and Direct traffic.</t>
  </si>
  <si>
    <t>Acquisition channels (Search, Social, Display, Email, Push, SMS, Affiliate, Referral, Direct) are classified with Channels and the Channel Classifier.</t>
  </si>
  <si>
    <t>Marketing lifecycle includes Search, Google Ads, Meta, Email, Push, SMS, WhatsApp and campaign attribution across channels.</t>
  </si>
  <si>
    <t>Marketing-channel rules classify Search, Social, Display, Email, Push, SMS, Affiliate, Referral and Direct traffic out of the box.</t>
  </si>
  <si>
    <t>Derived fields and channel-classification rules analyse Search, Social, Display, Email, Push, SMS, Affiliate, Referral and Direct traffic.</t>
  </si>
  <si>
    <t>7.1.4. Ability to measure Return on Advertising Spend (ROAS).</t>
  </si>
  <si>
    <t>ROAS is measured by combining Amplitude conversion/revenue with ad spend; spend can be imported by Ad Network connectors as a Daily Ad Metric event.</t>
  </si>
  <si>
    <t>ROAS measurement explicitly supported through GA4.</t>
  </si>
  <si>
    <t>No native ROAS calculation framework or advertising cost integration demonstrated.</t>
  </si>
  <si>
    <t>ROAS is a calculated metric that combines imported media cost with attributed revenue.</t>
  </si>
  <si>
    <t>ROAS is a calculated metric combining ingested media cost with attributed revenue.</t>
  </si>
  <si>
    <t>7.1.5. Ability to measure Customer Acquisition Cost (CAC).</t>
  </si>
  <si>
    <t xml:space="preserve">CAC is calculated by combining acquired-user counts with imported spend in a template formula, Ad spend data is imported through Amplitude's Ad Netwoork conectors. </t>
  </si>
  <si>
    <t>CAC measurement explicitly described.</t>
  </si>
  <si>
    <t>CAC calculation depends on external cost data; native capability not demonstrated.</t>
  </si>
  <si>
    <t>CAC is a calculated metric from imported spend and new-customer counts.</t>
  </si>
  <si>
    <t>CAC is a calculated metric from ingested spend and new-customer counts.</t>
  </si>
  <si>
    <t>7.1.6. Ability to analyse Customer Lifetime Value (CLV).</t>
  </si>
  <si>
    <t>CLV is analysed with the Revenue LTV chart and N-Day LTV.</t>
  </si>
  <si>
    <t>Predictive CLV modelling and BigQuery ML supported.</t>
  </si>
  <si>
    <t>No evidence of native predictive CLV engine or configurable CLV models.</t>
  </si>
  <si>
    <t>Cohort-style analysis and revenue-per-visitor metrics give CLV analysis. Predictive lifetime value would use a customer-owned model.</t>
  </si>
  <si>
    <t>Cohort and revenue-per-person analysis, plus predictive lifetime value from the platform's ML modelling, support CLV analysis.</t>
  </si>
  <si>
    <t>7.1.7. Ability to attribute bookings, ancillary purchases, and loyalty enrolments to marketing campaigns.</t>
  </si>
  <si>
    <t>Bookings, ancillary purchases and loyalty enrolments are attributed to campaigns using attribution and campaign properties.</t>
  </si>
  <si>
    <t>Booking, ancillary revenue and loyalty enrolment attribution are demonstrated through marketing journeys.</t>
  </si>
  <si>
    <t>Bookings, ancillary purchases and loyalty enrolments are attributed to campaigns under any attribution model.</t>
  </si>
  <si>
    <t>Bookings, ancillary purchases and loyalty enrolments are attributed to campaigns across all attribution models.</t>
  </si>
  <si>
    <t>7.1.8. Ability to analyse campaign performance across customer segments.</t>
  </si>
  <si>
    <t>Campaign performance across segments is analysed with group-by on campaign and audience properties.</t>
  </si>
  <si>
    <t>Segment-based campaign analytics supported through WebEngage.</t>
  </si>
  <si>
    <t>Campaign performance is analysed for any customer segment.</t>
  </si>
  <si>
    <t>Campaign performance is analysed by any customer segment.</t>
  </si>
  <si>
    <t>7.1.9. Ability to identify high-performing marketing channels.</t>
  </si>
  <si>
    <t>High-performing channels are identified with Channels and multi-dimensional Data Tables.</t>
  </si>
  <si>
    <t>Marketing dashboards compare channel performance and ROI.</t>
  </si>
  <si>
    <t>Channel and campaign rankings by conversion and revenue identify what performs.</t>
  </si>
  <si>
    <t>Channel and campaign rankings identify high-performing channels.</t>
  </si>
  <si>
    <t>7.1.10. Ability to support UTM governance and campaign taxonomy.</t>
  </si>
  <si>
    <t>UTM governance and campaign taxonomy are supported with captured UTM properties, the Channel Classifier and tracking-plan governance.</t>
  </si>
  <si>
    <t>Dedicated UTM Governance Framework and campaign taxonomy are proposed.</t>
  </si>
  <si>
    <t>Governance framework, validation and taxonomy management are not fully demonstrated.</t>
  </si>
  <si>
    <t>Campaign tracking codes are captured and classified for reporting, and tag rules enforce naming standards.</t>
  </si>
  <si>
    <t>Adobe Experience Platform can capture UTM campaign details and organize them for consistent marketing analysis. With configuration, teams can apply agreed campaign naming standards and use reference mappings to group campaign results in reports.</t>
  </si>
  <si>
    <t>7.1.11. Ability to integrate with enterprise marketing platforms.</t>
  </si>
  <si>
    <t>Amplitude integrates with enterprise marketing platforms through the destination/source catalog and cohort syncs.</t>
  </si>
  <si>
    <t>Integration with Adobe, Google, Salesforce, WebEngage and enterprise APIs is described.</t>
  </si>
  <si>
    <t>Data sources, APIs and Adobe Exchange connectors integrate with advertising and marketing platforms.</t>
  </si>
  <si>
    <t>Sources, destinations and APIs integrate with ad platforms, marketing automation and other enterprise marketing platforms.</t>
  </si>
  <si>
    <t>7.1.12. Ability to support cross-device attribution.</t>
  </si>
  <si>
    <t>Cross-device attribution is supported via identity resolution linking device_ids to a user_id.</t>
  </si>
  <si>
    <t>Contentsquare identity layer provides cross-device attribution.</t>
  </si>
  <si>
    <t>Supported through identity stitching.</t>
  </si>
  <si>
    <t>Attribution is reported per device, with logged-in customers recognised by a common authenticated ID. Automatic cross-device attribution is part of Adobe's wider platform.</t>
  </si>
  <si>
    <t>Person-level stitching makes attribution cross-device.</t>
  </si>
  <si>
    <t>7.1.13. Ability to measure incremental business impact of campaigns.</t>
  </si>
  <si>
    <t>Incremental impact is measured with Amplitude Experiment (holdout/geo tests) and lift analysis, rather than a dedicated marketing-mix model.</t>
  </si>
  <si>
    <t>ROI, CLV, revenue impact and campaign effectiveness dashboards are provided.</t>
  </si>
  <si>
    <t>No incrementality measurement methodology or holdout analysis demonstrated.</t>
  </si>
  <si>
    <t>Control groups in Adobe Target measure incremental lift, reported in Adobe Analytics.</t>
  </si>
  <si>
    <t>Adobe Experience Platform supports campaign impact measurement through configured experiments with treatment and holdout groups. Marketers can compare selected business outcomes, such as purchases or revenue, between exposed and holdout audiences to understand incremental campaign lift and inform future campaigns.</t>
  </si>
  <si>
    <t>7.1.14. Ability to analyse campaign frequency and customer fatigue.</t>
  </si>
  <si>
    <t>Campaign frequency and fatigue are analysed by tracking exposure/impression events per user over time.</t>
  </si>
  <si>
    <t>Frequency capping is described for campaigns; customer fatigue analytics are not explicitly mentioned.</t>
  </si>
  <si>
    <t>Message-exposure data imported fromAdobe Campaign can be analysed against response to show frequency effects and fatigue.</t>
  </si>
  <si>
    <t>Message-exposure data analysed against response shows frequency effects and fatigue, with frequency caps applied in orchestration.</t>
  </si>
  <si>
    <t>7.1.15. Ability to provide real-time campaign performance dashboards.</t>
  </si>
  <si>
    <t>Real-time campaign dashboards are supported with live-updating dashboards.</t>
  </si>
  <si>
    <t>GA4 Realtime dashboards and executive dashboards are proposed.</t>
  </si>
  <si>
    <t>No contractual refresh SLA provided.</t>
  </si>
  <si>
    <t>Real-time reports and dashboards support near-live campaign monitoring.</t>
  </si>
  <si>
    <t>Dashboards refresh on streaming data for near-real-time campaign performance.</t>
  </si>
  <si>
    <t>7.1.16. Ability to support airline-specific marketing analytics including fare sales, seasonal campaigns, destination promotions, loyalty campaigns, and ancillary promotions.</t>
  </si>
  <si>
    <t>Airline-specific marketing analytics (fare sales, seasonal, destination, loyalty, ancillary promos) are covered once campaigns are tagged, using the marketing suite.</t>
  </si>
  <si>
    <t>Fare sales, loyalty, ancillary campaigns, destination journeys and flash-sale analytics are covered.</t>
  </si>
  <si>
    <t>No dedicated airline analytics model or production evidence for fare sales, loyalty and ancillary campaigns.</t>
  </si>
  <si>
    <t>Fare sales, seasonal, destination, loyalty and ancillary promotion analytics are configured on the existing tracking and reusable templates.</t>
  </si>
  <si>
    <t>Adobe Experience Platform can bring together airline customer, booking, loyalty, ancillary, and campaign interaction data to support analysis of fare sales, seasonal campaigns, destination promotions, loyalty campaigns, and ancillary offers. With a configured campaign taxonomy and reusable reporting templates, marketing teams can compare campaign engagement, bookings, and revenue across channels.</t>
  </si>
  <si>
    <t>Audience Management &amp; Customer Segmentation</t>
  </si>
  <si>
    <t>8.1.1. Ability to create customer audiences using behavioural, transactional, demographic, operational, loyalty, campaign, and engagement attributes.</t>
  </si>
  <si>
    <t>Audiences (cohorts) are built from behavioural, transactional, demographic, operational, loyalty, campaign and engagement attributes with the behavioural cohort builder.</t>
  </si>
  <si>
    <t>Audience creation uses behavioural, operational, loyalty, booking and engagement attributes.</t>
  </si>
  <si>
    <t>The segment builder creates audiences from behavioural, transactional, demographic, loyalty, campaign and engagement attributes.</t>
  </si>
  <si>
    <t>Audiences are built from behavioural, transactional, demographic, operational, loyalty, campaign and engagement attributes.</t>
  </si>
  <si>
    <t>8.1.2. Ability to create audiences using historical, real-time, and streaming customer data.</t>
  </si>
  <si>
    <t xml:space="preserve">Audiences use historical and real time data, with no limitations on data source, audience size, and filtering criteria. </t>
  </si>
  <si>
    <t>Real-time qualification, BigQuery streaming and historical datasets are supported.</t>
  </si>
  <si>
    <t>Audiences use historical data and are shared with Target and Campaign through the Experience Cloud within minutes. Always-on edge evaluation is the next step.</t>
  </si>
  <si>
    <t>Audiences use historical (batch), streaming and edge (real-time) data.</t>
  </si>
  <si>
    <t>8.1.3. Ability to build rule-based, AI-assisted, and predictive customer segments.</t>
  </si>
  <si>
    <t>Rule-based cohorts, AI-assisted definitions and predictive (ML) segments are all supported.</t>
  </si>
  <si>
    <t>Rule-based, predictive segmentation and AI capabilities are explicitly described.</t>
  </si>
  <si>
    <t>Segment IQ and audience-discovery tools find high-value patterns. Fully AI-built audiences are not part of this stack.</t>
  </si>
  <si>
    <t>Rule-based audiences are native, predictive scores are usable as audience rules, and CX Coworker assists in audience creation through natural language.</t>
  </si>
  <si>
    <t>8.1.4. Ability to create audiences based on booking behaviour, travel frequency, customer lifetime value, ancillary purchases, route preferences, fare family selection, payment preferences, loyalty tier, and engagement history.</t>
  </si>
  <si>
    <t>Audiences on booking behaviour, travel frequency, CLV, ancillary purchases, route/fare-family preference, payment preference, loyalty tier and engagement history are built from the corresponding events/properties.</t>
  </si>
  <si>
    <t>Multiple airline-specific audience definitions cover these attributes.</t>
  </si>
  <si>
    <t>Audiences use all listed attributes, from route preference and fare family to loyalty tier and engagement history, whenever the data is captured.</t>
  </si>
  <si>
    <t>Audiences can use all listed attributes, from route preference and fare family to loyalty tier and engagement history.</t>
  </si>
  <si>
    <t>8.1.5. Ability to identify anonymous, authenticated, loyalty, corporate, and partner customers.</t>
  </si>
  <si>
    <t>Anonymous, authenticated, loyalty, corporate and partner customers are identified with user properties and behavioural cohorts.</t>
  </si>
  <si>
    <t>Identity resolution supports anonymous, authenticated, loyalty and corporate users.</t>
  </si>
  <si>
    <t>Corporate and partner identity management are not explicitly demonstrated.</t>
  </si>
  <si>
    <t>Anonymous and authenticated customers are separated by identity state. Corporate, partner and loyalty customers are separated by attribute.</t>
  </si>
  <si>
    <t>Anonymous, authenticated, loyalty, corporate and partner customers are identified by identity namespace and profile attributes.</t>
  </si>
  <si>
    <t>8.1.6. Ability to perform identity stitching across multiple devices and channels.</t>
  </si>
  <si>
    <t>Identity stitching across devices and channels underpins audience membership via identity resolution.</t>
  </si>
  <si>
    <t>Cross-device identity stitching is explicitly supported.</t>
  </si>
  <si>
    <t>Audiences are built per device and shared to personalization and campaigns. Automatic cross-device audiences come with Adobe's wider platform.</t>
  </si>
  <si>
    <t>The identity graph stitches customers across devices and channels.</t>
  </si>
  <si>
    <t>8.1.7. Ability to create dynamic audiences that automatically update as customer behaviour changes.</t>
  </si>
  <si>
    <t>Dynamic cohorts recompute automatically as behaviour changes and keep membership current.</t>
  </si>
  <si>
    <t>Dynamic audience qualification and behavioural updates are supported.</t>
  </si>
  <si>
    <t>Segments update dynamically as behaviour changes.</t>
  </si>
  <si>
    <t>Streaming and edge audiences update continuously; batch audiences refresh on schedule.</t>
  </si>
  <si>
    <t>8.1.8. Ability to support nested audience logic using AND, OR, and NOT operators.</t>
  </si>
  <si>
    <t>Nested AND/OR/NOT logic is supported in the cohort builder.</t>
  </si>
  <si>
    <t>Rule-based segmentation is described; Boolean AND/OR/NOT operators are not explicitly mentioned.</t>
  </si>
  <si>
    <t>Nested AND, OR and NOT logic is supported at hit, visit and visitor level.</t>
  </si>
  <si>
    <t>Nested AND, OR and NOT logic is supported.</t>
  </si>
  <si>
    <t>8.1.9. Ability to create look-alike audiences using machine learning.</t>
  </si>
  <si>
    <t>Look-alike targeting is supported through predictive (propensity) cohorts and by syncing seed cohorts to ad platforms that build platform-side look-alikes</t>
  </si>
  <si>
    <t>Look-alike audiences through GA4 and BigQuery ML are explicitly proposed.</t>
  </si>
  <si>
    <t>Dedicated look-alike modelling capability is not clearly evidenced.</t>
  </si>
  <si>
    <t>Look-alike expansion is not part of this stack. Audience insights and Segment IQ identify the traits worth modelling, and Adobe's wider platform provides look-alike modelling.</t>
  </si>
  <si>
    <t>Adobe Experience Platform can create look-alike audiences using machine learning. It takes a seed audience, such as high-value or loyalty-enrolled customers, finds customers with similar behavioural, transactional and profile attributes, and activates the result across engagement and advertising channels.</t>
  </si>
  <si>
    <t>8.1.10. Ability to support audience suppression and exclusion rules.</t>
  </si>
  <si>
    <t>Suppression and exclusion are supported using NOT logic and excluded cohorts in audience definitions and campaign syncs.</t>
  </si>
  <si>
    <t>Unsubscribe handling and frequency capping are described, but explicit suppression/exclusion rule management is not documented.</t>
  </si>
  <si>
    <t>Segment exclusions, NOT logic and consent-based filtering are supported, and Campaign and Target add suppression at delivery.</t>
  </si>
  <si>
    <t>Exclusion, NOT logic, consent-based suppression and suppression lists are supported.</t>
  </si>
  <si>
    <t>8.1.11. Ability to create airline-specific operational audiences, including:</t>
  </si>
  <si>
    <t>Airline operational audiences (frequent domestic/international, business/family/leisure/student/senior, high-ancillary, high-value, at-risk, IROPS-impacted, loyalty-eligible) are built once the underlying events/properties exist.</t>
  </si>
  <si>
    <t>Proposal explicitly includes frequent domestic/international, business, family, high ancillary purchasers, at-risk customers, IROPS-impacted passengers and loyalty candidates. Leisure, Students and Senior Citizens are not explicitly listed.</t>
  </si>
  <si>
    <t>No predefined airline audience templates or production airline implementation demonstrated for all requested audience categories.</t>
  </si>
  <si>
    <t>All listed operational audiences are created from behavioural events and imported attributes, as detailed below.</t>
  </si>
  <si>
    <t>All listed operational audiences are created from profile attributes and behavioural events, as detailed below.</t>
  </si>
  <si>
    <t>·        Frequent domestic travellers</t>
  </si>
  <si>
    <t>Rule on count of domestic bookings in a rolling window.</t>
  </si>
  <si>
    <t>·        Frequent international travellers</t>
  </si>
  <si>
    <t>Rule on count of international bookings.</t>
  </si>
  <si>
    <t>·        Business travellers</t>
  </si>
  <si>
    <t>Booking-pattern rules such as weekday, short lead time and solo travel.</t>
  </si>
  <si>
    <t>Booking-pattern rules (weekday, short lead time, solo travel, corporate identifiers) or a predictive score.</t>
  </si>
  <si>
    <t>·        Family travellers</t>
  </si>
  <si>
    <t>Passenger count, child or infant presence and multi-passenger booking rules.</t>
  </si>
  <si>
    <t>Passenger count, child/infant presence and multi-passenger PNR rules.</t>
  </si>
  <si>
    <t>·        Leisure travellers</t>
  </si>
  <si>
    <t>Trip-purpose signals such as weekend, long lead time and multi-passenger.</t>
  </si>
  <si>
    <t>Trip-purpose signals or predictive scoring.</t>
  </si>
  <si>
    <t>·        Students</t>
  </si>
  <si>
    <t>Student fare or verified-student attribute, subject to the data being captured.</t>
  </si>
  <si>
    <t>Student fare, age or verified-student identifier.</t>
  </si>
  <si>
    <t>·        Senior citizens</t>
  </si>
  <si>
    <t>Age or senior-fare indicator.</t>
  </si>
  <si>
    <t>·        High ancillary purchasers</t>
  </si>
  <si>
    <t>Ancillary spend and attach-rate rules.</t>
  </si>
  <si>
    <t>·        High-value customers</t>
  </si>
  <si>
    <t>Revenue and frequency rules.</t>
  </si>
  <si>
    <t>Revenue, frequency or predicted-value rules.</t>
  </si>
  <si>
    <t>·        At-risk customers</t>
  </si>
  <si>
    <t>Recency and frequency rules identify at-risk customers. Predictive churn scoring would use a customer-owned model.</t>
  </si>
  <si>
    <t>Recency/frequency rules and AI-driven churn propensity.</t>
  </si>
  <si>
    <t>·        Customers impacted by IROPS</t>
  </si>
  <si>
    <t>Requires the operational disruption feed joined to booking data through data sources.</t>
  </si>
  <si>
    <t>The operational disruption feed joined to PNR data identifies impacted customers in real time.</t>
  </si>
  <si>
    <t>·        Customers eligible for loyalty enrolment</t>
  </si>
  <si>
    <t>Non-members with qualifying booking behaviour, shared to Target and Campaign.</t>
  </si>
  <si>
    <t>Non-members with qualifying booking behaviour, activated to engagement channels.</t>
  </si>
  <si>
    <t>8.1.12. Ability to activate audiences across marketing automation, personalization, experimentation, CRM, CDP, advertising, and customer engagement platforms.</t>
  </si>
  <si>
    <t>Audiences activate to marketing automation, personalization, experimentation, CRM, CDP, advertising and engagement platforms via cohort syncs and the destination catalog.</t>
  </si>
  <si>
    <t>Audience activation across WebEngage, CRM, CDP, Adobe Target, Google Ads, BigQuery and marketing platforms is explicitly described.</t>
  </si>
  <si>
    <t>Audiences are shared to Adobe Target &amp; Adobe Campaign through the Experience Cloud. Other destinations can use Data feeds and APIs.</t>
  </si>
  <si>
    <t>Audiences activate to personalization, orchestration, CRM, advertising and analytics destinations through one destination catalogue, APIs and file exports.</t>
  </si>
  <si>
    <t>8.1.13. Ability to maintain complete audit history of audience creation, modification, activation, and deletion.</t>
  </si>
  <si>
    <t>Cohort creation, modification, sync and deletion are recorded in the Audit Log.</t>
  </si>
  <si>
    <t>Proposal includes profile audit trail and governance; however, complete audience lifecycle audit (creation, modification, activation and deletion) is not explicitly documented.</t>
  </si>
  <si>
    <t>Admin audit logs record segment creation, modification and sharing.</t>
  </si>
  <si>
    <t>Audit logs record audience creation, modification, activation and deletion.</t>
  </si>
  <si>
    <t>8.1.14. Ability to provide audience overlap analysis and estimated audience size before activation.</t>
  </si>
  <si>
    <t>Estimated audience size is shown at creation; overlap is analysed by intersecting cohorts.</t>
  </si>
  <si>
    <t>No evidence of audience overlap analysis or audience size estimation before activation.</t>
  </si>
  <si>
    <t>Comprehensive audience overlap analysis with conflict visualization is not sufficiently evidenced.</t>
  </si>
  <si>
    <t>Segment counts and previews show audience size before sharing, and segment comparison shows overlap.</t>
  </si>
  <si>
    <t>Estimated audience size and overlap analysis are available before activation.</t>
  </si>
  <si>
    <t>AI-Powered Analytics &amp; Predictive Intelligence</t>
  </si>
  <si>
    <t>9.1.1. Ability to automatically identify statistically significant trends.</t>
  </si>
  <si>
    <t>Statistically significant trends and metric changes are surfaced automatically with Insights and Anomaly + Forecast, with alerting.</t>
  </si>
  <si>
    <t>Sense AI and anomaly detection automatically identify significant trends and insights.</t>
  </si>
  <si>
    <t>Statistical significance methodology is not explained or evidenced.</t>
  </si>
  <si>
    <t>Anomaly detection, Contribution Analysis and intelligent alerts automatically highlight significant trends.</t>
  </si>
  <si>
    <t>Anomaly detection, Contribution Analysis and intelligent captions automatically highlight statistically significant trends.</t>
  </si>
  <si>
    <t>9.1.2. Ability to detect anomalies across customer behaviour and business KPIs.</t>
  </si>
  <si>
    <t>Anomaly detection across behaviour and KPIs is provided by Anomaly + Forecast with confidence bands and alerts.</t>
  </si>
  <si>
    <t>AI-based anomaly detection across customer behaviour and KPI monitoring is described.</t>
  </si>
  <si>
    <t>Anomaly detection runs on any metric, with alerts.</t>
  </si>
  <si>
    <t>Anomaly detection runs on any behavioural or business metric, with configurable alerts.</t>
  </si>
  <si>
    <t>9.1.3. Ability to forecast bookings, customer traffic, ancillary revenue, and engagement trends.</t>
  </si>
  <si>
    <t>pc</t>
  </si>
  <si>
    <t>Bookings, traffic, ancillary revenue and engagement are forecast with the Forecast feature (time-series prediction with confidence intervals).</t>
  </si>
  <si>
    <t>Proposal supports demand forecasting, churn prediction, CLV, purchase probability and predictive segmentation. Fare upgrades, campaign response and all listed scenarios are not individually committed.</t>
  </si>
  <si>
    <t>Partially Complaint</t>
  </si>
  <si>
    <t>No evidence of forecasting models specifically for bookings, ancillary revenue or traffic forecasting.</t>
  </si>
  <si>
    <t>Anomaly detection includes a forecast band for any metric. Business forecasting of bookings and revenue would use a customer-owned model fed by data feeds.</t>
  </si>
  <si>
    <t xml:space="preserve">Adobe Experience Platform can forecasts bookings, traffic, ancillary revenue and engagement trends with time-series forecasting on any metric, and flags deviations from the forecast through anomaly detection and alerts. </t>
  </si>
  <si>
    <t>·        Book</t>
  </si>
  <si>
    <t>Propensity to book, buy ancillaries, upgrade fare, join loyalty, return, churn and respond to campaigns is scored with Predictions, which scores each user hourly.</t>
  </si>
  <si>
    <t>Propensity scores are produced by IndiGo's data-science platform and brought into Adobe Analytics and Adobe Target as attributes through data feeds and classifications, then used in segments.</t>
  </si>
  <si>
    <t>AI-driven propensity models predict likelihood to book, written to the unified profile for audiences and personalization.</t>
  </si>
  <si>
    <t>·        Purchase ancillaries</t>
  </si>
  <si>
    <t>Same approach with ancillary purchase as the target event.</t>
  </si>
  <si>
    <t>The same propensity framework predicts ancillary purchase likelihood.</t>
  </si>
  <si>
    <t>·        Upgrade fare</t>
  </si>
  <si>
    <t>Same approach with fare upgrade as the target event.</t>
  </si>
  <si>
    <t>The same framework predicts fare-upgrade likelihood.</t>
  </si>
  <si>
    <t>·        Join loyalty programme</t>
  </si>
  <si>
    <t>Same approach with loyalty enrolment as the target event.</t>
  </si>
  <si>
    <t>The same framework predicts loyalty-enrolment likelihood.</t>
  </si>
  <si>
    <t>·        Return to the platform</t>
  </si>
  <si>
    <t>Same approach with return propensity as the target event.</t>
  </si>
  <si>
    <t>The same framework predicts likelihood to return.</t>
  </si>
  <si>
    <t>·        Churn</t>
  </si>
  <si>
    <t>Same approach with churn as the target event.</t>
  </si>
  <si>
    <t>Churn propensity is a standard model type.</t>
  </si>
  <si>
    <t>·        Respond to marketing campaigns</t>
  </si>
  <si>
    <t>Same approach with campaign response as the target event.</t>
  </si>
  <si>
    <t>The same framework predicts response to marketing campaigns.</t>
  </si>
  <si>
    <t>9.1.5. Ability to generate AI-powered business insights automatically.</t>
  </si>
  <si>
    <t>AI-generated business insights are produced automatically by the Global Agent (Ask Amplitude), which analyses data and writes narrative findings.</t>
  </si>
  <si>
    <t>Sense AI automatically generates business insights and summaries.</t>
  </si>
  <si>
    <t>Intelligent alerts, anomaly detection and Contribution Analysis are AI capabilities built into the solution.</t>
  </si>
  <si>
    <t>Intelligent captions &amp; anomaly detection within AEP and CX Coworker generate business insights automatically.</t>
  </si>
  <si>
    <t>9.1.6. Ability to recommend optimization opportunities.</t>
  </si>
  <si>
    <t>Optimisation opportunities are recommended by the Website Conversion Agent and Global Agent.</t>
  </si>
  <si>
    <t>Sense AI recommends optimisation opportunities and UX improvements.</t>
  </si>
  <si>
    <t>Contribution Analysis and Segment IQ point to opportunities, and Adobe Target's AI tests and applies the winning experience.</t>
  </si>
  <si>
    <t>Contribution Analysis, Segment comparison and CX Coworker recommend optimisation opportunities.</t>
  </si>
  <si>
    <t>9.1.7. Ability to recommend next best action for customers.</t>
  </si>
  <si>
    <t>Next-best-action / next-best-item is delivered with Recommendations (AutoML-ranked items per user).</t>
  </si>
  <si>
    <t>Next Best Action delivered through BigQuery ML / Vertex AI custom models.</t>
  </si>
  <si>
    <t>Next Best Action engine and decision logic are not fully evidenced.</t>
  </si>
  <si>
    <t>Adobe Target recommendations and Auto-Target decide the next best experience on site and in app, using insights from Adobe Analytics.</t>
  </si>
  <si>
    <t>Propensity scores and recommendation logic are applied in orchestration and on-site personalization, with insights shown in analytics.</t>
  </si>
  <si>
    <t>9.1.8. Ability to identify high-value customer cohorts.</t>
  </si>
  <si>
    <t>High-value cohorts are identified with Predictions and the Compass chart.</t>
  </si>
  <si>
    <t>Predictive segmentation identifies high-value customer groups.</t>
  </si>
  <si>
    <t>Segment IQ and value-based segmentation identify high-value cohorts.</t>
  </si>
  <si>
    <t>9.1.9. Ability to detect abnormal booking patterns.</t>
  </si>
  <si>
    <t>Abnormal booking patterns are detected with Anomaly detection and alerts.</t>
  </si>
  <si>
    <t>AI anomaly detection identifies abnormal booking and funnel behaviour.</t>
  </si>
  <si>
    <t>No airline-specific booking anomaly examples provided.</t>
  </si>
  <si>
    <t>Anomaly detection highlights abnormal booking patterns.</t>
  </si>
  <si>
    <t>9.1.10. Ability to provide predictive customer lifetime value.</t>
  </si>
  <si>
    <t>Predictive CLV is delivered by building a revenue/LTV prediction in Predictions, complementing the Revenue LTV chart.</t>
  </si>
  <si>
    <t>Predictive CLV modelling explicitly supported.</t>
  </si>
  <si>
    <t>Predictive CLV model and accuracy are not demonstrated.</t>
  </si>
  <si>
    <t>Predictive lifetime value is produced by IndiGo's data-science platform and imported as an attribute.</t>
  </si>
  <si>
    <t>Adobe Experience Platform can build predictive lifetime-value models with its SQL and ML modelling on the unified profile and transaction history. The scores are written back to the profile and used in audiences, personalization and CJA analysis, such as comparing cohorts by predicted value.</t>
  </si>
  <si>
    <t>9.1.11. Ability to perform root-cause analysis using AI.</t>
  </si>
  <si>
    <t>AI root-cause analysis is provided by Root Cause Analysis and the Global Agent, which decompose a metric change by segment and driver.</t>
  </si>
  <si>
    <t>Sense AI performs automated root-cause analysis.</t>
  </si>
  <si>
    <t>No evidence of automated AI root-cause analysis capability.</t>
  </si>
  <si>
    <t>Contribution Analysis automatically identifies the drivers of a change in any metric.</t>
  </si>
  <si>
    <t>Adobe Experience Platform’s Contribution Analysis and anomaly detection automatically identify which dimensions and segments drove a change in a metric. CX Coworker guides the follow-up investigation in natural language.</t>
  </si>
  <si>
    <t>9.1.12. Ability to explain AI-generated recommendations.</t>
  </si>
  <si>
    <t>Predictions expose the top behavioural drivers behind each score, and the agents show their reasoning and the underlying query, giving explainability.</t>
  </si>
  <si>
    <t>Sense AI explains why metrics changed and AI governance includes explainability.</t>
  </si>
  <si>
    <t>Explainability and reasoning behind AI outputs are not sufficiently detailed.</t>
  </si>
  <si>
    <t>AI-powered recommendations are rendered through Adobe Target which can be personalised for every user.</t>
  </si>
  <si>
    <t>Adobe Experience Platform shows the contributing factors behind each finding, and personalization reports rank the attributes that influenced model decisions. CX Coworker shows its reasoning steps with the data it used.</t>
  </si>
  <si>
    <t>9.1.13. Ability to configure custom prediction models.</t>
  </si>
  <si>
    <t>Custom prediction models are configured by defining the target outcome, timeframe and population in Build a prediction; Amplitude trains the model on your data.</t>
  </si>
  <si>
    <t>BigQuery ML and Vertex AI support custom prediction models.</t>
  </si>
  <si>
    <t>Not currently on Mixpanel roadmap</t>
  </si>
  <si>
    <t>No evidence that users can build or train custom prediction models.</t>
  </si>
  <si>
    <t>Custom prediction models are built in IndiGo's data-science environment and scored into Adobe Analytics through data feeds and classifications.</t>
  </si>
  <si>
    <t>IndiGo teams can configure custom models in the platform’s SQL and ML modelling, such as propensity, churn and next-route affinity. Scores are written to the unified profile and used across analytics, audiences and personalization.</t>
  </si>
  <si>
    <t>9.1.14. Ability to integrate customer-owned AI/ML models.</t>
  </si>
  <si>
    <t>Customer-owned AI/ML models are integrated by scoring in your environment or warehouse and importing scores as user properties (Identify/Profile API or warehouse sources), and by exporting Amplitude data to your ML platform. Hosting third-party models inside Amplitude is not offered.</t>
  </si>
  <si>
    <t>Proposal supports BigQuery ML/Vertex AI but does not explicitly state integration of customer-owned external AI/ML models.</t>
  </si>
  <si>
    <t>Native Bring-Your-Own-Model capability is not demonstrated.</t>
  </si>
  <si>
    <t>Customer-owned models score data outside, and results return through bulk insertion and classifications to be used in reports and segments.</t>
  </si>
  <si>
    <t>Models built in IndiGo’s own ML environment score data and write the results back to Adobe Experience Platform through batch or streaming ingestion. The scores are then available in analytics, audiences and personalization, with no change to how those capabilities work.</t>
  </si>
  <si>
    <t>9.1.15. Ability to support Generative AI for business insight generation and natural-language analytics.</t>
  </si>
  <si>
    <t>Generative-AI insight generation and natural-language analytics are delivered by the Global Agent, which turns plain-language questions into charts and narrative answers.</t>
  </si>
  <si>
    <t>Sense Chat provides natural-language analytics and Generative AI insights.</t>
  </si>
  <si>
    <t>Requirement adequately supported.</t>
  </si>
  <si>
    <t xml:space="preserve">Natural-language analytics and AI Assistant are not part of Adobe Analytics. Adobe Analytics has a MCP server available which can be connected to any LLM. </t>
  </si>
  <si>
    <t>CX Coworker answers natural-language questions over Adobe Experience Platform data, generates insights and recommends next steps. It also supports campaign, content and audience work across the platform.</t>
  </si>
  <si>
    <t>9.1.16. Ability to provide AI governance, explainability, auditability, and human oversight.</t>
  </si>
  <si>
    <t>AI governance is provided by AI Settings and Controls, AI Context, and documented Privacy and Security for AI, with human-in-the-loop review of agent outputs and auditability.</t>
  </si>
  <si>
    <t>Dedicated AI Governance section covers human oversight, explainability, auditability and change control.</t>
  </si>
  <si>
    <t>Comprehensive AI governance framework and human approval workflow are not evidenced.</t>
  </si>
  <si>
    <t>Role-based access, audit logs and Adobe's published AI principles govern AI features in the stack.</t>
  </si>
  <si>
    <t>CX Coworker returns its work for human approval before anything is published or activated, and Adobe Experience Platform audit logs record changes. Access to AI features is role-based, AI usage can be monitored, and generated content carries provenance information.</t>
  </si>
  <si>
    <t>Digital Experience Analytics</t>
  </si>
  <si>
    <t>10.1.1. Ability to capture customer sessions across Web and Mobile Applications.</t>
  </si>
  <si>
    <t>Sessions are captured across web and mobile apps with Session Replay (requires the Session Replay add-on and SDK).</t>
  </si>
  <si>
    <t>Session capture across Web, Android and iOS is explicitly described.</t>
  </si>
  <si>
    <t>Visits and sessions across web and mobile apps are native, with configurable session definitions.</t>
  </si>
  <si>
    <t>Sessions across web and mobile apps are defined and measured from event data.</t>
  </si>
  <si>
    <t>10.1.2. Ability to replay customer sessions.</t>
  </si>
  <si>
    <t>Sessions are replayed with event-stream sync in Analytics, User Look-Up and charts.</t>
  </si>
  <si>
    <t>Session replay is a core Contentsquare capability.</t>
  </si>
  <si>
    <t>Session replay capability appears dependent on integrations; native capability not clearly demonstrated.</t>
  </si>
  <si>
    <t>Session replay is delivered by a specialist experience-analytics tool configured alongside Adobe Analytics. Adobe Analytics remains the governed system of record for business KPIs and feeds audiences to personalization and campaigns. Insights therefore stay connected to revenue, audiences and personalization instead of sitting in a standalone tool.</t>
  </si>
  <si>
    <t>Adobe Experience Platform's open ecosystem integrates leading digital-experience-analytics tools for session replay, deployed through the same tag management.</t>
  </si>
  <si>
    <t>10.1.3. Ability to identify rage clicks.</t>
  </si>
  <si>
    <t>Rage clicks are detected automatically and highlighted in the replay timeline (Frustration Analytics).</t>
  </si>
  <si>
    <t>Rage click detection explicitly supported.</t>
  </si>
  <si>
    <t>No explicit evidence of native rage-click detection.</t>
  </si>
  <si>
    <t>Rage-click detection comes from a specialist tool configured alongside Adobe Analytics, with the signal sent as an event for correlation to revenue.</t>
  </si>
  <si>
    <t>Rage-click detection is delivered through the integrated digital-experience tool, with the signals correlated to journeys and KPIs on the platform.</t>
  </si>
  <si>
    <t>10.1.4. Ability to detect dead clicks.</t>
  </si>
  <si>
    <t>Dead clicks are detected automatically as a frustration signal.</t>
  </si>
  <si>
    <t>Dead click detection explicitly supported.</t>
  </si>
  <si>
    <t>Dead-click detection not explicitly demonstrated.</t>
  </si>
  <si>
    <t>Dead-click detection comes from a specialist tool configured alongside Adobe Analytics.</t>
  </si>
  <si>
    <t>Dead-click detection is delivered through the integrated digital-experience tool and tied to the platform’s journey and conversion data.</t>
  </si>
  <si>
    <t>10.1.5. Ability to identify excessive scrolling.</t>
  </si>
  <si>
    <t>Even though it is not logged as an event to avoid excessive volume, excessive scrolling is detectable at scale with the Session Replay specialised agent.</t>
  </si>
  <si>
    <t>Excessive scrolling detection explicitly supported.</t>
  </si>
  <si>
    <t>Scroll-depth analytics are not clearly evidenced.</t>
  </si>
  <si>
    <t>Scroll behaviour comes from a specialist tool configured alongside Adobe Analytics. Scroll-depth events can also be tracked in Adobe Analytics.</t>
  </si>
  <si>
    <t>Scroll-depth and scroll-behaviour events are captured on the platform and analysed by page and segment</t>
  </si>
  <si>
    <t>10.1.6. Ability to detect repeated customer actions.</t>
  </si>
  <si>
    <t>Repeated actions are visible in the replay timeline and event stream and can be quantified via segmentation.</t>
  </si>
  <si>
    <t>Repeated attempts and repeated interactions are illustrated in journeys, but repeated customer action detection is not explicitly listed as a product capability.</t>
  </si>
  <si>
    <t>Repeated actions are detected from captured events with repeat-count metrics.</t>
  </si>
  <si>
    <t>Repeated actions are detected from captured interaction events with repeat-count metrics.</t>
  </si>
  <si>
    <t>10.1.7. Ability to identify form abandonment.</t>
  </si>
  <si>
    <t>Form abandonment is analysed with funnels on form-step events and confirmed with Session Replay.</t>
  </si>
  <si>
    <t>Form abandonment analytics explicitly supported.</t>
  </si>
  <si>
    <t>Form-interaction events with Fallout show where customers abandon, by field and step.</t>
  </si>
  <si>
    <t>Form-interaction events with Fallout analysis identify form abandonment.</t>
  </si>
  <si>
    <t>10.1.8. Ability to identify customer struggle.</t>
  </si>
  <si>
    <t>Customer struggle is surfaced through frustration signals (rage/dead clicks) and, at scale, the Session Replay Agent.</t>
  </si>
  <si>
    <t>Customer Struggle Score and Frustration Index are explicitly described.</t>
  </si>
  <si>
    <t>No dedicated struggle score or frustration index demonstrated.</t>
  </si>
  <si>
    <t>Customer-struggle detection comes from a specialist tool configured alongside Adobe Analytics, correlated with journeys.</t>
  </si>
  <si>
    <t>Struggle detection comes through the integrated digital-experience tool and is correlated with journeys on the platform.</t>
  </si>
  <si>
    <t>10.1.9. Ability to capture JavaScript errors.</t>
  </si>
  <si>
    <t>JavaScript/console errors are captured and shown in the replay console panel (Error Analytics).</t>
  </si>
  <si>
    <t>JavaScript error capture explicitly supported.</t>
  </si>
  <si>
    <t>Native JavaScript error monitoring not evidenced.</t>
  </si>
  <si>
    <t>JavaScript errors are captured as events and analysed against business KPIs in the same report.</t>
  </si>
  <si>
    <t>JavaScript errors are captured as events and analysed with business KPIs.</t>
  </si>
  <si>
    <t>10.1.10. Ability to capture API failures.</t>
  </si>
  <si>
    <t>Failed network requests and API calls are captured as network errors in Session Replay.</t>
  </si>
  <si>
    <t>API failure monitoring explicitly supported.</t>
  </si>
  <si>
    <t>API failure monitoring depends on external instrumentation.</t>
  </si>
  <si>
    <t>API failures are captured with error codes and analysed in the journey context.</t>
  </si>
  <si>
    <t>API failures are captured with error codes and analysed with journeys.</t>
  </si>
  <si>
    <t>10.1.11. Ability to capture page rendering failures.</t>
  </si>
  <si>
    <t>Page-rendering issues are inferred from captured console/network errors and observed visually in replay. Network error events can be reported on in dashbaords and metrics.</t>
  </si>
  <si>
    <t>Page rendering failures explicitly supported.</t>
  </si>
  <si>
    <t>Requirement not demonstrated in the proposal.</t>
  </si>
  <si>
    <t>Rendering failures are captured through real-user monitoring configured alongside Adobe Analytics.</t>
  </si>
  <si>
    <t>Rendering failures can captured with the events correlated to journeys on the platform.</t>
  </si>
  <si>
    <t>10.1.12. Ability to detect slow-loading pages.</t>
  </si>
  <si>
    <t xml:space="preserve">Supported with Web Vitals out-of-the-box dashboard. </t>
  </si>
  <si>
    <t>Slow page detection and page performance monitoring are described.</t>
  </si>
  <si>
    <t>Native page performance monitoring capability not demonstrated.</t>
  </si>
  <si>
    <t>Page-load timing is captured with a performance plug-in and analysed by page, device and segment.</t>
  </si>
  <si>
    <t>Page-load timing events are captured and analysed by page, device and segment, with their impact on conversion.</t>
  </si>
  <si>
    <t>10.1.13. Ability to analyse customer frustration.</t>
  </si>
  <si>
    <t>Customer frustration is analysed with Frustration Analytics plus segmentation and funnels on those events.</t>
  </si>
  <si>
    <t>Frustration Index and behavioural diagnostics are core capabilities.</t>
  </si>
  <si>
    <t>No dedicated frustration analytics or UX scoring evidenced.</t>
  </si>
  <si>
    <t>Frustration scoring comes from a specialist tool configured alongside Adobe Analytics.</t>
  </si>
  <si>
    <t>Frustration scoring can be calculated basis user behaviour and correlated with KPIs on the platform.</t>
  </si>
  <si>
    <t>10.1.14. Ability to identify UX bottlenecks.</t>
  </si>
  <si>
    <t>UX bottlenecks are identified by combining funnels, Journeys, Heatmaps and Session Replay.</t>
  </si>
  <si>
    <t>Heatmaps, session replay and AI recommendations identify UX bottlenecks.</t>
  </si>
  <si>
    <t>Fallout and Flow expose UX bottlenecks by showing where customers stall, loop or leave.</t>
  </si>
  <si>
    <t>Fallout and Flow expose UX bottlenecks.</t>
  </si>
  <si>
    <t>10.1.15. Ability to correlate technical issues with business KPIs.</t>
  </si>
  <si>
    <t>Technical issues (error/frustration events) are correlated with business KPIs by using them in funnels and segmentation.</t>
  </si>
  <si>
    <t>Impact Quantification correlates technical issues with revenue and business KPIs.</t>
  </si>
  <si>
    <t>End-to-end observability correlation is not demonstrated.</t>
  </si>
  <si>
    <t>Technical events and revenue sit in one data set, so issues are tied directly to bookings and conversion.</t>
  </si>
  <si>
    <t>Technical events and revenue sit in the same person-level data, so issues are correlated with business KPIs directly.</t>
  </si>
  <si>
    <t>10.1.16. Ability to prioritise issues based on business impact.</t>
  </si>
  <si>
    <t>Issues are prioritised by business impact by quantifying affected users/conversion via segmentation and funnels on the issue events.</t>
  </si>
  <si>
    <t>Impact Quantification prioritises issues by revenue and business impact.</t>
  </si>
  <si>
    <t>Business impact prioritization methodology is not evidenced.</t>
  </si>
  <si>
    <t>Issues are ranked by affected revenue or visits using calculated metrics and Contribution Analysis.</t>
  </si>
  <si>
    <t>Issues are ranked by affected revenue or customers with calculated metrics and Contribution Analysis.</t>
  </si>
  <si>
    <t>10.1.17. Ability to integrate with enterprise observability platforms.</t>
  </si>
  <si>
    <t>Integration with observability platforms is supported by exporting error/behavioural events via the Export API, streaming destinations and webhooks; there is no native APM agent.</t>
  </si>
  <si>
    <t>Integration with existing APM/Observability platforms is explicitly proposed.</t>
  </si>
  <si>
    <t>Requirement supported through integrations.</t>
  </si>
  <si>
    <t>Data feeds and APIs integrate with enterprise observability platforms through configuration.</t>
  </si>
  <si>
    <t>Data Ingress and Egress APIs with data export integrate with enterprise observability platforms.</t>
  </si>
  <si>
    <t>10.1.18. Ability to support privacy masking of sensitive customer information during session replay.</t>
  </si>
  <si>
    <t>Sensitive information is masked in replays with configurable privacy masking (block/mask elements, default masking of inputs).</t>
  </si>
  <si>
    <t>PII masking during session replay is explicitly described across Web and Mobile.</t>
  </si>
  <si>
    <t>Native session replay masking capabilities are not sufficiently demonstrated.</t>
  </si>
  <si>
    <t>Adobe Analytics by default, does not capture any sensitive or personal identifiable information.</t>
  </si>
  <si>
    <t>Masking of sensitive information during replay is handled by the integrated replay tool, while data-usage labels and consent govern data held on the platform.</t>
  </si>
  <si>
    <t>Heatmaps &amp; User Interaction Analytics</t>
  </si>
  <si>
    <t>11.1.1. Ability to generate click heatmaps.</t>
  </si>
  <si>
    <t>Click heatmaps are generated from Session Replay data, ranking the elements users click on a page (requires the Session Replay add-on).</t>
  </si>
  <si>
    <t>Click heatmaps are a native Contentsquare capability.</t>
  </si>
  <si>
    <t>Native click heatmap functionality is not comprehensively demonstrated.</t>
  </si>
  <si>
    <t>Activity Map overlays click and engagement data directly on live pages, with links to the metrics that matter. Every click is tied back to revenue, segments and personalization in the same tool.</t>
  </si>
  <si>
    <t>Adobe Experience Platform integrates leading digital-experience analytics tools for click heatmaps, deployed through the same tag management and tied to the platform’s unified data.</t>
  </si>
  <si>
    <t>11.1.2. Ability to generate scroll depth heatmaps.</t>
  </si>
  <si>
    <t>Scroll-depth heatmaps show how far users scroll down a page.</t>
  </si>
  <si>
    <t>Scroll depth heatmaps explicitly supported.</t>
  </si>
  <si>
    <t>Native scroll heatmaps not clearly evidenced.</t>
  </si>
  <si>
    <t>Scroll heatmaps come from a specialist tool configured alongside Adobe Analytics, with scroll-depth events available in Adobe Analytics.</t>
  </si>
  <si>
    <t>Scroll-depth events are captured on the platform and analysed by page and segment, and the integrated digital-experience tool adds visual scroll heatmaps.</t>
  </si>
  <si>
    <t>11.1.3. Ability to generate movement heatmaps.</t>
  </si>
  <si>
    <t>Amplitude Heatmaps provide click, selector and scroll maps. Full mouse-movement (hover) maps are not a supported map type; movement is observable in Session Replay.</t>
  </si>
  <si>
    <t>Movement heatmaps are explicitly listed.</t>
  </si>
  <si>
    <t>Mouse movement heatmaps are not demonstrated.</t>
  </si>
  <si>
    <t>Movement heatmaps come from a specialist tool configured alongside Adobe Analytics.</t>
  </si>
  <si>
    <t>Movement heatmaps can be delivered through the integrated digital-experience tool, with platform segments shared to it.</t>
  </si>
  <si>
    <t>11.1.4. Ability to analyse customer attention.</t>
  </si>
  <si>
    <t>Customer attention is analysed with click and scroll maps identifying where users focus and how far they read.</t>
  </si>
  <si>
    <t>Attention heatmaps and Zone Analysis are described.</t>
  </si>
  <si>
    <t>Customer attention analytics are inferred rather than explicitly supported.</t>
  </si>
  <si>
    <t>Attention analysis comes from a specialist tool configured alongside Adobe Analytics.</t>
  </si>
  <si>
    <t>Attention analysis can be delivered through the integrated tool and combined with platform engagement and conversion data.</t>
  </si>
  <si>
    <t>11.1.5. Ability to analyse content engagement.</t>
  </si>
  <si>
    <t>Content engagement is analysed with click/selector maps ranking interaction per element.</t>
  </si>
  <si>
    <t>Content engagement through heatmaps and interaction analytics is supported.</t>
  </si>
  <si>
    <t>Content impressions and interactions are captured and analysed from AEM by content, placement and segment, with downstream conversion impact. Insights are tied to revenue-grade data, not isolated behavioural snapshots.</t>
  </si>
  <si>
    <t>Content impressions and interactions are captured and analysed by content, placement and segment on the platform, with downstream conversion impact.</t>
  </si>
  <si>
    <t>11.1.6. Ability to analyse banner performance.</t>
  </si>
  <si>
    <t>Banner performance is analysed with click maps and by converting a hotspot into an event or cohort.</t>
  </si>
  <si>
    <t>Banner engagement and campaign landing page analysis are demonstrated.</t>
  </si>
  <si>
    <t>Banner impressions, clicks and conversions, including Adobe Target experiences, are measured in the same report through A4T.</t>
  </si>
  <si>
    <t>Banner impressions, clicks and conversions, including personalized experiences, are measured on the platform, with lift reported against control.</t>
  </si>
  <si>
    <t>11.1.7. Ability to analyse CTA effectiveness.</t>
  </si>
  <si>
    <t>CTA effectiveness is analysed with click maps and downstream conversion from the CTA element.</t>
  </si>
  <si>
    <t>CTA interaction and optimisation recommendations are supported.</t>
  </si>
  <si>
    <t>CTA click-through and conversion are measured from interaction events.</t>
  </si>
  <si>
    <t>CTA click-through and conversion are measured from interaction events and compared by placement, variant and segment.</t>
  </si>
  <si>
    <t>11.1.8. Ability to analyse form interactions.</t>
  </si>
  <si>
    <t>Form interactions are analysed with click/selector maps on form fields plus funnels on form-step events</t>
  </si>
  <si>
    <t>Form analytics and field-level interaction analysis are explicitly described.</t>
  </si>
  <si>
    <t>Form interactions are measured through events and Fallout.</t>
  </si>
  <si>
    <t>11.1.9. Ability to compare heatmaps across audience segments.</t>
  </si>
  <si>
    <t>Heatmaps are compared across audience segments by targeting a heatmap to a cohort or property.</t>
  </si>
  <si>
    <t>Experiment variant comparison using heatmaps is demonstrated.</t>
  </si>
  <si>
    <t>Heatmap comparison across segments is not explicitly demonstrated.</t>
  </si>
  <si>
    <t>Activity Map views can be filtered by segment to compare interaction by audience.</t>
  </si>
  <si>
    <t>Platform audiences are shared with the integrated tool, so heatmaps can be compared by segment.</t>
  </si>
  <si>
    <t>11.1.10. Ability to compare historical and current interaction behaviour.</t>
  </si>
  <si>
    <t>Historical and current interaction are compared by generating heatmaps over different date ranges.</t>
  </si>
  <si>
    <t>Historical comparison before and after optimisation is supported.</t>
  </si>
  <si>
    <t>Date-range comparison shows historical against current interaction behaviour.</t>
  </si>
  <si>
    <t>Date-range comparison on the platform covers interaction behaviour of the user.</t>
  </si>
  <si>
    <t>11.1.11. Ability to analyse interaction behaviour across desktop, mobile web, Android, and iOS.</t>
  </si>
  <si>
    <t>Interaction analysis is strong for desktop and mobile web; native Android/iOS in-app heatmaps are limited, though in-app interaction is analysed with Autocapture events and mobile Session Replay - Dead Clicks, Frustration Clicks &amp; Rage Clicks are automatically tracked and captured.</t>
  </si>
  <si>
    <t>Desktop, Mobile Web, Android and iOS analytics are explicitly supported.</t>
  </si>
  <si>
    <t>Activity Map covers web, and app interactions are analysed through event tracking.</t>
  </si>
  <si>
    <t>Cross-device Behaviour can be analysed within AEP.</t>
  </si>
  <si>
    <t>11.1.12. Ability to identify ignored content.</t>
  </si>
  <si>
    <t>Ignored content is identified from low-engagement areas on click/scroll maps.</t>
  </si>
  <si>
    <t>Scroll depth and attention analysis identify ignored content.</t>
  </si>
  <si>
    <t>No dedicated ignored-content analysis demonstrated.</t>
  </si>
  <si>
    <t>Low-engagement content is identified from impression-to-interaction ratios.</t>
  </si>
  <si>
    <t>11.1.13. Ability to identify high-engagement content.</t>
  </si>
  <si>
    <t>High-engagement content is identified from hotspots on click maps.</t>
  </si>
  <si>
    <t>Zone Analysis and attention heatmaps identify high-engagement content.</t>
  </si>
  <si>
    <t>High-engagement content is ranked by interaction rate and downstream conversion.</t>
  </si>
  <si>
    <t>11.1.14. Ability to correlate heatmaps with business KPIs.</t>
  </si>
  <si>
    <t>Heatmap hotspots convert into events and cohorts, which are correlated with business KPIs in charts.</t>
  </si>
  <si>
    <t>Impact Quantification correlates UX interactions with revenue and KPIs.</t>
  </si>
  <si>
    <t>Direct correlation between heatmaps and business KPIs is not evidenced.</t>
  </si>
  <si>
    <t>Activity Map shows click data next to business metrics, and Adobe Analytics links interaction to revenue.</t>
  </si>
  <si>
    <t>Heatmap insights from the integrated tool are correlated with booking, revenue and ancillary KPIs on the platform’s person-level data.</t>
  </si>
  <si>
    <t>11.1.15. Ability to export interaction reports.</t>
  </si>
  <si>
    <t>Interaction insight is shared via links and by converting hotspots to events/replays; export as a static interaction report (image/PDF) is available, while granular tabular export uses the underlying events.</t>
  </si>
  <si>
    <t>Export to PDF, Excel and CSV is supported.</t>
  </si>
  <si>
    <t>Reports export to PDF, CSV and Excel and can be scheduled.</t>
  </si>
  <si>
    <t>Reports export to CSV, PDF and BI tools.</t>
  </si>
  <si>
    <t>11.1.16. Ability to provide AI-assisted recommendations based on interaction patterns.</t>
  </si>
  <si>
    <t>AI-assisted recommendations from interaction patterns are provided by the Website Conversion Agent.</t>
  </si>
  <si>
    <t>Sense AI generates UX recommendations based on interaction behaviour.</t>
  </si>
  <si>
    <t>Not supported currently</t>
  </si>
  <si>
    <t>AI recommendations are generic and not specific to heatmap interaction analysis.</t>
  </si>
  <si>
    <t>Contribution Analysis and Adobe Target's AI recommend where to act based on behavioural patterns.</t>
  </si>
  <si>
    <t>CX Coworker recommends actions from behavioural patterns in platform data, such as content to promote, fix or test.</t>
  </si>
  <si>
    <t>Reporting, Dashboards &amp; Business Intelligence</t>
  </si>
  <si>
    <t>12.1.1. Ability to create interactive executive dashboards with real-time and historical business KPIs.</t>
  </si>
  <si>
    <t>Interactive executive dashboards combine real-time and historical KPIs with flexible time ranges and filters.</t>
  </si>
  <si>
    <t>Executive dashboards with historical and real-time KPIs are proposed.</t>
  </si>
  <si>
    <t>Analysis Workspace supports interactive executive dashboards with real-time and historical KPIs. All dashboards run on complete, unsampled data.</t>
  </si>
  <si>
    <t>Interactive executive dashboards combine real-time and historical KPIs.</t>
  </si>
  <si>
    <t>12.1.2. Ability to create role-based dashboards for Product, Marketing, Revenue Management, Digital, Customer Experience, Loyalty, Operations, Finance, and Executive teams.</t>
  </si>
  <si>
    <t>Role-based dashboards for Product, Marketing, Revenue, Digital, CX, Loyalty, Operations, Finance and Executive teams are built and organised in Spaces with permissions.</t>
  </si>
  <si>
    <t>Role-based dashboards are provided for Executive, Product, Marketing, Operations and Technology. Finance, Revenue Management and Customer Experience are not explicitly listed.</t>
  </si>
  <si>
    <t>Role-specific dashboards are built for each team and shared with permissions.</t>
  </si>
  <si>
    <t>Role-specific dashboards for each team are shared with permissions.</t>
  </si>
  <si>
    <t>12.1.3. Ability to provide self-service dashboard creation without engineering dependency.</t>
  </si>
  <si>
    <t>Self-service dashboard creation requires no engineering, using the visual chart and dashboard builders.</t>
  </si>
  <si>
    <t>Drag-and-drop and self-service analytics are explicitly described.</t>
  </si>
  <si>
    <t>Business users build dashboards by drag-and-drop with no engineering dependency.</t>
  </si>
  <si>
    <t>Business users build dashboards with drag-and-drop, with no engineering dependency.</t>
  </si>
  <si>
    <t>12.1.4. Ability to create custom reports using configurable dimensions, metrics, segments, and calculated fields.</t>
  </si>
  <si>
    <t>Custom reports use configurable dimensions, metrics, segments and calculated/derived fields.</t>
  </si>
  <si>
    <t>Custom metrics, calculated dimensions and dashboards are supported.</t>
  </si>
  <si>
    <t>Custom reports use configurable dimensions, metrics, segments and calculated metrics.</t>
  </si>
  <si>
    <t>Custom reports use configurable dimensions, metrics, segments and calculated fields.</t>
  </si>
  <si>
    <t>12.1.5. Ability to support drill-down, drill-through, and slice-and-dice analysis.</t>
  </si>
  <si>
    <t>Drill-down, drill-through and slice-and-dice are supported with Microscope and multi-dimensional Data Tables.</t>
  </si>
  <si>
    <t>Drill-through to session replay and interactive dashboards are supported.</t>
  </si>
  <si>
    <t>Drill-down, breakdown and slice-and-dice are core capabilities.</t>
  </si>
  <si>
    <t>Drill-down, drill-through and slice-and-dice are core capabilities.</t>
  </si>
  <si>
    <t>12.1.6. Ability to support scheduled reports with automated distribution through Email, APIs, or enterprise collaboration platforms.</t>
  </si>
  <si>
    <t>Scheduled reports are distributed by email and to Slack/Microsoft Teams via dashboard subscriptions; the Dashboard REST API supports programmatic distribution.</t>
  </si>
  <si>
    <t>Scheduled reports are supported; Email distribution is explicit. API/collaboration platform distribution is not specifically stated.</t>
  </si>
  <si>
    <t>Scheduled reports are delivered by email and through APIs.</t>
  </si>
  <si>
    <t>Scheduled reports are distributed by email and through APIs.</t>
  </si>
  <si>
    <t>12.1.7. Ability to export reports in multiple formats including PDF, Excel, CSV, Power BI, Tableau, and enterprise BI platforms.</t>
  </si>
  <si>
    <t>PDF, CSV and Excel/Sheets export are native (including Google Sheets sync). Power BI and Tableau consume Amplitude data via the Export API or warehouse sync rather than a direct connector.</t>
  </si>
  <si>
    <t>PDF, Excel, CSV and Power BI are supported. Tableau export is not explicitly mentioned.</t>
  </si>
  <si>
    <t>Native export to every listed BI platform is not clearly demonstrated.</t>
  </si>
  <si>
    <t>PDF, CSV and Excel export are native, and enterprise BI tools connect through Report Builder, Data Warehouse, data feeds and APIs.</t>
  </si>
  <si>
    <t>PDF and CSV export (open in Excel) are native, and Power BI and Tableau connect through the BI extension.</t>
  </si>
  <si>
    <t>12.1.8. Ability to provide real-time dashboards for operational monitoring during promotional campaigns, flash sales, and IROPS.</t>
  </si>
  <si>
    <t>Real-time operational dashboards support monitoring during promos, flash sales and IROPS.</t>
  </si>
  <si>
    <t>Real-time dashboards during flash sales and IROPS are demonstrated.</t>
  </si>
  <si>
    <t>IROPS-specific operational dashboard capability is not evidenced.</t>
  </si>
  <si>
    <t>Real-time reports and dashboards support campaign and sale monitoring.</t>
  </si>
  <si>
    <t xml:space="preserve">Dashboards refresh on incoming data for campaign, flash-sale and user interactions across IndiGo touchpoints. </t>
  </si>
  <si>
    <t>12.1.9. Ability to compare business performance across routes, geographies, devices, channels, customer cohorts, and time periods.</t>
  </si>
  <si>
    <t>Performance is compared across routes, geographies, devices, channels, cohorts and time with group-by and segmentation.</t>
  </si>
  <si>
    <t>Comparative analytics across these dimensions are supported.</t>
  </si>
  <si>
    <t>Routes, geographies, devices, channels, cohorts and time periods are compared natively.</t>
  </si>
  <si>
    <t>12.1.10. Ability to monitor airline-specific KPIs including booking conversion, ancillary attachment, check-in adoption, loyalty engagement, refund trends, cancellation trends, and digital channel adoption.</t>
  </si>
  <si>
    <t>Airline KPIs (booking conversion, ancillary attachment, check-in adoption, loyalty engagement, refund/cancellation trends, channel adoption) are built as metrics and monitored on dashboards.</t>
  </si>
  <si>
    <t>Most airline KPIs are covered; refund and cancellation trend dashboards are not explicitly described.</t>
  </si>
  <si>
    <t>No predefined airline KPI framework demonstrated.</t>
  </si>
  <si>
    <t>Booking conversion, ancillary attachment, check-in adoption, loyalty engagement, refund and cancellation trends and channel adoption are built as KPIs.</t>
  </si>
  <si>
    <t>12.1.11. Ability to create configurable scorecards for executive decision-making.</t>
  </si>
  <si>
    <t>Configurable executive scorecards are built as dashboards with saved metrics and targets.</t>
  </si>
  <si>
    <t>Executive KPI dashboards and scorecards are proposed.</t>
  </si>
  <si>
    <t>Executive scorecards in the Adobe Analytics mobile app can be used with configurable KPIs.</t>
  </si>
  <si>
    <t>Executive scorecards use configurable KPIs.</t>
  </si>
  <si>
    <t>12.1.12. Ability to support embedded analytics within enterprise applications.</t>
  </si>
  <si>
    <t>Analytics are shared and embedded via secure links, external sharing and embeds (for example in Notion)</t>
  </si>
  <si>
    <t>Embedded dashboards through Looker/Power BI are explicitly mentioned.</t>
  </si>
  <si>
    <t>Native embedded analytics capability is not clearly evidenced.</t>
  </si>
  <si>
    <t>Report APIs and Report Builder embed analytics in enterprise applications.</t>
  </si>
  <si>
    <t>APIs and the BI extension embed analytics in enterprise applications.</t>
  </si>
  <si>
    <t>12.1.13. Ability to create automated alerts for KPI deviations and business anomalies.</t>
  </si>
  <si>
    <t>Automated alerts on KPI deviations and anomalies are configured with Insights, chart monitors and webhooks.</t>
  </si>
  <si>
    <t>KPI anomaly alerts and automated notifications are supported.</t>
  </si>
  <si>
    <t>Alerts on KPI deviations and anomalies are configurable.</t>
  </si>
  <si>
    <t>12.1.14. Ability to maintain historical dashboard versions and audit trails.</t>
  </si>
  <si>
    <t>Administrative and configuration changes are captured in the Audit Log; granular saved-version history for every dashboard is more limited than a full version-control repository.</t>
  </si>
  <si>
    <t>Governance and version control are described, but dashboard version history is not explicitly committed.</t>
  </si>
  <si>
    <t>Dashboard version control is not explicitly demonstrated.</t>
  </si>
  <si>
    <t>Project changes are tracked in audit logs, and projects can be duplicated to preserve a known-good version.</t>
  </si>
  <si>
    <t>Changes to dashboards are tracked in audit logs.</t>
  </si>
  <si>
    <t>12.1.15. Ability to integrate dashboards with enterprise Business Intelligence platforms.</t>
  </si>
  <si>
    <t>Dashboards integrate with enterprise BI by exporting to the warehouse and BI tools via the Export API and destination catalog.</t>
  </si>
  <si>
    <t>Integration with Looker, Power BI and enterprise BI platforms is explicitly supported.</t>
  </si>
  <si>
    <t>Report Builder, Data Warehouse, data feeds and the reporting API connect to enterprise BI platforms.</t>
  </si>
  <si>
    <t>The BI extension connects dashboards to enterprise BI platforms.</t>
  </si>
  <si>
    <t>Self-Service Analytics &amp; Business User Enablement</t>
  </si>
  <si>
    <t>13.1.1. Ability to create custom reports through intuitive visual interfaces.</t>
  </si>
  <si>
    <t>Custom reports are built through intuitive visual chart builders with no code.</t>
  </si>
  <si>
    <t>Visual self-service reporting is supported.</t>
  </si>
  <si>
    <t>Workspace is a visual interface for building custom reports.</t>
  </si>
  <si>
    <t>Analysis Workspace within AEP is a visual interface to build custom reports on the fly.</t>
  </si>
  <si>
    <t>13.1.2. Ability to build dashboards using drag-and-drop functionality.</t>
  </si>
  <si>
    <t>Dashboards are assembled by adding and arranging saved charts in a visual editor.</t>
  </si>
  <si>
    <t>Drag-and-drop dashboards explicitly supported.</t>
  </si>
  <si>
    <t>Dashboards are built by drag-and-drop.</t>
  </si>
  <si>
    <t>13.1.3. Ability to create calculated metrics and KPIs.</t>
  </si>
  <si>
    <t>Calculated metrics and KPIs are created with formula metrics and the metrics builder.</t>
  </si>
  <si>
    <t>Custom metrics and KPIs supported.</t>
  </si>
  <si>
    <t>Calculated metrics and KPIs are created without code.</t>
  </si>
  <si>
    <t>13.1.4. Ability to perform ad-hoc data exploration.</t>
  </si>
  <si>
    <t>Ad-hoc exploration is supported across the full chart suite and Event Explorer.</t>
  </si>
  <si>
    <t>Self-service exploration using Sense Chat and GA4 Explorations is supported.</t>
  </si>
  <si>
    <t>Freeform tables, Flow and Fallout support ad-hoc exploration.</t>
  </si>
  <si>
    <t>13.1.5. Ability to create reusable report templates.</t>
  </si>
  <si>
    <t>Reusable report and dashboard templates are supported.</t>
  </si>
  <si>
    <t>Dashboard specifications are mentioned; reusable templates are not explicitly committed.</t>
  </si>
  <si>
    <t>Dedicated report template management is not explicitly demonstrated.</t>
  </si>
  <si>
    <t>Project templates provide reusable report structures.</t>
  </si>
  <si>
    <t>13.1.6. Ability to build customer segments through visual interfaces.</t>
  </si>
  <si>
    <t>Segments/cohorts are built through the visual cohort builder.</t>
  </si>
  <si>
    <t>Visual segment builder in WebEngage is explicitly described.</t>
  </si>
  <si>
    <t>The segment builder is a visual interface.</t>
  </si>
  <si>
    <t>Segment Builder is a visual interface.</t>
  </si>
  <si>
    <t>13.1.7. Ability to define business rules without coding.</t>
  </si>
  <si>
    <t>Business rules (cohorts, derived properties, metrics) are defined without coding.</t>
  </si>
  <si>
    <t>Rule-based audience creation and governance are supported.</t>
  </si>
  <si>
    <t>Rule builders and calculated metrics define business rules without code.</t>
  </si>
  <si>
    <t>Derived fields and rule builders define business rules without code.</t>
  </si>
  <si>
    <t>13.1.8. Ability to create automated alerts and notifications.</t>
  </si>
  <si>
    <t>Automated alerts and notifications are configured on charts and dashboards.</t>
  </si>
  <si>
    <t>Automated anomaly alerts are supported.</t>
  </si>
  <si>
    <t>Alerts and notifications are configured through a UI.</t>
  </si>
  <si>
    <t>Intelligent Alerts and notifications can be configured through the UI.</t>
  </si>
  <si>
    <t>13.1.9. Ability to schedule reports and dashboards.</t>
  </si>
  <si>
    <t>Reports and dashboards are scheduled with subscriptions.</t>
  </si>
  <si>
    <t>Scheduled reports are explicitly supported.</t>
  </si>
  <si>
    <t>Reports and dashboards are scheduled.</t>
  </si>
  <si>
    <t>Reports and dashboards can be shared &amp; scheduled over an email.</t>
  </si>
  <si>
    <t>13.1.10. Ability to create custom dimensions and metrics.</t>
  </si>
  <si>
    <t>Custom dimensions and metrics are created with derived properties and formula metrics.</t>
  </si>
  <si>
    <t>Configurable dimensions and metrics are supported.</t>
  </si>
  <si>
    <t>Custom dimensions and metrics are defined with variables, classifications and calculated metrics.</t>
  </si>
  <si>
    <t>Custom dimensions and metrics are defined with derived fields and calculated metrics.</t>
  </si>
  <si>
    <t>13.1.11. Ability to maintain report version history.</t>
  </si>
  <si>
    <t xml:space="preserve">Every report change has a unique URL and comprehensive version history. </t>
  </si>
  <si>
    <t>Governance versioning is described; report version history is not explicitly mentioned.</t>
  </si>
  <si>
    <t>Report version control is not explicitly evidenced.</t>
  </si>
  <si>
    <t>Project changes are tracked in audit logs, and projects can be duplicated to preserve a version.</t>
  </si>
  <si>
    <t>Report changes are tracked through audit logs.</t>
  </si>
  <si>
    <t>13.1.12. Ability to support collaborative analytics across business teams.</t>
  </si>
  <si>
    <t>Collaborative analytics is supported with Spaces, sharing, notebooks and @mentions.</t>
  </si>
  <si>
    <t>Shared dashboards and role-based analytics are supported.</t>
  </si>
  <si>
    <t>Projects are shared across teams with permissions.</t>
  </si>
  <si>
    <t>Projects are shared across teams with comments and permissions.</t>
  </si>
  <si>
    <t>13.1.13. Ability to provide role-based access control for report creation and publishing.</t>
  </si>
  <si>
    <t>Role-based access control governs who can create, edit and publish content.</t>
  </si>
  <si>
    <t>RBAC is explicitly supported.</t>
  </si>
  <si>
    <t>Role-based access governs report creation and publishing.</t>
  </si>
  <si>
    <t>13.1.14. Ability to preview reports before publishing.</t>
  </si>
  <si>
    <t>Reports can be previewed and drafted before sharing or publishing.</t>
  </si>
  <si>
    <t>No evidence found.</t>
  </si>
  <si>
    <t>Explicit preview capability is not demonstrated.</t>
  </si>
  <si>
    <t>Draft projects are reviewed privately before sharing.</t>
  </si>
  <si>
    <t>13.1.15. Ability to support governed self-service analytics while maintaining enterprise data standards.</t>
  </si>
  <si>
    <t>Governed self-service is supported by combining self-service authoring with governed taxonomy, Data Access Control and permissions.</t>
  </si>
  <si>
    <t>Governance framework and self-service analytics are proposed.</t>
  </si>
  <si>
    <t>Curated components and approved definitions keep self-service within governed limits.</t>
  </si>
  <si>
    <t>Data views curate approved dimensions and metrics so self-service stays within governed definitions.</t>
  </si>
  <si>
    <t>13.1.16. Ability to support no-code and low-code analytics workflows.</t>
  </si>
  <si>
    <t>No-code authoring is native; low-code/pro-code extensions use the APIs and SQL (Amplitude SQL/Query).</t>
  </si>
  <si>
    <t>Visual builders and drag-and-drop interfaces provide no-code capabilities.</t>
  </si>
  <si>
    <t>Workspace and the segment builder are no-code, with APIs for advanced users.</t>
  </si>
  <si>
    <t>Visual workflows are no-code, with APIs and SQL for advanced users.</t>
  </si>
  <si>
    <t>Enterprise Data Quality &amp; Governance</t>
  </si>
  <si>
    <t>14.1.1. Ability to validate incoming events before processing.</t>
  </si>
  <si>
    <t>Incoming events are validated before processing against the tracking-plan schema, with optional blocking of non-conforming events.</t>
  </si>
  <si>
    <t>CDP Tracking Plans validate events before ingestion.</t>
  </si>
  <si>
    <t>Debugging tools and processing rules validate events before they are processed, and the Data Repair API corrects them afterwards. There is no schema-level validation gate.</t>
  </si>
  <si>
    <t>Adobe Experience Platform validates every event against its schema at ingestion, rejecting malformed or incomplete records and applying data-prep rules before the data is processed.</t>
  </si>
  <si>
    <t>14.1.2. Ability to monitor data completeness, accuracy, consistency, and integrity.</t>
  </si>
  <si>
    <t>Data completeness, accuracy, consistency and integrity are monitored with Observe (volume, missing/added properties, schema violations).</t>
  </si>
  <si>
    <t>Data governance and validation framework support quality monitoring.</t>
  </si>
  <si>
    <t>Comprehensive enterprise data quality framework is not fully evidenced.</t>
  </si>
  <si>
    <t>Real-time reports, anomaly detection and data-feed checks track completeness and consistency, with deeper quality checks done in IndiGo's data environment.</t>
  </si>
  <si>
    <t>Dataset-level monitoring tracks ingestion volumes, successes and failures, and SQL-based quality checks measure completeness, accuracy, consistency and integrity, with alerts on deviations.</t>
  </si>
  <si>
    <t>14.1.3. Ability to detect missing, duplicate, and malformed events.</t>
  </si>
  <si>
    <t>Missing, duplicate and malformed events are detected by Observe and the Data Assistant; duplicates are de-duplicated by insert_id.</t>
  </si>
  <si>
    <t>Schema validation and SDK health monitoring detect malformed and broken events.</t>
  </si>
  <si>
    <t>Duplicate and missing event detection methodology is only partially explained.</t>
  </si>
  <si>
    <t>Anomaly detection flags missing data, processing rules handle malformed values, and duplicates are controlled with unique transaction IDs.</t>
  </si>
  <si>
    <t>Schema validation rejects malformed events, anomaly detection on event volumes flags missing data, and SQL-based checks find and remove duplicates.</t>
  </si>
  <si>
    <t>14.1.4. Ability to support enterprise event governance.</t>
  </si>
  <si>
    <t>Enterprise event governance is delivered through the central tracking plan, schema enforcement and Data Access Control.</t>
  </si>
  <si>
    <t>Event Governance Playbook explicitly proposed.</t>
  </si>
  <si>
    <t>Permissions, tag governance and a solution-design reference support event governance.</t>
  </si>
  <si>
    <t>Schema permissions, data-usage labels and tag governance support enterprise event governance.</t>
  </si>
  <si>
    <t>14.1.5. Ability to maintain metadata repositories.</t>
  </si>
  <si>
    <t>A metadata repository (descriptions, categories, owners, examples, data types, rules) is maintained per event and property.</t>
  </si>
  <si>
    <t>DataHub metadata repository explicitly proposed.</t>
  </si>
  <si>
    <t>On Mixpanel Roadmap</t>
  </si>
  <si>
    <t>Variable descriptions, classifications and the solution-design reference act as a metadata repository.</t>
  </si>
  <si>
    <t>The schema registry, dataset catalogue and data-view definitions act as a central metadata repository, accessible through the interface and APIs.</t>
  </si>
  <si>
    <t>14.1.6. Ability to maintain event taxonomy versioning.</t>
  </si>
  <si>
    <t>Taxonomy versioning is maintained with branches and change history.</t>
  </si>
  <si>
    <t>GTM version control and event governance support taxonomy versioning.</t>
  </si>
  <si>
    <t>Tag libraries keep revision history, and the solution-design reference documents variable changes.</t>
  </si>
  <si>
    <t>Tag libraries keep full revision and publishing history, and schemas evolve additively with change tracking through APIs, so the taxonomy can be versioned and maintained in source control.</t>
  </si>
  <si>
    <t>14.1.7. Ability to support enterprise data lineage.</t>
  </si>
  <si>
    <t>Source-to-event and sync lineage is tracked (sources, destinations, sync history). Full enterprise column-level lineage across external systems is delivered in combination with data pipelines and governance integrations.</t>
  </si>
  <si>
    <t>DataHub provides enterprise data lineage.</t>
  </si>
  <si>
    <t>End-to-end enterprise lineage is not explicitly demonstrated.</t>
  </si>
  <si>
    <t>Data flows are documented from collection through processing rules to data feeds, and end-to-end lineage across systems uses IndiGo's data catalogue.</t>
  </si>
  <si>
    <t>Adobe Experience Platform provides dataset and data-flow lineage from source through to activation, and exposes metadata through APIs so lineage can also be shared with enterprise data catalogues.</t>
  </si>
  <si>
    <t>14.1.8. Ability to monitor SDK implementation quality.</t>
  </si>
  <si>
    <t>SDK implementation quality is monitored with Observe, the Chrome extension debugger and source-level diagnostics.</t>
  </si>
  <si>
    <t>SDK health monitoring is explicitly supported.</t>
  </si>
  <si>
    <t>The Experience Platform Debugger and Assurance monitor tag and SDK implementation quality.</t>
  </si>
  <si>
    <t>Assurance and Edge Trace let teams inspect SDK events and payloads in real time during development, testing and production, so implementation quality is verified before and after release.</t>
  </si>
  <si>
    <t>14.1.9. Ability to identify broken tracking implementations.</t>
  </si>
  <si>
    <t>Broken tracking is identified by Observe (missing events/properties, unexpected schema) with alerting.</t>
  </si>
  <si>
    <t>SDK health monitoring detects broken tracking.</t>
  </si>
  <si>
    <t>Anomaly detection and alerts on event volumes identify broken or missing tracking, and Assurance checks confirm fixes.</t>
  </si>
  <si>
    <t>Anomaly detection on event volumes and Assurance checks identify broken tracking.</t>
  </si>
  <si>
    <t>14.1.10. Ability to support configurable validation rules.</t>
  </si>
  <si>
    <t>Configurable validation rules (required properties, data types, value ranges, regex) are defined per property.</t>
  </si>
  <si>
    <t>Schema validation and Tracking Plans support configurable rules.</t>
  </si>
  <si>
    <t>Processing rules and tag-level validation provide configurable rules.</t>
  </si>
  <si>
    <t>Schema constraints and data-prep functions provide configurable validation rules.</t>
  </si>
  <si>
    <t>14.1.11. Ability to maintain audit trails for analytics changes.</t>
  </si>
  <si>
    <t>Audit trails for analytics and configuration changes are kept in the Audit Log.</t>
  </si>
  <si>
    <t>Audit logging and governance are explicitly described.</t>
  </si>
  <si>
    <t>Admin audit logs record configuration and user-management changes.</t>
  </si>
  <si>
    <t>Audit logs record configuration changes across the platform.Audit logs record configuration and administrative changes across the platform, including who changed what and when, and are available in the interface and through APIs.</t>
  </si>
  <si>
    <t>14.1.12. Ability to support role-based governance.</t>
  </si>
  <si>
    <t>Role-based governance is enforced with RBAC and Data Access Control over sensitive data.</t>
  </si>
  <si>
    <t>RBAC and governance framework are supported.</t>
  </si>
  <si>
    <t>Role-based access and permissions support role-based governance.</t>
  </si>
  <si>
    <t>Role-based access, sandboxes and data-usage labels support role-based governance.</t>
  </si>
  <si>
    <t>14.1.13. Ability to manage business glossary and metadata.</t>
  </si>
  <si>
    <t>A business glossary and metadata are maintained via event/property descriptions, categories and display names.</t>
  </si>
  <si>
    <t>DataHub business glossary and metadata repository are explicitly proposed.</t>
  </si>
  <si>
    <t>Dedicated enterprise business glossary capability is not evidenced.</t>
  </si>
  <si>
    <t>Variable and component descriptions act as a business glossary, and an enterprise glossary tool can be linked through APIs.</t>
  </si>
  <si>
    <t>The schema registry, dataset catalogue and curated data-view definitions hold business names, descriptions and metadata centrally. Integration with an enterprise glossary tool is available through APIs.</t>
  </si>
  <si>
    <t>14.1.14. Ability to support enterprise data stewardship.</t>
  </si>
  <si>
    <t>Data stewardship is supported with ownership, access control and governed taxonomy workflows.</t>
  </si>
  <si>
    <t>Governance Playbook defines stewardship roles.</t>
  </si>
  <si>
    <t>Data stewardship workflows, ownership and approval processes are not explicitly demonstrated.</t>
  </si>
  <si>
    <t>Roles, permissions and documented ownership support data stewardship.</t>
  </si>
  <si>
    <t>Roles, permissions, data-usage labels and curated, governed data definitions let stewards own and control data quality and usage across teams.</t>
  </si>
  <si>
    <t>14.1.15. Ability to maintain historical changes.</t>
  </si>
  <si>
    <t>Historical changes are retained in the Audit Log and taxonomy branch history.</t>
  </si>
  <si>
    <t>Audit history, versioning and change tracking are described.</t>
  </si>
  <si>
    <t>Audit logs and tag-library history record historical changes.</t>
  </si>
  <si>
    <t>Audit logs, tag-library revision history and schema change tracking through APIs keep a record of historical changes, and dataset and batch history in the data lake preserve the data itself.</t>
  </si>
  <si>
    <t>14.1.16. Ability to integrate with enterprise Data Governance platforms.</t>
  </si>
  <si>
    <t>Integration with enterprise data-governance platforms is supported via the Taxonomy API and privacy partners (DataGrail, Osano, Transcend)</t>
  </si>
  <si>
    <t>DataHub integration is proposed as the enterprise data governance platform.</t>
  </si>
  <si>
    <t>Native integration with enterprise data governance platforms is not specifically evidenced.</t>
  </si>
  <si>
    <t>APIs and data feeds can integrate with enterprise data governance platforms through configuration.</t>
  </si>
  <si>
    <t>Adobe Experience Platform integrates with enterprise data governance and consent platforms such as OneTrust, and connects to others through open APIs and metadata export, with data-usage labels and audit logs enforced across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</si>
</sst>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6"/>
      <color theme="1"/>
      <name val="Calibri"/>
      <family val="2"/>
      <scheme val="minor"/>
    </font>
    <font>
      <b/>
      <sz val="16"/>
      <color theme="0"/>
      <name val="Calibri"/>
      <family val="2"/>
      <scheme val="minor"/>
    </font>
    <font>
      <b/>
      <sz val="12"/>
      <name val="Calibri"/>
      <family val="2"/>
      <scheme val="minor"/>
    </font>
    <font>
      <b/>
      <sz val="11"/>
      <name val="Calibri"/>
      <family val="2"/>
      <scheme val="minor"/>
    </font>
    <font>
      <b/>
      <sz val="12"/>
      <name val="Calibri (Body)"/>
    </font>
    <font>
      <b/>
      <sz val="11"/>
      <color rgb="FFFFFFFF"/>
      <name val="Calibri"/>
      <family val="2"/>
      <scheme val="minor"/>
    </font>
    <font>
      <sz val="12"/>
      <color rgb="FF000000"/>
      <name val="Calibri"/>
      <family val="2"/>
      <scheme val="minor"/>
    </font>
    <font>
      <sz val="11"/>
      <color rgb="FF000000"/>
      <name val="Calibri"/>
      <family val="2"/>
      <scheme val="minor"/>
    </font>
    <font>
      <sz val="12"/>
      <name val="Calibri (Body)"/>
    </font>
    <font>
      <sz val="12"/>
      <color rgb="FF000000"/>
      <name val="Times New Roman"/>
      <family val="1"/>
    </font>
    <font>
      <b/>
      <sz val="12"/>
      <color theme="1"/>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
      <patternFill patternType="solid">
        <fgColor rgb="FF44546A"/>
        <bgColor indexed="64"/>
      </patternFill>
    </fill>
    <fill>
      <patternFill patternType="solid">
        <fgColor theme="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2">
    <xf numFmtId="0" fontId="0" fillId="0" borderId="0"/>
    <xf numFmtId="9" fontId="1" fillId="0" borderId="0" applyFont="0" applyFill="0" applyBorder="0" applyAlignment="0" applyProtection="0"/>
  </cellStyleXfs>
  <cellXfs count="72">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top" wrapText="1"/>
    </xf>
    <xf numFmtId="0" fontId="0" fillId="0" borderId="0" xfId="0" applyAlignment="1">
      <alignment horizontal="center" vertical="center" wrapText="1"/>
    </xf>
    <xf numFmtId="0" fontId="6" fillId="3"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0" borderId="2" xfId="0" applyFont="1" applyBorder="1" applyAlignment="1">
      <alignment horizontal="center" vertical="top" wrapText="1"/>
    </xf>
    <xf numFmtId="0" fontId="7" fillId="0" borderId="2" xfId="0" applyFont="1" applyBorder="1" applyAlignment="1">
      <alignment horizontal="center" vertical="center" wrapText="1"/>
    </xf>
    <xf numFmtId="0" fontId="8" fillId="3"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3" fillId="0" borderId="0" xfId="0" applyFont="1" applyAlignment="1">
      <alignment horizontal="left" vertical="center"/>
    </xf>
    <xf numFmtId="0" fontId="3" fillId="0" borderId="2" xfId="0" applyFont="1" applyBorder="1" applyAlignment="1">
      <alignment horizontal="left" vertical="top" wrapText="1"/>
    </xf>
    <xf numFmtId="0" fontId="0" fillId="0" borderId="2" xfId="0" applyBorder="1" applyAlignment="1">
      <alignment horizontal="center" vertical="center"/>
    </xf>
    <xf numFmtId="0" fontId="12" fillId="0" borderId="2" xfId="0" applyFont="1" applyBorder="1" applyAlignment="1">
      <alignment horizontal="center" vertical="center" wrapText="1"/>
    </xf>
    <xf numFmtId="0" fontId="0" fillId="0" borderId="2" xfId="0" applyBorder="1" applyAlignment="1">
      <alignment vertical="top" wrapText="1"/>
    </xf>
    <xf numFmtId="0" fontId="12" fillId="0" borderId="2" xfId="0" applyFont="1" applyBorder="1" applyAlignment="1">
      <alignment horizontal="left" vertical="center" wrapText="1"/>
    </xf>
    <xf numFmtId="0" fontId="3" fillId="0" borderId="0" xfId="0" applyFont="1" applyAlignment="1">
      <alignment vertical="top"/>
    </xf>
    <xf numFmtId="0" fontId="3" fillId="0" borderId="2" xfId="0" applyFont="1" applyBorder="1" applyAlignment="1">
      <alignment vertical="top" wrapText="1"/>
    </xf>
    <xf numFmtId="0" fontId="0" fillId="0" borderId="2" xfId="0"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vertical="top"/>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vertical="center"/>
    </xf>
    <xf numFmtId="0" fontId="3" fillId="0" borderId="0" xfId="0" applyFont="1" applyAlignment="1">
      <alignment vertical="center"/>
    </xf>
    <xf numFmtId="0" fontId="12" fillId="5" borderId="2" xfId="0" applyFont="1" applyFill="1" applyBorder="1" applyAlignment="1">
      <alignment horizontal="left" vertical="center" wrapText="1"/>
    </xf>
    <xf numFmtId="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vertical="top"/>
    </xf>
    <xf numFmtId="0" fontId="3" fillId="0" borderId="0" xfId="0" applyFont="1" applyAlignment="1">
      <alignment horizontal="center" vertical="top" wrapText="1"/>
    </xf>
    <xf numFmtId="0" fontId="3" fillId="0" borderId="0" xfId="0" applyFont="1" applyAlignment="1">
      <alignment horizontal="left" vertical="top"/>
    </xf>
    <xf numFmtId="0" fontId="0" fillId="0" borderId="0" xfId="0" applyAlignment="1">
      <alignment vertical="top" wrapText="1"/>
    </xf>
    <xf numFmtId="0" fontId="3" fillId="0" borderId="0" xfId="0" applyFont="1"/>
    <xf numFmtId="9" fontId="14" fillId="0" borderId="0" xfId="0" applyNumberFormat="1" applyFont="1" applyAlignment="1">
      <alignment horizontal="center" vertical="top"/>
    </xf>
    <xf numFmtId="0" fontId="4" fillId="0" borderId="1" xfId="0" applyFont="1" applyBorder="1" applyAlignment="1">
      <alignment horizontal="center" vertical="top" wrapText="1"/>
    </xf>
    <xf numFmtId="0" fontId="5" fillId="2" borderId="1" xfId="0" applyFont="1" applyFill="1" applyBorder="1" applyAlignment="1">
      <alignment horizontal="center" vertical="top" wrapText="1"/>
    </xf>
    <xf numFmtId="0" fontId="10" fillId="0" borderId="2" xfId="0" applyFont="1" applyBorder="1" applyAlignment="1">
      <alignment horizontal="center" vertical="center" wrapText="1"/>
    </xf>
    <xf numFmtId="0" fontId="3" fillId="0" borderId="3" xfId="0" applyFont="1" applyBorder="1"/>
    <xf numFmtId="0" fontId="3" fillId="0" borderId="4" xfId="0" applyFont="1" applyBorder="1"/>
    <xf numFmtId="0" fontId="10" fillId="0" borderId="2" xfId="0" applyFont="1" applyBorder="1" applyAlignment="1">
      <alignment horizontal="left" vertical="center" wrapText="1"/>
    </xf>
    <xf numFmtId="9" fontId="11" fillId="0" borderId="2" xfId="1" applyFont="1" applyBorder="1" applyAlignment="1">
      <alignment horizontal="center" vertical="center" wrapText="1"/>
    </xf>
    <xf numFmtId="0" fontId="0" fillId="0" borderId="3" xfId="0" applyBorder="1"/>
    <xf numFmtId="0" fontId="0" fillId="0" borderId="4" xfId="0" applyBorder="1"/>
    <xf numFmtId="0" fontId="2" fillId="0" borderId="0" xfId="0" applyFont="1" applyAlignment="1">
      <alignment horizontal="center" vertical="top" wrapText="1"/>
    </xf>
    <xf numFmtId="0" fontId="2" fillId="0" borderId="1" xfId="0" applyFont="1" applyBorder="1" applyAlignment="1">
      <alignment horizontal="center" vertical="top" wrapText="1"/>
    </xf>
    <xf numFmtId="9" fontId="13" fillId="0" borderId="2" xfId="1" applyFont="1" applyBorder="1" applyAlignment="1">
      <alignment horizontal="center" vertical="center" wrapText="1"/>
    </xf>
    <xf numFmtId="0" fontId="10" fillId="0" borderId="2" xfId="0" applyFont="1" applyBorder="1" applyAlignment="1">
      <alignment horizontal="center" vertical="center"/>
    </xf>
    <xf numFmtId="0" fontId="10" fillId="0" borderId="2" xfId="0" applyFont="1" applyBorder="1" applyAlignment="1">
      <alignment horizontal="left" vertical="center"/>
    </xf>
    <xf numFmtId="9" fontId="13" fillId="0" borderId="2" xfId="1"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2" xfId="0" applyBorder="1" applyAlignment="1">
      <alignment horizontal="left" vertical="center" wrapText="1"/>
    </xf>
    <xf numFmtId="0" fontId="0" fillId="0" borderId="5"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0" fillId="0" borderId="2" xfId="0" applyFont="1" applyBorder="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1B53-89E9-4FFD-B0B9-816E727B11BD}">
  <dimension ref="A1:AB221"/>
  <sheetViews>
    <sheetView showGridLines="0" tabSelected="1" zoomScale="70" zoomScaleNormal="70" workbookViewId="0">
      <pane xSplit="2" ySplit="2" topLeftCell="C165" activePane="bottomRight" state="frozen"/>
      <selection pane="topRight" activeCell="C1" sqref="C1"/>
      <selection pane="bottomLeft" activeCell="A3" sqref="A3"/>
      <selection pane="bottomRight" activeCell="C199" sqref="C199"/>
    </sheetView>
  </sheetViews>
  <sheetFormatPr defaultColWidth="8.77734375" defaultRowHeight="15.6"/>
  <cols>
    <col min="1" max="1" width="8" style="25" customWidth="1"/>
    <col min="2" max="2" width="28.77734375" style="12" customWidth="1"/>
    <col min="3" max="3" width="73.77734375" style="3" customWidth="1"/>
    <col min="4" max="4" width="19.5546875" style="32" bestFit="1" customWidth="1"/>
    <col min="5" max="5" width="14.88671875" style="32" customWidth="1"/>
    <col min="6" max="6" width="17.44140625" style="33" bestFit="1" customWidth="1"/>
    <col min="7" max="7" width="10.33203125" style="32" bestFit="1" customWidth="1"/>
    <col min="8" max="8" width="12.109375" style="34" bestFit="1" customWidth="1"/>
    <col min="9" max="9" width="10.33203125" style="32" bestFit="1" customWidth="1"/>
    <col min="10" max="10" width="12.109375" style="34" bestFit="1" customWidth="1"/>
    <col min="11" max="11" width="10.33203125" style="32" bestFit="1" customWidth="1"/>
    <col min="12" max="12" width="12.109375" style="34" bestFit="1" customWidth="1"/>
    <col min="13" max="13" width="12" style="35" customWidth="1"/>
    <col min="14" max="14" width="12.109375" style="34" bestFit="1" customWidth="1"/>
    <col min="15" max="15" width="17.77734375" style="36" customWidth="1"/>
    <col min="16" max="16" width="12.109375" style="34" bestFit="1" customWidth="1"/>
    <col min="17" max="17" width="61.21875" style="37" customWidth="1"/>
    <col min="18" max="18" width="58.21875" style="37" customWidth="1"/>
    <col min="19" max="19" width="67" style="34" bestFit="1" customWidth="1"/>
    <col min="20" max="20" width="51.6640625" style="37" customWidth="1"/>
    <col min="21" max="21" width="73.77734375" style="3" customWidth="1"/>
    <col min="22" max="22" width="82" style="38" customWidth="1"/>
    <col min="23" max="23" width="13.33203125" style="34" customWidth="1"/>
    <col min="24" max="24" width="11.44140625" style="34" customWidth="1"/>
    <col min="25" max="25" width="12.77734375" style="34" customWidth="1"/>
    <col min="26" max="26" width="17.88671875" style="34" customWidth="1"/>
    <col min="27" max="28" width="12.44140625" style="34" customWidth="1"/>
    <col min="29" max="16384" width="8.77734375" style="18"/>
  </cols>
  <sheetData>
    <row r="1" spans="1:28" s="3" customFormat="1" ht="21" customHeight="1">
      <c r="A1" s="1"/>
      <c r="B1" s="2"/>
      <c r="D1" s="4"/>
      <c r="E1" s="49" t="s">
        <v>0</v>
      </c>
      <c r="F1" s="49"/>
      <c r="G1" s="49" t="s">
        <v>1</v>
      </c>
      <c r="H1" s="49"/>
      <c r="I1" s="49" t="s">
        <v>2</v>
      </c>
      <c r="J1" s="49"/>
      <c r="K1" s="50" t="s">
        <v>3</v>
      </c>
      <c r="L1" s="50"/>
      <c r="M1" s="50" t="s">
        <v>4</v>
      </c>
      <c r="N1" s="50"/>
      <c r="O1" s="50" t="s">
        <v>5</v>
      </c>
      <c r="P1" s="50"/>
      <c r="Q1" s="40" t="s">
        <v>6</v>
      </c>
      <c r="R1" s="40"/>
      <c r="S1" s="40"/>
      <c r="T1" s="40"/>
      <c r="W1" s="41" t="s">
        <v>7</v>
      </c>
      <c r="X1" s="41"/>
      <c r="Y1" s="41"/>
      <c r="Z1" s="41"/>
      <c r="AA1" s="41"/>
      <c r="AB1" s="41"/>
    </row>
    <row r="2" spans="1:28" s="12" customFormat="1" ht="31.8" customHeight="1">
      <c r="A2" s="5" t="s">
        <v>8</v>
      </c>
      <c r="B2" s="5" t="s">
        <v>9</v>
      </c>
      <c r="C2" s="5" t="s">
        <v>10</v>
      </c>
      <c r="D2" s="6" t="s">
        <v>11</v>
      </c>
      <c r="E2" s="7" t="s">
        <v>12</v>
      </c>
      <c r="F2" s="7" t="s">
        <v>13</v>
      </c>
      <c r="G2" s="7" t="s">
        <v>12</v>
      </c>
      <c r="H2" s="7" t="s">
        <v>13</v>
      </c>
      <c r="I2" s="7" t="s">
        <v>12</v>
      </c>
      <c r="J2" s="7" t="s">
        <v>13</v>
      </c>
      <c r="K2" s="7" t="s">
        <v>12</v>
      </c>
      <c r="L2" s="7" t="s">
        <v>13</v>
      </c>
      <c r="M2" s="7" t="s">
        <v>12</v>
      </c>
      <c r="N2" s="7" t="s">
        <v>13</v>
      </c>
      <c r="O2" s="7" t="s">
        <v>12</v>
      </c>
      <c r="P2" s="7" t="s">
        <v>13</v>
      </c>
      <c r="Q2" s="8" t="s">
        <v>14</v>
      </c>
      <c r="R2" s="8" t="s">
        <v>15</v>
      </c>
      <c r="S2" s="9" t="s">
        <v>16</v>
      </c>
      <c r="T2" s="8" t="s">
        <v>17</v>
      </c>
      <c r="U2" s="10" t="s">
        <v>18</v>
      </c>
      <c r="V2" s="10" t="s">
        <v>19</v>
      </c>
      <c r="W2" s="11" t="s">
        <v>0</v>
      </c>
      <c r="X2" s="11" t="s">
        <v>20</v>
      </c>
      <c r="Y2" s="11" t="s">
        <v>2</v>
      </c>
      <c r="Z2" s="11" t="s">
        <v>3</v>
      </c>
      <c r="AA2" s="11" t="s">
        <v>21</v>
      </c>
      <c r="AB2" s="11" t="s">
        <v>5</v>
      </c>
    </row>
    <row r="3" spans="1:28" ht="80.25" customHeight="1">
      <c r="A3" s="42">
        <v>1</v>
      </c>
      <c r="B3" s="45" t="s">
        <v>22</v>
      </c>
      <c r="C3" s="13" t="s">
        <v>23</v>
      </c>
      <c r="D3" s="46">
        <v>0.12</v>
      </c>
      <c r="E3" s="14" t="s">
        <v>24</v>
      </c>
      <c r="F3" s="14">
        <f>IF(E3="C",3,IF(E3="PC",1,IF(E3="NC",0,"")))</f>
        <v>3</v>
      </c>
      <c r="G3" s="14" t="s">
        <v>24</v>
      </c>
      <c r="H3" s="14">
        <f>IF(G3="C",3,IF(G3="PC",1,IF(G3="NC",0,"")))</f>
        <v>3</v>
      </c>
      <c r="I3" s="14" t="s">
        <v>24</v>
      </c>
      <c r="J3" s="14">
        <f>IF(I3="C",3,IF(I3="PC",1,IF(I3="NC",0,"")))</f>
        <v>3</v>
      </c>
      <c r="K3" s="14" t="s">
        <v>24</v>
      </c>
      <c r="L3" s="14">
        <f t="shared" ref="L3:L66" si="0">IF(K3="C",3,IF(K3="PC",1,IF(K3="NC",0,"")))</f>
        <v>3</v>
      </c>
      <c r="M3" s="15" t="s">
        <v>24</v>
      </c>
      <c r="N3" s="14">
        <f t="shared" ref="N3:N66" si="1">IF(M3="C",3,IF(M3="PC",1,IF(M3="NC",0,"")))</f>
        <v>3</v>
      </c>
      <c r="O3" s="15" t="s">
        <v>24</v>
      </c>
      <c r="P3" s="14">
        <f t="shared" ref="P3:P66" si="2">IF(O3="C",3,IF(O3="PC",1,IF(O3="NC",0,"")))</f>
        <v>3</v>
      </c>
      <c r="Q3" s="16" t="s">
        <v>25</v>
      </c>
      <c r="R3" s="16" t="s">
        <v>26</v>
      </c>
      <c r="S3" s="16" t="s">
        <v>26</v>
      </c>
      <c r="T3" s="16" t="s">
        <v>27</v>
      </c>
      <c r="U3" s="17" t="s">
        <v>28</v>
      </c>
      <c r="V3" s="17" t="s">
        <v>29</v>
      </c>
      <c r="W3" s="46">
        <f>AVERAGE(F3:F11)*$D3/3</f>
        <v>0.1111111111111111</v>
      </c>
      <c r="X3" s="46">
        <f>AVERAGE(H3:H11)*$D3/3</f>
        <v>9.3333333333333338E-2</v>
      </c>
      <c r="Y3" s="46">
        <f>AVERAGE(J3:J11)*$D3/3</f>
        <v>0.10222222222222221</v>
      </c>
      <c r="Z3" s="46">
        <f>AVERAGE(L3:L11)*$D3/3</f>
        <v>9.3333333333333338E-2</v>
      </c>
      <c r="AA3" s="46">
        <f>AVERAGE(N3:N11)*$D3/3</f>
        <v>0.12</v>
      </c>
      <c r="AB3" s="46">
        <f>AVERAGE(P3:P11)*$D3/3</f>
        <v>0.12</v>
      </c>
    </row>
    <row r="4" spans="1:28" ht="45">
      <c r="A4" s="43"/>
      <c r="B4" s="43"/>
      <c r="C4" s="13" t="s">
        <v>30</v>
      </c>
      <c r="D4" s="46"/>
      <c r="E4" s="14" t="s">
        <v>24</v>
      </c>
      <c r="F4" s="14">
        <f t="shared" ref="F4:F67" si="3">IF(E4="C",3,IF(E4="PC",1,IF(E4="NC",0,"")))</f>
        <v>3</v>
      </c>
      <c r="G4" s="14" t="s">
        <v>31</v>
      </c>
      <c r="H4" s="14">
        <f t="shared" ref="H4:H67" si="4">IF(G4="C",3,IF(G4="PC",1,IF(G4="NC",0,"")))</f>
        <v>1</v>
      </c>
      <c r="I4" s="14" t="s">
        <v>24</v>
      </c>
      <c r="J4" s="14">
        <f t="shared" ref="J4:J67" si="5">IF(I4="C",3,IF(I4="PC",1,IF(I4="NC",0,"")))</f>
        <v>3</v>
      </c>
      <c r="K4" s="14" t="s">
        <v>24</v>
      </c>
      <c r="L4" s="14">
        <f t="shared" si="0"/>
        <v>3</v>
      </c>
      <c r="M4" s="15" t="s">
        <v>24</v>
      </c>
      <c r="N4" s="14">
        <f t="shared" si="1"/>
        <v>3</v>
      </c>
      <c r="O4" s="15" t="s">
        <v>24</v>
      </c>
      <c r="P4" s="14">
        <f t="shared" si="2"/>
        <v>3</v>
      </c>
      <c r="Q4" s="16" t="s">
        <v>32</v>
      </c>
      <c r="R4" s="16" t="s">
        <v>33</v>
      </c>
      <c r="S4" s="16" t="s">
        <v>33</v>
      </c>
      <c r="T4" s="16" t="s">
        <v>34</v>
      </c>
      <c r="U4" s="17" t="s">
        <v>35</v>
      </c>
      <c r="V4" s="17" t="s">
        <v>36</v>
      </c>
      <c r="W4" s="47"/>
      <c r="X4" s="47"/>
      <c r="Y4" s="47"/>
      <c r="Z4" s="47"/>
      <c r="AA4" s="47"/>
      <c r="AB4" s="47"/>
    </row>
    <row r="5" spans="1:28" ht="64.05" customHeight="1">
      <c r="A5" s="43"/>
      <c r="B5" s="43"/>
      <c r="C5" s="13" t="s">
        <v>37</v>
      </c>
      <c r="D5" s="46"/>
      <c r="E5" s="14" t="s">
        <v>24</v>
      </c>
      <c r="F5" s="14">
        <f t="shared" si="3"/>
        <v>3</v>
      </c>
      <c r="G5" s="14" t="s">
        <v>24</v>
      </c>
      <c r="H5" s="14">
        <f t="shared" si="4"/>
        <v>3</v>
      </c>
      <c r="I5" s="14" t="s">
        <v>24</v>
      </c>
      <c r="J5" s="14">
        <f t="shared" si="5"/>
        <v>3</v>
      </c>
      <c r="K5" s="14" t="s">
        <v>24</v>
      </c>
      <c r="L5" s="14">
        <f t="shared" si="0"/>
        <v>3</v>
      </c>
      <c r="M5" s="15" t="s">
        <v>24</v>
      </c>
      <c r="N5" s="14">
        <f t="shared" si="1"/>
        <v>3</v>
      </c>
      <c r="O5" s="15" t="s">
        <v>24</v>
      </c>
      <c r="P5" s="14">
        <f t="shared" si="2"/>
        <v>3</v>
      </c>
      <c r="Q5" s="16" t="s">
        <v>38</v>
      </c>
      <c r="R5" s="16" t="s">
        <v>39</v>
      </c>
      <c r="S5" s="16" t="s">
        <v>39</v>
      </c>
      <c r="T5" s="16" t="s">
        <v>40</v>
      </c>
      <c r="U5" s="17" t="s">
        <v>41</v>
      </c>
      <c r="V5" s="17" t="s">
        <v>42</v>
      </c>
      <c r="W5" s="47"/>
      <c r="X5" s="47"/>
      <c r="Y5" s="47"/>
      <c r="Z5" s="47"/>
      <c r="AA5" s="47"/>
      <c r="AB5" s="47"/>
    </row>
    <row r="6" spans="1:28" ht="57.6">
      <c r="A6" s="43"/>
      <c r="B6" s="43"/>
      <c r="C6" s="13" t="s">
        <v>43</v>
      </c>
      <c r="D6" s="46"/>
      <c r="E6" s="14" t="s">
        <v>24</v>
      </c>
      <c r="F6" s="14">
        <f t="shared" si="3"/>
        <v>3</v>
      </c>
      <c r="G6" s="14" t="s">
        <v>24</v>
      </c>
      <c r="H6" s="14">
        <f t="shared" si="4"/>
        <v>3</v>
      </c>
      <c r="I6" s="14" t="s">
        <v>31</v>
      </c>
      <c r="J6" s="14">
        <f t="shared" si="5"/>
        <v>1</v>
      </c>
      <c r="K6" s="14" t="s">
        <v>31</v>
      </c>
      <c r="L6" s="14">
        <f t="shared" si="0"/>
        <v>1</v>
      </c>
      <c r="M6" s="15" t="s">
        <v>24</v>
      </c>
      <c r="N6" s="14">
        <f t="shared" si="1"/>
        <v>3</v>
      </c>
      <c r="O6" s="15" t="s">
        <v>24</v>
      </c>
      <c r="P6" s="14">
        <f t="shared" si="2"/>
        <v>3</v>
      </c>
      <c r="Q6" s="16" t="s">
        <v>44</v>
      </c>
      <c r="R6" s="16" t="s">
        <v>45</v>
      </c>
      <c r="S6" s="16" t="s">
        <v>45</v>
      </c>
      <c r="T6" s="16" t="s">
        <v>46</v>
      </c>
      <c r="U6" s="17" t="s">
        <v>47</v>
      </c>
      <c r="V6" s="17" t="s">
        <v>48</v>
      </c>
      <c r="W6" s="47"/>
      <c r="X6" s="47"/>
      <c r="Y6" s="47"/>
      <c r="Z6" s="47"/>
      <c r="AA6" s="47"/>
      <c r="AB6" s="47"/>
    </row>
    <row r="7" spans="1:28" ht="64.05" customHeight="1">
      <c r="A7" s="43"/>
      <c r="B7" s="43"/>
      <c r="C7" s="13" t="s">
        <v>49</v>
      </c>
      <c r="D7" s="46"/>
      <c r="E7" s="14" t="s">
        <v>24</v>
      </c>
      <c r="F7" s="14">
        <f t="shared" si="3"/>
        <v>3</v>
      </c>
      <c r="G7" s="14" t="s">
        <v>24</v>
      </c>
      <c r="H7" s="14">
        <f t="shared" si="4"/>
        <v>3</v>
      </c>
      <c r="I7" s="14" t="s">
        <v>24</v>
      </c>
      <c r="J7" s="14">
        <f t="shared" si="5"/>
        <v>3</v>
      </c>
      <c r="K7" s="14" t="s">
        <v>31</v>
      </c>
      <c r="L7" s="14">
        <f t="shared" si="0"/>
        <v>1</v>
      </c>
      <c r="M7" s="15" t="s">
        <v>24</v>
      </c>
      <c r="N7" s="14">
        <f t="shared" si="1"/>
        <v>3</v>
      </c>
      <c r="O7" s="15" t="s">
        <v>24</v>
      </c>
      <c r="P7" s="14">
        <f t="shared" si="2"/>
        <v>3</v>
      </c>
      <c r="Q7" s="16" t="s">
        <v>50</v>
      </c>
      <c r="R7" s="16" t="s">
        <v>51</v>
      </c>
      <c r="S7" s="16" t="s">
        <v>51</v>
      </c>
      <c r="T7" s="16" t="s">
        <v>52</v>
      </c>
      <c r="U7" s="17" t="s">
        <v>53</v>
      </c>
      <c r="V7" s="17" t="s">
        <v>54</v>
      </c>
      <c r="W7" s="47"/>
      <c r="X7" s="47"/>
      <c r="Y7" s="47"/>
      <c r="Z7" s="47"/>
      <c r="AA7" s="47"/>
      <c r="AB7" s="47"/>
    </row>
    <row r="8" spans="1:28" ht="64.05" customHeight="1">
      <c r="A8" s="43"/>
      <c r="B8" s="43"/>
      <c r="C8" s="13" t="s">
        <v>55</v>
      </c>
      <c r="D8" s="46"/>
      <c r="E8" s="14" t="s">
        <v>24</v>
      </c>
      <c r="F8" s="14">
        <f t="shared" si="3"/>
        <v>3</v>
      </c>
      <c r="G8" s="14" t="s">
        <v>31</v>
      </c>
      <c r="H8" s="14">
        <f t="shared" si="4"/>
        <v>1</v>
      </c>
      <c r="I8" s="14" t="s">
        <v>24</v>
      </c>
      <c r="J8" s="14">
        <f t="shared" si="5"/>
        <v>3</v>
      </c>
      <c r="K8" s="14" t="s">
        <v>24</v>
      </c>
      <c r="L8" s="14">
        <f t="shared" si="0"/>
        <v>3</v>
      </c>
      <c r="M8" s="15" t="s">
        <v>24</v>
      </c>
      <c r="N8" s="14">
        <f t="shared" si="1"/>
        <v>3</v>
      </c>
      <c r="O8" s="15" t="s">
        <v>24</v>
      </c>
      <c r="P8" s="14">
        <f t="shared" si="2"/>
        <v>3</v>
      </c>
      <c r="Q8" s="16" t="s">
        <v>56</v>
      </c>
      <c r="R8" s="16" t="s">
        <v>57</v>
      </c>
      <c r="S8" s="16" t="s">
        <v>57</v>
      </c>
      <c r="T8" s="16" t="s">
        <v>58</v>
      </c>
      <c r="U8" s="17" t="s">
        <v>59</v>
      </c>
      <c r="V8" s="17" t="s">
        <v>60</v>
      </c>
      <c r="W8" s="47"/>
      <c r="X8" s="47"/>
      <c r="Y8" s="47"/>
      <c r="Z8" s="47"/>
      <c r="AA8" s="47"/>
      <c r="AB8" s="47"/>
    </row>
    <row r="9" spans="1:28" ht="45">
      <c r="A9" s="43"/>
      <c r="B9" s="43"/>
      <c r="C9" s="13" t="s">
        <v>61</v>
      </c>
      <c r="D9" s="46"/>
      <c r="E9" s="14" t="s">
        <v>24</v>
      </c>
      <c r="F9" s="14">
        <f t="shared" si="3"/>
        <v>3</v>
      </c>
      <c r="G9" s="14" t="s">
        <v>24</v>
      </c>
      <c r="H9" s="14">
        <f t="shared" si="4"/>
        <v>3</v>
      </c>
      <c r="I9" s="14" t="s">
        <v>24</v>
      </c>
      <c r="J9" s="14">
        <f t="shared" si="5"/>
        <v>3</v>
      </c>
      <c r="K9" s="14" t="s">
        <v>24</v>
      </c>
      <c r="L9" s="14">
        <f t="shared" si="0"/>
        <v>3</v>
      </c>
      <c r="M9" s="15" t="s">
        <v>24</v>
      </c>
      <c r="N9" s="14">
        <f t="shared" si="1"/>
        <v>3</v>
      </c>
      <c r="O9" s="15" t="s">
        <v>24</v>
      </c>
      <c r="P9" s="14">
        <f t="shared" si="2"/>
        <v>3</v>
      </c>
      <c r="Q9" s="16" t="s">
        <v>62</v>
      </c>
      <c r="R9" s="16" t="s">
        <v>63</v>
      </c>
      <c r="S9" s="16" t="s">
        <v>63</v>
      </c>
      <c r="T9" s="16" t="s">
        <v>64</v>
      </c>
      <c r="U9" s="17" t="s">
        <v>65</v>
      </c>
      <c r="V9" s="17" t="s">
        <v>66</v>
      </c>
      <c r="W9" s="47"/>
      <c r="X9" s="47"/>
      <c r="Y9" s="47"/>
      <c r="Z9" s="47"/>
      <c r="AA9" s="47"/>
      <c r="AB9" s="47"/>
    </row>
    <row r="10" spans="1:28" ht="49.05" customHeight="1">
      <c r="A10" s="43"/>
      <c r="B10" s="43"/>
      <c r="C10" s="13" t="s">
        <v>67</v>
      </c>
      <c r="D10" s="46"/>
      <c r="E10" s="14" t="s">
        <v>31</v>
      </c>
      <c r="F10" s="14">
        <f t="shared" si="3"/>
        <v>1</v>
      </c>
      <c r="G10" s="14" t="s">
        <v>31</v>
      </c>
      <c r="H10" s="14">
        <f t="shared" si="4"/>
        <v>1</v>
      </c>
      <c r="I10" s="14" t="s">
        <v>31</v>
      </c>
      <c r="J10" s="14">
        <f t="shared" si="5"/>
        <v>1</v>
      </c>
      <c r="K10" s="14" t="s">
        <v>31</v>
      </c>
      <c r="L10" s="14">
        <f t="shared" si="0"/>
        <v>1</v>
      </c>
      <c r="M10" s="15" t="s">
        <v>24</v>
      </c>
      <c r="N10" s="14">
        <f t="shared" si="1"/>
        <v>3</v>
      </c>
      <c r="O10" s="15" t="s">
        <v>24</v>
      </c>
      <c r="P10" s="14">
        <f t="shared" si="2"/>
        <v>3</v>
      </c>
      <c r="Q10" s="16" t="s">
        <v>68</v>
      </c>
      <c r="R10" s="16" t="s">
        <v>69</v>
      </c>
      <c r="S10" s="16" t="s">
        <v>69</v>
      </c>
      <c r="T10" s="16" t="s">
        <v>70</v>
      </c>
      <c r="U10" s="17" t="s">
        <v>71</v>
      </c>
      <c r="V10" s="17" t="s">
        <v>72</v>
      </c>
      <c r="W10" s="47"/>
      <c r="X10" s="47"/>
      <c r="Y10" s="47"/>
      <c r="Z10" s="47"/>
      <c r="AA10" s="47"/>
      <c r="AB10" s="47"/>
    </row>
    <row r="11" spans="1:28" ht="49.05" customHeight="1">
      <c r="A11" s="44"/>
      <c r="B11" s="44"/>
      <c r="C11" s="13" t="s">
        <v>73</v>
      </c>
      <c r="D11" s="46"/>
      <c r="E11" s="14" t="s">
        <v>24</v>
      </c>
      <c r="F11" s="14">
        <f t="shared" si="3"/>
        <v>3</v>
      </c>
      <c r="G11" s="14" t="s">
        <v>24</v>
      </c>
      <c r="H11" s="14">
        <f t="shared" si="4"/>
        <v>3</v>
      </c>
      <c r="I11" s="14" t="s">
        <v>24</v>
      </c>
      <c r="J11" s="14">
        <f t="shared" si="5"/>
        <v>3</v>
      </c>
      <c r="K11" s="14" t="s">
        <v>24</v>
      </c>
      <c r="L11" s="14">
        <f t="shared" si="0"/>
        <v>3</v>
      </c>
      <c r="M11" s="15" t="s">
        <v>24</v>
      </c>
      <c r="N11" s="14">
        <f t="shared" si="1"/>
        <v>3</v>
      </c>
      <c r="O11" s="15" t="s">
        <v>24</v>
      </c>
      <c r="P11" s="14">
        <f t="shared" si="2"/>
        <v>3</v>
      </c>
      <c r="Q11" s="16" t="s">
        <v>74</v>
      </c>
      <c r="R11" s="16" t="s">
        <v>75</v>
      </c>
      <c r="S11" s="16" t="s">
        <v>75</v>
      </c>
      <c r="T11" s="16" t="s">
        <v>76</v>
      </c>
      <c r="U11" s="17" t="s">
        <v>77</v>
      </c>
      <c r="V11" s="17" t="s">
        <v>78</v>
      </c>
      <c r="W11" s="48"/>
      <c r="X11" s="48"/>
      <c r="Y11" s="48"/>
      <c r="Z11" s="48"/>
      <c r="AA11" s="48"/>
      <c r="AB11" s="48"/>
    </row>
    <row r="12" spans="1:28" ht="45">
      <c r="A12" s="42">
        <v>2</v>
      </c>
      <c r="B12" s="45" t="s">
        <v>79</v>
      </c>
      <c r="C12" s="19" t="s">
        <v>80</v>
      </c>
      <c r="D12" s="46">
        <v>0.05</v>
      </c>
      <c r="E12" s="14" t="s">
        <v>24</v>
      </c>
      <c r="F12" s="14">
        <f t="shared" si="3"/>
        <v>3</v>
      </c>
      <c r="G12" s="14" t="s">
        <v>31</v>
      </c>
      <c r="H12" s="14">
        <f t="shared" si="4"/>
        <v>1</v>
      </c>
      <c r="I12" s="14" t="s">
        <v>31</v>
      </c>
      <c r="J12" s="14">
        <f t="shared" si="5"/>
        <v>1</v>
      </c>
      <c r="K12" s="14" t="s">
        <v>31</v>
      </c>
      <c r="L12" s="14">
        <f t="shared" si="0"/>
        <v>1</v>
      </c>
      <c r="M12" s="15" t="s">
        <v>24</v>
      </c>
      <c r="N12" s="14">
        <f t="shared" si="1"/>
        <v>3</v>
      </c>
      <c r="O12" s="15" t="s">
        <v>24</v>
      </c>
      <c r="P12" s="14">
        <f t="shared" si="2"/>
        <v>3</v>
      </c>
      <c r="Q12" s="16" t="s">
        <v>81</v>
      </c>
      <c r="R12" s="16" t="s">
        <v>82</v>
      </c>
      <c r="S12" s="16" t="s">
        <v>83</v>
      </c>
      <c r="T12" s="16" t="s">
        <v>84</v>
      </c>
      <c r="U12" s="17" t="s">
        <v>85</v>
      </c>
      <c r="V12" s="17" t="s">
        <v>86</v>
      </c>
      <c r="W12" s="46">
        <f>AVERAGE(F12:F17)*$D12/3</f>
        <v>5.000000000000001E-2</v>
      </c>
      <c r="X12" s="46">
        <f>AVERAGE(H12:H17)*$D12/3</f>
        <v>3.3333333333333333E-2</v>
      </c>
      <c r="Y12" s="46">
        <f>AVERAGE(J12:J17)*$D12/3</f>
        <v>2.777777777777778E-2</v>
      </c>
      <c r="Z12" s="46">
        <f>AVERAGE(L12:L17)*$D12/3</f>
        <v>1.6666666666666666E-2</v>
      </c>
      <c r="AA12" s="46">
        <f>AVERAGE(N12:N17)*$D12/3</f>
        <v>5.000000000000001E-2</v>
      </c>
      <c r="AB12" s="46">
        <f>AVERAGE(P12:P17)*$D12/3</f>
        <v>5.000000000000001E-2</v>
      </c>
    </row>
    <row r="13" spans="1:28" ht="45">
      <c r="A13" s="43"/>
      <c r="B13" s="43"/>
      <c r="C13" s="19" t="s">
        <v>87</v>
      </c>
      <c r="D13" s="46"/>
      <c r="E13" s="14" t="s">
        <v>24</v>
      </c>
      <c r="F13" s="14">
        <f t="shared" si="3"/>
        <v>3</v>
      </c>
      <c r="G13" s="14" t="s">
        <v>24</v>
      </c>
      <c r="H13" s="14">
        <f t="shared" si="4"/>
        <v>3</v>
      </c>
      <c r="I13" s="14" t="s">
        <v>24</v>
      </c>
      <c r="J13" s="14">
        <f t="shared" si="5"/>
        <v>3</v>
      </c>
      <c r="K13" s="14" t="s">
        <v>31</v>
      </c>
      <c r="L13" s="14">
        <f t="shared" si="0"/>
        <v>1</v>
      </c>
      <c r="M13" s="15" t="s">
        <v>24</v>
      </c>
      <c r="N13" s="14">
        <f t="shared" si="1"/>
        <v>3</v>
      </c>
      <c r="O13" s="15" t="s">
        <v>24</v>
      </c>
      <c r="P13" s="14">
        <f t="shared" si="2"/>
        <v>3</v>
      </c>
      <c r="Q13" s="16" t="s">
        <v>88</v>
      </c>
      <c r="R13" s="16" t="s">
        <v>89</v>
      </c>
      <c r="S13" s="16" t="s">
        <v>83</v>
      </c>
      <c r="T13" s="16" t="s">
        <v>90</v>
      </c>
      <c r="U13" s="17" t="s">
        <v>91</v>
      </c>
      <c r="V13" s="17" t="s">
        <v>92</v>
      </c>
      <c r="W13" s="47"/>
      <c r="X13" s="47"/>
      <c r="Y13" s="47"/>
      <c r="Z13" s="47"/>
      <c r="AA13" s="47"/>
      <c r="AB13" s="47"/>
    </row>
    <row r="14" spans="1:28" ht="32.25" customHeight="1">
      <c r="A14" s="43"/>
      <c r="B14" s="43"/>
      <c r="C14" s="19" t="s">
        <v>93</v>
      </c>
      <c r="D14" s="46"/>
      <c r="E14" s="14" t="s">
        <v>24</v>
      </c>
      <c r="F14" s="14">
        <f t="shared" si="3"/>
        <v>3</v>
      </c>
      <c r="G14" s="14" t="s">
        <v>31</v>
      </c>
      <c r="H14" s="14">
        <f t="shared" si="4"/>
        <v>1</v>
      </c>
      <c r="I14" s="14" t="s">
        <v>31</v>
      </c>
      <c r="J14" s="14">
        <f t="shared" si="5"/>
        <v>1</v>
      </c>
      <c r="K14" s="14" t="s">
        <v>31</v>
      </c>
      <c r="L14" s="14">
        <f t="shared" si="0"/>
        <v>1</v>
      </c>
      <c r="M14" s="15" t="s">
        <v>24</v>
      </c>
      <c r="N14" s="14">
        <f t="shared" si="1"/>
        <v>3</v>
      </c>
      <c r="O14" s="15" t="s">
        <v>24</v>
      </c>
      <c r="P14" s="14">
        <f t="shared" si="2"/>
        <v>3</v>
      </c>
      <c r="Q14" s="16" t="s">
        <v>94</v>
      </c>
      <c r="R14" s="16" t="s">
        <v>95</v>
      </c>
      <c r="S14" s="16" t="s">
        <v>83</v>
      </c>
      <c r="T14" s="16" t="s">
        <v>96</v>
      </c>
      <c r="U14" s="17" t="s">
        <v>97</v>
      </c>
      <c r="V14" s="17" t="s">
        <v>98</v>
      </c>
      <c r="W14" s="47"/>
      <c r="X14" s="47"/>
      <c r="Y14" s="47"/>
      <c r="Z14" s="47"/>
      <c r="AA14" s="47"/>
      <c r="AB14" s="47"/>
    </row>
    <row r="15" spans="1:28" ht="45">
      <c r="A15" s="43"/>
      <c r="B15" s="43"/>
      <c r="C15" s="19" t="s">
        <v>99</v>
      </c>
      <c r="D15" s="46"/>
      <c r="E15" s="14" t="s">
        <v>24</v>
      </c>
      <c r="F15" s="14">
        <f t="shared" si="3"/>
        <v>3</v>
      </c>
      <c r="G15" s="14" t="s">
        <v>24</v>
      </c>
      <c r="H15" s="14">
        <f t="shared" si="4"/>
        <v>3</v>
      </c>
      <c r="I15" s="14" t="s">
        <v>24</v>
      </c>
      <c r="J15" s="14">
        <f t="shared" si="5"/>
        <v>3</v>
      </c>
      <c r="K15" s="14" t="s">
        <v>31</v>
      </c>
      <c r="L15" s="14">
        <f t="shared" si="0"/>
        <v>1</v>
      </c>
      <c r="M15" s="15" t="s">
        <v>24</v>
      </c>
      <c r="N15" s="14">
        <f t="shared" si="1"/>
        <v>3</v>
      </c>
      <c r="O15" s="15" t="s">
        <v>24</v>
      </c>
      <c r="P15" s="14">
        <f t="shared" si="2"/>
        <v>3</v>
      </c>
      <c r="Q15" s="16" t="s">
        <v>100</v>
      </c>
      <c r="R15" s="16" t="s">
        <v>101</v>
      </c>
      <c r="S15" s="16" t="s">
        <v>83</v>
      </c>
      <c r="T15" s="16" t="s">
        <v>102</v>
      </c>
      <c r="U15" s="17" t="s">
        <v>103</v>
      </c>
      <c r="V15" s="17" t="s">
        <v>104</v>
      </c>
      <c r="W15" s="47"/>
      <c r="X15" s="47"/>
      <c r="Y15" s="47"/>
      <c r="Z15" s="47"/>
      <c r="AA15" s="47"/>
      <c r="AB15" s="47"/>
    </row>
    <row r="16" spans="1:28" ht="49.05" customHeight="1">
      <c r="A16" s="43"/>
      <c r="B16" s="43"/>
      <c r="C16" s="19" t="s">
        <v>105</v>
      </c>
      <c r="D16" s="46"/>
      <c r="E16" s="14" t="s">
        <v>24</v>
      </c>
      <c r="F16" s="14">
        <f t="shared" si="3"/>
        <v>3</v>
      </c>
      <c r="G16" s="14" t="s">
        <v>24</v>
      </c>
      <c r="H16" s="14">
        <f t="shared" si="4"/>
        <v>3</v>
      </c>
      <c r="I16" s="14" t="s">
        <v>31</v>
      </c>
      <c r="J16" s="14">
        <f t="shared" si="5"/>
        <v>1</v>
      </c>
      <c r="K16" s="14" t="s">
        <v>31</v>
      </c>
      <c r="L16" s="14">
        <f t="shared" si="0"/>
        <v>1</v>
      </c>
      <c r="M16" s="15" t="s">
        <v>24</v>
      </c>
      <c r="N16" s="14">
        <f t="shared" si="1"/>
        <v>3</v>
      </c>
      <c r="O16" s="15" t="s">
        <v>24</v>
      </c>
      <c r="P16" s="14">
        <f t="shared" si="2"/>
        <v>3</v>
      </c>
      <c r="Q16" s="16" t="s">
        <v>106</v>
      </c>
      <c r="R16" s="16" t="s">
        <v>107</v>
      </c>
      <c r="S16" s="16" t="s">
        <v>83</v>
      </c>
      <c r="T16" s="16" t="s">
        <v>108</v>
      </c>
      <c r="U16" s="17" t="s">
        <v>109</v>
      </c>
      <c r="V16" s="17" t="s">
        <v>110</v>
      </c>
      <c r="W16" s="47"/>
      <c r="X16" s="47"/>
      <c r="Y16" s="47"/>
      <c r="Z16" s="47"/>
      <c r="AA16" s="47"/>
      <c r="AB16" s="47"/>
    </row>
    <row r="17" spans="1:28" ht="49.05" customHeight="1">
      <c r="A17" s="44"/>
      <c r="B17" s="44"/>
      <c r="C17" s="19" t="s">
        <v>111</v>
      </c>
      <c r="D17" s="46"/>
      <c r="E17" s="14" t="s">
        <v>24</v>
      </c>
      <c r="F17" s="14">
        <f t="shared" si="3"/>
        <v>3</v>
      </c>
      <c r="G17" s="14" t="s">
        <v>31</v>
      </c>
      <c r="H17" s="14">
        <f t="shared" si="4"/>
        <v>1</v>
      </c>
      <c r="I17" s="14" t="s">
        <v>31</v>
      </c>
      <c r="J17" s="14">
        <f t="shared" si="5"/>
        <v>1</v>
      </c>
      <c r="K17" s="14" t="s">
        <v>31</v>
      </c>
      <c r="L17" s="14">
        <f t="shared" si="0"/>
        <v>1</v>
      </c>
      <c r="M17" s="15" t="s">
        <v>24</v>
      </c>
      <c r="N17" s="14">
        <f t="shared" si="1"/>
        <v>3</v>
      </c>
      <c r="O17" s="15" t="s">
        <v>24</v>
      </c>
      <c r="P17" s="14">
        <f t="shared" si="2"/>
        <v>3</v>
      </c>
      <c r="Q17" s="16" t="s">
        <v>112</v>
      </c>
      <c r="R17" s="16" t="s">
        <v>113</v>
      </c>
      <c r="S17" s="16"/>
      <c r="T17" s="16" t="s">
        <v>114</v>
      </c>
      <c r="U17" s="17" t="s">
        <v>115</v>
      </c>
      <c r="V17" s="17" t="s">
        <v>116</v>
      </c>
      <c r="W17" s="48"/>
      <c r="X17" s="48"/>
      <c r="Y17" s="48"/>
      <c r="Z17" s="48"/>
      <c r="AA17" s="48"/>
      <c r="AB17" s="48"/>
    </row>
    <row r="18" spans="1:28" ht="43.2">
      <c r="A18" s="42">
        <v>3</v>
      </c>
      <c r="B18" s="45" t="s">
        <v>117</v>
      </c>
      <c r="C18" s="13" t="s">
        <v>118</v>
      </c>
      <c r="D18" s="46">
        <v>0.1</v>
      </c>
      <c r="E18" s="14" t="s">
        <v>24</v>
      </c>
      <c r="F18" s="14">
        <f t="shared" si="3"/>
        <v>3</v>
      </c>
      <c r="G18" s="14" t="s">
        <v>24</v>
      </c>
      <c r="H18" s="14">
        <f t="shared" si="4"/>
        <v>3</v>
      </c>
      <c r="I18" s="14" t="s">
        <v>24</v>
      </c>
      <c r="J18" s="14">
        <f t="shared" si="5"/>
        <v>3</v>
      </c>
      <c r="K18" s="14" t="s">
        <v>24</v>
      </c>
      <c r="L18" s="14">
        <f t="shared" si="0"/>
        <v>3</v>
      </c>
      <c r="M18" s="15" t="s">
        <v>24</v>
      </c>
      <c r="N18" s="14">
        <f t="shared" si="1"/>
        <v>3</v>
      </c>
      <c r="O18" s="15" t="s">
        <v>24</v>
      </c>
      <c r="P18" s="14">
        <f t="shared" si="2"/>
        <v>3</v>
      </c>
      <c r="Q18" s="16" t="s">
        <v>119</v>
      </c>
      <c r="R18" s="16" t="s">
        <v>120</v>
      </c>
      <c r="S18" s="16" t="s">
        <v>83</v>
      </c>
      <c r="T18" s="16" t="s">
        <v>83</v>
      </c>
      <c r="U18" s="17" t="s">
        <v>121</v>
      </c>
      <c r="V18" s="17" t="s">
        <v>122</v>
      </c>
      <c r="W18" s="46">
        <f>AVERAGE(F18:F28)*$D18/3</f>
        <v>7.575757575757576E-2</v>
      </c>
      <c r="X18" s="46">
        <f>AVERAGE(H18:H28)*$D18/3</f>
        <v>4.8484848484848492E-2</v>
      </c>
      <c r="Y18" s="46">
        <f>AVERAGE(J18:J28)*$D18/3</f>
        <v>7.575757575757576E-2</v>
      </c>
      <c r="Z18" s="46">
        <f>AVERAGE(L18:L28)*$D18/3</f>
        <v>6.6666666666666666E-2</v>
      </c>
      <c r="AA18" s="46">
        <f>AVERAGE(N18:N28)*$D18/3</f>
        <v>8.1818181818181832E-2</v>
      </c>
      <c r="AB18" s="46">
        <f>AVERAGE(P18:P28)*$D18/3</f>
        <v>0.10000000000000002</v>
      </c>
    </row>
    <row r="19" spans="1:28" ht="60">
      <c r="A19" s="43"/>
      <c r="B19" s="43"/>
      <c r="C19" s="13" t="s">
        <v>123</v>
      </c>
      <c r="D19" s="46"/>
      <c r="E19" s="14" t="s">
        <v>24</v>
      </c>
      <c r="F19" s="14">
        <f t="shared" si="3"/>
        <v>3</v>
      </c>
      <c r="G19" s="14" t="s">
        <v>24</v>
      </c>
      <c r="H19" s="14">
        <f t="shared" si="4"/>
        <v>3</v>
      </c>
      <c r="I19" s="14" t="s">
        <v>24</v>
      </c>
      <c r="J19" s="14">
        <f t="shared" si="5"/>
        <v>3</v>
      </c>
      <c r="K19" s="14" t="s">
        <v>24</v>
      </c>
      <c r="L19" s="14">
        <f t="shared" si="0"/>
        <v>3</v>
      </c>
      <c r="M19" s="15" t="s">
        <v>31</v>
      </c>
      <c r="N19" s="14">
        <f t="shared" si="1"/>
        <v>1</v>
      </c>
      <c r="O19" s="15" t="s">
        <v>24</v>
      </c>
      <c r="P19" s="14">
        <f t="shared" si="2"/>
        <v>3</v>
      </c>
      <c r="Q19" s="16" t="s">
        <v>124</v>
      </c>
      <c r="R19" s="16" t="s">
        <v>125</v>
      </c>
      <c r="S19" s="16" t="s">
        <v>83</v>
      </c>
      <c r="T19" s="16" t="s">
        <v>126</v>
      </c>
      <c r="U19" s="17" t="s">
        <v>127</v>
      </c>
      <c r="V19" s="17" t="s">
        <v>128</v>
      </c>
      <c r="W19" s="47"/>
      <c r="X19" s="47"/>
      <c r="Y19" s="47"/>
      <c r="Z19" s="47"/>
      <c r="AA19" s="47"/>
      <c r="AB19" s="47"/>
    </row>
    <row r="20" spans="1:28" ht="34.049999999999997" customHeight="1">
      <c r="A20" s="43"/>
      <c r="B20" s="43"/>
      <c r="C20" s="13" t="s">
        <v>129</v>
      </c>
      <c r="D20" s="46"/>
      <c r="E20" s="14" t="s">
        <v>24</v>
      </c>
      <c r="F20" s="14">
        <f t="shared" si="3"/>
        <v>3</v>
      </c>
      <c r="G20" s="14" t="s">
        <v>31</v>
      </c>
      <c r="H20" s="14">
        <f t="shared" si="4"/>
        <v>1</v>
      </c>
      <c r="I20" s="14" t="s">
        <v>24</v>
      </c>
      <c r="J20" s="14">
        <f t="shared" si="5"/>
        <v>3</v>
      </c>
      <c r="K20" s="14" t="s">
        <v>31</v>
      </c>
      <c r="L20" s="14">
        <f t="shared" si="0"/>
        <v>1</v>
      </c>
      <c r="M20" s="15" t="s">
        <v>31</v>
      </c>
      <c r="N20" s="14">
        <f t="shared" si="1"/>
        <v>1</v>
      </c>
      <c r="O20" s="15" t="s">
        <v>24</v>
      </c>
      <c r="P20" s="14">
        <f t="shared" si="2"/>
        <v>3</v>
      </c>
      <c r="Q20" s="16" t="s">
        <v>130</v>
      </c>
      <c r="R20" s="16" t="s">
        <v>131</v>
      </c>
      <c r="S20" s="16" t="s">
        <v>83</v>
      </c>
      <c r="T20" s="16" t="s">
        <v>132</v>
      </c>
      <c r="U20" s="17" t="s">
        <v>133</v>
      </c>
      <c r="V20" s="17" t="s">
        <v>134</v>
      </c>
      <c r="W20" s="47"/>
      <c r="X20" s="47"/>
      <c r="Y20" s="47"/>
      <c r="Z20" s="47"/>
      <c r="AA20" s="47"/>
      <c r="AB20" s="47"/>
    </row>
    <row r="21" spans="1:28" ht="49.05" customHeight="1">
      <c r="A21" s="43"/>
      <c r="B21" s="43"/>
      <c r="C21" s="13" t="s">
        <v>135</v>
      </c>
      <c r="D21" s="46"/>
      <c r="E21" s="14" t="s">
        <v>31</v>
      </c>
      <c r="F21" s="14">
        <f t="shared" si="3"/>
        <v>1</v>
      </c>
      <c r="G21" s="14" t="s">
        <v>31</v>
      </c>
      <c r="H21" s="14">
        <f t="shared" si="4"/>
        <v>1</v>
      </c>
      <c r="I21" s="14" t="s">
        <v>31</v>
      </c>
      <c r="J21" s="14">
        <f t="shared" si="5"/>
        <v>1</v>
      </c>
      <c r="K21" s="14" t="s">
        <v>31</v>
      </c>
      <c r="L21" s="14">
        <f t="shared" si="0"/>
        <v>1</v>
      </c>
      <c r="M21" s="15" t="s">
        <v>31</v>
      </c>
      <c r="N21" s="14">
        <f t="shared" si="1"/>
        <v>1</v>
      </c>
      <c r="O21" s="15" t="s">
        <v>24</v>
      </c>
      <c r="P21" s="14">
        <f t="shared" si="2"/>
        <v>3</v>
      </c>
      <c r="Q21" s="16" t="s">
        <v>136</v>
      </c>
      <c r="R21" s="16" t="s">
        <v>137</v>
      </c>
      <c r="S21" s="16"/>
      <c r="T21" s="16" t="s">
        <v>138</v>
      </c>
      <c r="U21" s="17" t="s">
        <v>139</v>
      </c>
      <c r="V21" s="17" t="s">
        <v>140</v>
      </c>
      <c r="W21" s="47"/>
      <c r="X21" s="47"/>
      <c r="Y21" s="47"/>
      <c r="Z21" s="47"/>
      <c r="AA21" s="47"/>
      <c r="AB21" s="47"/>
    </row>
    <row r="22" spans="1:28" ht="34.049999999999997" customHeight="1">
      <c r="A22" s="43"/>
      <c r="B22" s="43"/>
      <c r="C22" s="13" t="s">
        <v>141</v>
      </c>
      <c r="D22" s="46"/>
      <c r="E22" s="14" t="s">
        <v>24</v>
      </c>
      <c r="F22" s="14">
        <f t="shared" si="3"/>
        <v>3</v>
      </c>
      <c r="G22" s="14" t="s">
        <v>31</v>
      </c>
      <c r="H22" s="14">
        <f t="shared" si="4"/>
        <v>1</v>
      </c>
      <c r="I22" s="14" t="s">
        <v>24</v>
      </c>
      <c r="J22" s="14">
        <f t="shared" si="5"/>
        <v>3</v>
      </c>
      <c r="K22" s="14" t="s">
        <v>24</v>
      </c>
      <c r="L22" s="14">
        <f t="shared" si="0"/>
        <v>3</v>
      </c>
      <c r="M22" s="15" t="s">
        <v>24</v>
      </c>
      <c r="N22" s="14">
        <f t="shared" si="1"/>
        <v>3</v>
      </c>
      <c r="O22" s="15" t="s">
        <v>24</v>
      </c>
      <c r="P22" s="14">
        <f t="shared" si="2"/>
        <v>3</v>
      </c>
      <c r="Q22" s="16" t="s">
        <v>142</v>
      </c>
      <c r="R22" s="16" t="s">
        <v>143</v>
      </c>
      <c r="S22" s="16" t="s">
        <v>83</v>
      </c>
      <c r="T22" s="16" t="s">
        <v>144</v>
      </c>
      <c r="U22" s="17" t="s">
        <v>145</v>
      </c>
      <c r="V22" s="17" t="s">
        <v>146</v>
      </c>
      <c r="W22" s="47"/>
      <c r="X22" s="47"/>
      <c r="Y22" s="47"/>
      <c r="Z22" s="47"/>
      <c r="AA22" s="47"/>
      <c r="AB22" s="47"/>
    </row>
    <row r="23" spans="1:28" ht="64.05" customHeight="1">
      <c r="A23" s="43"/>
      <c r="B23" s="43"/>
      <c r="C23" s="13" t="s">
        <v>147</v>
      </c>
      <c r="D23" s="46"/>
      <c r="E23" s="20" t="s">
        <v>31</v>
      </c>
      <c r="F23" s="14">
        <f t="shared" si="3"/>
        <v>1</v>
      </c>
      <c r="G23" s="14" t="s">
        <v>31</v>
      </c>
      <c r="H23" s="14">
        <f t="shared" si="4"/>
        <v>1</v>
      </c>
      <c r="I23" s="14" t="s">
        <v>31</v>
      </c>
      <c r="J23" s="14">
        <f t="shared" si="5"/>
        <v>1</v>
      </c>
      <c r="K23" s="14" t="s">
        <v>148</v>
      </c>
      <c r="L23" s="14">
        <f t="shared" si="0"/>
        <v>0</v>
      </c>
      <c r="M23" s="15" t="s">
        <v>24</v>
      </c>
      <c r="N23" s="14">
        <f t="shared" si="1"/>
        <v>3</v>
      </c>
      <c r="O23" s="15" t="s">
        <v>24</v>
      </c>
      <c r="P23" s="14">
        <f t="shared" si="2"/>
        <v>3</v>
      </c>
      <c r="Q23" s="16" t="s">
        <v>149</v>
      </c>
      <c r="R23" s="16" t="s">
        <v>150</v>
      </c>
      <c r="S23" s="16"/>
      <c r="T23" s="16" t="s">
        <v>151</v>
      </c>
      <c r="U23" s="17" t="s">
        <v>152</v>
      </c>
      <c r="V23" s="17" t="s">
        <v>153</v>
      </c>
      <c r="W23" s="47"/>
      <c r="X23" s="47"/>
      <c r="Y23" s="47"/>
      <c r="Z23" s="47"/>
      <c r="AA23" s="47"/>
      <c r="AB23" s="47"/>
    </row>
    <row r="24" spans="1:28" ht="45">
      <c r="A24" s="43"/>
      <c r="B24" s="43"/>
      <c r="C24" s="13" t="s">
        <v>154</v>
      </c>
      <c r="D24" s="46"/>
      <c r="E24" s="14" t="s">
        <v>24</v>
      </c>
      <c r="F24" s="14">
        <f t="shared" si="3"/>
        <v>3</v>
      </c>
      <c r="G24" s="14" t="s">
        <v>31</v>
      </c>
      <c r="H24" s="14">
        <f t="shared" si="4"/>
        <v>1</v>
      </c>
      <c r="I24" s="14" t="s">
        <v>24</v>
      </c>
      <c r="J24" s="14">
        <f t="shared" si="5"/>
        <v>3</v>
      </c>
      <c r="K24" s="14" t="s">
        <v>24</v>
      </c>
      <c r="L24" s="14">
        <f t="shared" si="0"/>
        <v>3</v>
      </c>
      <c r="M24" s="15" t="s">
        <v>24</v>
      </c>
      <c r="N24" s="14">
        <f t="shared" si="1"/>
        <v>3</v>
      </c>
      <c r="O24" s="15" t="s">
        <v>24</v>
      </c>
      <c r="P24" s="14">
        <f t="shared" si="2"/>
        <v>3</v>
      </c>
      <c r="Q24" s="16" t="s">
        <v>155</v>
      </c>
      <c r="R24" s="16" t="s">
        <v>156</v>
      </c>
      <c r="S24" s="16" t="s">
        <v>83</v>
      </c>
      <c r="T24" s="16" t="s">
        <v>157</v>
      </c>
      <c r="U24" s="17" t="s">
        <v>158</v>
      </c>
      <c r="V24" s="17" t="s">
        <v>159</v>
      </c>
      <c r="W24" s="47"/>
      <c r="X24" s="47"/>
      <c r="Y24" s="47"/>
      <c r="Z24" s="47"/>
      <c r="AA24" s="47"/>
      <c r="AB24" s="47"/>
    </row>
    <row r="25" spans="1:28" ht="34.049999999999997" customHeight="1">
      <c r="A25" s="43"/>
      <c r="B25" s="43"/>
      <c r="C25" s="13" t="s">
        <v>160</v>
      </c>
      <c r="D25" s="46"/>
      <c r="E25" s="14" t="s">
        <v>24</v>
      </c>
      <c r="F25" s="14">
        <f t="shared" si="3"/>
        <v>3</v>
      </c>
      <c r="G25" s="14" t="s">
        <v>31</v>
      </c>
      <c r="H25" s="14">
        <f t="shared" si="4"/>
        <v>1</v>
      </c>
      <c r="I25" s="14" t="s">
        <v>24</v>
      </c>
      <c r="J25" s="14">
        <f t="shared" si="5"/>
        <v>3</v>
      </c>
      <c r="K25" s="14" t="s">
        <v>24</v>
      </c>
      <c r="L25" s="14">
        <f t="shared" si="0"/>
        <v>3</v>
      </c>
      <c r="M25" s="15" t="s">
        <v>24</v>
      </c>
      <c r="N25" s="14">
        <f t="shared" si="1"/>
        <v>3</v>
      </c>
      <c r="O25" s="15" t="s">
        <v>24</v>
      </c>
      <c r="P25" s="14">
        <f t="shared" si="2"/>
        <v>3</v>
      </c>
      <c r="Q25" s="16" t="s">
        <v>161</v>
      </c>
      <c r="R25" s="16" t="s">
        <v>162</v>
      </c>
      <c r="S25" s="16" t="s">
        <v>83</v>
      </c>
      <c r="T25" s="16" t="s">
        <v>163</v>
      </c>
      <c r="U25" s="17" t="s">
        <v>164</v>
      </c>
      <c r="V25" s="17" t="s">
        <v>165</v>
      </c>
      <c r="W25" s="47"/>
      <c r="X25" s="47"/>
      <c r="Y25" s="47"/>
      <c r="Z25" s="47"/>
      <c r="AA25" s="47"/>
      <c r="AB25" s="47"/>
    </row>
    <row r="26" spans="1:28" ht="60">
      <c r="A26" s="43"/>
      <c r="B26" s="43"/>
      <c r="C26" s="13" t="s">
        <v>166</v>
      </c>
      <c r="D26" s="46"/>
      <c r="E26" s="14" t="s">
        <v>31</v>
      </c>
      <c r="F26" s="14">
        <f t="shared" si="3"/>
        <v>1</v>
      </c>
      <c r="G26" s="14" t="s">
        <v>31</v>
      </c>
      <c r="H26" s="14">
        <f t="shared" si="4"/>
        <v>1</v>
      </c>
      <c r="I26" s="14" t="s">
        <v>31</v>
      </c>
      <c r="J26" s="14">
        <f t="shared" si="5"/>
        <v>1</v>
      </c>
      <c r="K26" s="14" t="s">
        <v>31</v>
      </c>
      <c r="L26" s="14">
        <f t="shared" si="0"/>
        <v>1</v>
      </c>
      <c r="M26" s="15" t="s">
        <v>24</v>
      </c>
      <c r="N26" s="14">
        <f t="shared" si="1"/>
        <v>3</v>
      </c>
      <c r="O26" s="15" t="s">
        <v>24</v>
      </c>
      <c r="P26" s="14">
        <f t="shared" si="2"/>
        <v>3</v>
      </c>
      <c r="Q26" s="16" t="s">
        <v>167</v>
      </c>
      <c r="R26" s="16" t="s">
        <v>168</v>
      </c>
      <c r="S26" s="16" t="s">
        <v>83</v>
      </c>
      <c r="T26" s="16" t="s">
        <v>169</v>
      </c>
      <c r="U26" s="17" t="s">
        <v>170</v>
      </c>
      <c r="V26" s="17" t="s">
        <v>171</v>
      </c>
      <c r="W26" s="47"/>
      <c r="X26" s="47"/>
      <c r="Y26" s="47"/>
      <c r="Z26" s="47"/>
      <c r="AA26" s="47"/>
      <c r="AB26" s="47"/>
    </row>
    <row r="27" spans="1:28" ht="34.049999999999997" customHeight="1">
      <c r="A27" s="43"/>
      <c r="B27" s="43"/>
      <c r="C27" s="13" t="s">
        <v>172</v>
      </c>
      <c r="D27" s="46"/>
      <c r="E27" s="14" t="s">
        <v>24</v>
      </c>
      <c r="F27" s="14">
        <f t="shared" si="3"/>
        <v>3</v>
      </c>
      <c r="G27" s="14" t="s">
        <v>24</v>
      </c>
      <c r="H27" s="14">
        <f t="shared" si="4"/>
        <v>3</v>
      </c>
      <c r="I27" s="14" t="s">
        <v>24</v>
      </c>
      <c r="J27" s="14">
        <f t="shared" si="5"/>
        <v>3</v>
      </c>
      <c r="K27" s="14" t="s">
        <v>24</v>
      </c>
      <c r="L27" s="14">
        <f t="shared" si="0"/>
        <v>3</v>
      </c>
      <c r="M27" s="15" t="s">
        <v>24</v>
      </c>
      <c r="N27" s="14">
        <f t="shared" si="1"/>
        <v>3</v>
      </c>
      <c r="O27" s="15" t="s">
        <v>24</v>
      </c>
      <c r="P27" s="14">
        <f t="shared" si="2"/>
        <v>3</v>
      </c>
      <c r="Q27" s="16" t="s">
        <v>173</v>
      </c>
      <c r="R27" s="16" t="s">
        <v>174</v>
      </c>
      <c r="S27" s="16" t="s">
        <v>83</v>
      </c>
      <c r="T27" s="16" t="s">
        <v>175</v>
      </c>
      <c r="U27" s="17" t="s">
        <v>176</v>
      </c>
      <c r="V27" s="17" t="s">
        <v>177</v>
      </c>
      <c r="W27" s="47"/>
      <c r="X27" s="47"/>
      <c r="Y27" s="47"/>
      <c r="Z27" s="47"/>
      <c r="AA27" s="47"/>
      <c r="AB27" s="47"/>
    </row>
    <row r="28" spans="1:28" ht="60.75" customHeight="1">
      <c r="A28" s="44"/>
      <c r="B28" s="44"/>
      <c r="C28" s="13" t="s">
        <v>178</v>
      </c>
      <c r="D28" s="46"/>
      <c r="E28" s="14" t="s">
        <v>31</v>
      </c>
      <c r="F28" s="14">
        <f t="shared" si="3"/>
        <v>1</v>
      </c>
      <c r="G28" s="14" t="s">
        <v>148</v>
      </c>
      <c r="H28" s="14">
        <f t="shared" si="4"/>
        <v>0</v>
      </c>
      <c r="I28" s="14" t="s">
        <v>31</v>
      </c>
      <c r="J28" s="14">
        <f t="shared" si="5"/>
        <v>1</v>
      </c>
      <c r="K28" s="14" t="s">
        <v>31</v>
      </c>
      <c r="L28" s="14">
        <f t="shared" si="0"/>
        <v>1</v>
      </c>
      <c r="M28" s="15" t="s">
        <v>24</v>
      </c>
      <c r="N28" s="14">
        <f t="shared" si="1"/>
        <v>3</v>
      </c>
      <c r="O28" s="15" t="s">
        <v>24</v>
      </c>
      <c r="P28" s="14">
        <f t="shared" si="2"/>
        <v>3</v>
      </c>
      <c r="Q28" s="16" t="s">
        <v>179</v>
      </c>
      <c r="R28" s="16" t="s">
        <v>180</v>
      </c>
      <c r="S28" s="16" t="s">
        <v>83</v>
      </c>
      <c r="T28" s="16" t="s">
        <v>181</v>
      </c>
      <c r="U28" s="17" t="s">
        <v>182</v>
      </c>
      <c r="V28" s="17" t="s">
        <v>183</v>
      </c>
      <c r="W28" s="48"/>
      <c r="X28" s="48"/>
      <c r="Y28" s="48"/>
      <c r="Z28" s="48"/>
      <c r="AA28" s="48"/>
      <c r="AB28" s="48"/>
    </row>
    <row r="29" spans="1:28" ht="49.05" customHeight="1">
      <c r="A29" s="42">
        <v>4</v>
      </c>
      <c r="B29" s="45" t="s">
        <v>184</v>
      </c>
      <c r="C29" s="13" t="s">
        <v>185</v>
      </c>
      <c r="D29" s="51">
        <v>0.12</v>
      </c>
      <c r="E29" s="14" t="s">
        <v>31</v>
      </c>
      <c r="F29" s="14">
        <f t="shared" si="3"/>
        <v>1</v>
      </c>
      <c r="G29" s="14" t="s">
        <v>31</v>
      </c>
      <c r="H29" s="14">
        <f t="shared" si="4"/>
        <v>1</v>
      </c>
      <c r="I29" s="14" t="s">
        <v>31</v>
      </c>
      <c r="J29" s="14">
        <f t="shared" si="5"/>
        <v>1</v>
      </c>
      <c r="K29" s="14" t="s">
        <v>31</v>
      </c>
      <c r="L29" s="14">
        <f t="shared" si="0"/>
        <v>1</v>
      </c>
      <c r="M29" s="15" t="s">
        <v>24</v>
      </c>
      <c r="N29" s="14">
        <f t="shared" si="1"/>
        <v>3</v>
      </c>
      <c r="O29" s="15" t="s">
        <v>24</v>
      </c>
      <c r="P29" s="14">
        <f t="shared" si="2"/>
        <v>3</v>
      </c>
      <c r="Q29" s="16" t="s">
        <v>186</v>
      </c>
      <c r="R29" s="16" t="s">
        <v>187</v>
      </c>
      <c r="S29" s="16" t="s">
        <v>83</v>
      </c>
      <c r="T29" s="16" t="s">
        <v>188</v>
      </c>
      <c r="U29" s="17" t="s">
        <v>189</v>
      </c>
      <c r="V29" s="17" t="s">
        <v>190</v>
      </c>
      <c r="W29" s="51">
        <f>AVERAGE(F29:F41)*$D29/3</f>
        <v>0.1076923076923077</v>
      </c>
      <c r="X29" s="51">
        <f>AVERAGE(H29:H41)*$D29/3</f>
        <v>8.307692307692309E-2</v>
      </c>
      <c r="Y29" s="51">
        <f>AVERAGE(J29:J41)*$D29/3</f>
        <v>0.1076923076923077</v>
      </c>
      <c r="Z29" s="51">
        <f>AVERAGE(L29:L41)*$D29/3</f>
        <v>5.2307692307692305E-2</v>
      </c>
      <c r="AA29" s="51">
        <f>AVERAGE(N29:N41)*$D29/3</f>
        <v>0.12</v>
      </c>
      <c r="AB29" s="51">
        <f>AVERAGE(P29:P41)*$D29/3</f>
        <v>0.12</v>
      </c>
    </row>
    <row r="30" spans="1:28" ht="45">
      <c r="A30" s="43"/>
      <c r="B30" s="43"/>
      <c r="C30" s="13" t="s">
        <v>191</v>
      </c>
      <c r="D30" s="51"/>
      <c r="E30" s="14" t="s">
        <v>24</v>
      </c>
      <c r="F30" s="14">
        <f t="shared" si="3"/>
        <v>3</v>
      </c>
      <c r="G30" s="14" t="s">
        <v>31</v>
      </c>
      <c r="H30" s="14">
        <f t="shared" si="4"/>
        <v>1</v>
      </c>
      <c r="I30" s="14" t="s">
        <v>24</v>
      </c>
      <c r="J30" s="14">
        <f t="shared" si="5"/>
        <v>3</v>
      </c>
      <c r="K30" s="14" t="s">
        <v>31</v>
      </c>
      <c r="L30" s="14">
        <f t="shared" si="0"/>
        <v>1</v>
      </c>
      <c r="M30" s="15" t="s">
        <v>24</v>
      </c>
      <c r="N30" s="14">
        <f t="shared" si="1"/>
        <v>3</v>
      </c>
      <c r="O30" s="15" t="s">
        <v>24</v>
      </c>
      <c r="P30" s="14">
        <f t="shared" si="2"/>
        <v>3</v>
      </c>
      <c r="Q30" s="16" t="s">
        <v>192</v>
      </c>
      <c r="R30" s="16" t="s">
        <v>193</v>
      </c>
      <c r="S30" s="16" t="s">
        <v>83</v>
      </c>
      <c r="T30" s="16" t="s">
        <v>194</v>
      </c>
      <c r="U30" s="17" t="s">
        <v>195</v>
      </c>
      <c r="V30" s="17" t="s">
        <v>196</v>
      </c>
      <c r="W30" s="47"/>
      <c r="X30" s="47"/>
      <c r="Y30" s="47"/>
      <c r="Z30" s="47"/>
      <c r="AA30" s="47"/>
      <c r="AB30" s="47"/>
    </row>
    <row r="31" spans="1:28" ht="34.049999999999997" customHeight="1">
      <c r="A31" s="43"/>
      <c r="B31" s="43"/>
      <c r="C31" s="13" t="s">
        <v>197</v>
      </c>
      <c r="D31" s="51"/>
      <c r="E31" s="14" t="s">
        <v>24</v>
      </c>
      <c r="F31" s="14">
        <f t="shared" si="3"/>
        <v>3</v>
      </c>
      <c r="G31" s="14" t="s">
        <v>24</v>
      </c>
      <c r="H31" s="14">
        <f t="shared" si="4"/>
        <v>3</v>
      </c>
      <c r="I31" s="14" t="s">
        <v>24</v>
      </c>
      <c r="J31" s="14">
        <f t="shared" si="5"/>
        <v>3</v>
      </c>
      <c r="K31" s="14" t="s">
        <v>31</v>
      </c>
      <c r="L31" s="14">
        <f t="shared" si="0"/>
        <v>1</v>
      </c>
      <c r="M31" s="15" t="s">
        <v>24</v>
      </c>
      <c r="N31" s="14">
        <f t="shared" si="1"/>
        <v>3</v>
      </c>
      <c r="O31" s="15" t="s">
        <v>24</v>
      </c>
      <c r="P31" s="14">
        <f t="shared" si="2"/>
        <v>3</v>
      </c>
      <c r="Q31" s="16" t="s">
        <v>198</v>
      </c>
      <c r="R31" s="16" t="s">
        <v>199</v>
      </c>
      <c r="S31" s="16" t="s">
        <v>83</v>
      </c>
      <c r="T31" s="16" t="s">
        <v>200</v>
      </c>
      <c r="U31" s="17" t="s">
        <v>201</v>
      </c>
      <c r="V31" s="17" t="s">
        <v>202</v>
      </c>
      <c r="W31" s="47"/>
      <c r="X31" s="47"/>
      <c r="Y31" s="47"/>
      <c r="Z31" s="47"/>
      <c r="AA31" s="47"/>
      <c r="AB31" s="47"/>
    </row>
    <row r="32" spans="1:28" ht="32.25" customHeight="1">
      <c r="A32" s="43"/>
      <c r="B32" s="43"/>
      <c r="C32" s="13" t="s">
        <v>203</v>
      </c>
      <c r="D32" s="51"/>
      <c r="E32" s="14" t="s">
        <v>24</v>
      </c>
      <c r="F32" s="14">
        <f t="shared" si="3"/>
        <v>3</v>
      </c>
      <c r="G32" s="14" t="s">
        <v>24</v>
      </c>
      <c r="H32" s="14">
        <f t="shared" si="4"/>
        <v>3</v>
      </c>
      <c r="I32" s="14" t="s">
        <v>24</v>
      </c>
      <c r="J32" s="14">
        <f t="shared" si="5"/>
        <v>3</v>
      </c>
      <c r="K32" s="14" t="s">
        <v>31</v>
      </c>
      <c r="L32" s="14">
        <f t="shared" si="0"/>
        <v>1</v>
      </c>
      <c r="M32" s="15" t="s">
        <v>24</v>
      </c>
      <c r="N32" s="14">
        <f t="shared" si="1"/>
        <v>3</v>
      </c>
      <c r="O32" s="15" t="s">
        <v>24</v>
      </c>
      <c r="P32" s="14">
        <f t="shared" si="2"/>
        <v>3</v>
      </c>
      <c r="Q32" s="16" t="s">
        <v>204</v>
      </c>
      <c r="R32" s="16" t="s">
        <v>205</v>
      </c>
      <c r="S32" s="16" t="s">
        <v>83</v>
      </c>
      <c r="T32" s="16" t="s">
        <v>181</v>
      </c>
      <c r="U32" s="17" t="s">
        <v>206</v>
      </c>
      <c r="V32" s="17" t="s">
        <v>207</v>
      </c>
      <c r="W32" s="47"/>
      <c r="X32" s="47"/>
      <c r="Y32" s="47"/>
      <c r="Z32" s="47"/>
      <c r="AA32" s="47"/>
      <c r="AB32" s="47"/>
    </row>
    <row r="33" spans="1:28" ht="34.049999999999997" customHeight="1">
      <c r="A33" s="43"/>
      <c r="B33" s="43"/>
      <c r="C33" s="13" t="s">
        <v>208</v>
      </c>
      <c r="D33" s="51"/>
      <c r="E33" s="14" t="s">
        <v>24</v>
      </c>
      <c r="F33" s="14">
        <f t="shared" si="3"/>
        <v>3</v>
      </c>
      <c r="G33" s="14" t="s">
        <v>31</v>
      </c>
      <c r="H33" s="14">
        <f t="shared" si="4"/>
        <v>1</v>
      </c>
      <c r="I33" s="14" t="s">
        <v>24</v>
      </c>
      <c r="J33" s="14">
        <f t="shared" si="5"/>
        <v>3</v>
      </c>
      <c r="K33" s="14" t="s">
        <v>31</v>
      </c>
      <c r="L33" s="14">
        <f t="shared" si="0"/>
        <v>1</v>
      </c>
      <c r="M33" s="15" t="s">
        <v>24</v>
      </c>
      <c r="N33" s="14">
        <f t="shared" si="1"/>
        <v>3</v>
      </c>
      <c r="O33" s="15" t="s">
        <v>24</v>
      </c>
      <c r="P33" s="14">
        <f t="shared" si="2"/>
        <v>3</v>
      </c>
      <c r="Q33" s="16" t="s">
        <v>209</v>
      </c>
      <c r="R33" s="16" t="s">
        <v>210</v>
      </c>
      <c r="S33" s="16" t="s">
        <v>83</v>
      </c>
      <c r="T33" s="16" t="s">
        <v>211</v>
      </c>
      <c r="U33" s="17" t="s">
        <v>212</v>
      </c>
      <c r="V33" s="17" t="s">
        <v>213</v>
      </c>
      <c r="W33" s="47"/>
      <c r="X33" s="47"/>
      <c r="Y33" s="47"/>
      <c r="Z33" s="47"/>
      <c r="AA33" s="47"/>
      <c r="AB33" s="47"/>
    </row>
    <row r="34" spans="1:28" ht="34.049999999999997" customHeight="1">
      <c r="A34" s="43"/>
      <c r="B34" s="43"/>
      <c r="C34" s="13" t="s">
        <v>214</v>
      </c>
      <c r="D34" s="51"/>
      <c r="E34" s="14" t="s">
        <v>24</v>
      </c>
      <c r="F34" s="14">
        <f t="shared" si="3"/>
        <v>3</v>
      </c>
      <c r="G34" s="14" t="s">
        <v>24</v>
      </c>
      <c r="H34" s="14">
        <f t="shared" si="4"/>
        <v>3</v>
      </c>
      <c r="I34" s="14" t="s">
        <v>24</v>
      </c>
      <c r="J34" s="14">
        <f t="shared" si="5"/>
        <v>3</v>
      </c>
      <c r="K34" s="14" t="s">
        <v>31</v>
      </c>
      <c r="L34" s="14">
        <f t="shared" si="0"/>
        <v>1</v>
      </c>
      <c r="M34" s="15" t="s">
        <v>24</v>
      </c>
      <c r="N34" s="14">
        <f t="shared" si="1"/>
        <v>3</v>
      </c>
      <c r="O34" s="15" t="s">
        <v>24</v>
      </c>
      <c r="P34" s="14">
        <f t="shared" si="2"/>
        <v>3</v>
      </c>
      <c r="Q34" s="16" t="s">
        <v>215</v>
      </c>
      <c r="R34" s="16" t="s">
        <v>216</v>
      </c>
      <c r="S34" s="16" t="s">
        <v>83</v>
      </c>
      <c r="T34" s="16" t="s">
        <v>217</v>
      </c>
      <c r="U34" s="17" t="s">
        <v>218</v>
      </c>
      <c r="V34" s="17" t="s">
        <v>219</v>
      </c>
      <c r="W34" s="47"/>
      <c r="X34" s="47"/>
      <c r="Y34" s="47"/>
      <c r="Z34" s="47"/>
      <c r="AA34" s="47"/>
      <c r="AB34" s="47"/>
    </row>
    <row r="35" spans="1:28" ht="32.25" customHeight="1">
      <c r="A35" s="43"/>
      <c r="B35" s="43"/>
      <c r="C35" s="13" t="s">
        <v>220</v>
      </c>
      <c r="D35" s="51"/>
      <c r="E35" s="14" t="s">
        <v>24</v>
      </c>
      <c r="F35" s="14">
        <f t="shared" si="3"/>
        <v>3</v>
      </c>
      <c r="G35" s="14" t="s">
        <v>31</v>
      </c>
      <c r="H35" s="14">
        <f t="shared" si="4"/>
        <v>1</v>
      </c>
      <c r="I35" s="14" t="s">
        <v>24</v>
      </c>
      <c r="J35" s="14">
        <f t="shared" si="5"/>
        <v>3</v>
      </c>
      <c r="K35" s="14" t="s">
        <v>31</v>
      </c>
      <c r="L35" s="14">
        <f t="shared" si="0"/>
        <v>1</v>
      </c>
      <c r="M35" s="15" t="s">
        <v>24</v>
      </c>
      <c r="N35" s="14">
        <f t="shared" si="1"/>
        <v>3</v>
      </c>
      <c r="O35" s="15" t="s">
        <v>24</v>
      </c>
      <c r="P35" s="14">
        <f t="shared" si="2"/>
        <v>3</v>
      </c>
      <c r="Q35" s="16" t="s">
        <v>221</v>
      </c>
      <c r="R35" s="16" t="s">
        <v>222</v>
      </c>
      <c r="S35" s="16" t="s">
        <v>83</v>
      </c>
      <c r="T35" s="16" t="s">
        <v>223</v>
      </c>
      <c r="U35" s="17" t="s">
        <v>224</v>
      </c>
      <c r="V35" s="17" t="s">
        <v>225</v>
      </c>
      <c r="W35" s="47"/>
      <c r="X35" s="47"/>
      <c r="Y35" s="47"/>
      <c r="Z35" s="47"/>
      <c r="AA35" s="47"/>
      <c r="AB35" s="47"/>
    </row>
    <row r="36" spans="1:28" ht="32.25" customHeight="1">
      <c r="A36" s="43"/>
      <c r="B36" s="43"/>
      <c r="C36" s="13" t="s">
        <v>226</v>
      </c>
      <c r="D36" s="51"/>
      <c r="E36" s="14" t="s">
        <v>24</v>
      </c>
      <c r="F36" s="14">
        <f t="shared" si="3"/>
        <v>3</v>
      </c>
      <c r="G36" s="14" t="s">
        <v>24</v>
      </c>
      <c r="H36" s="14">
        <f t="shared" si="4"/>
        <v>3</v>
      </c>
      <c r="I36" s="14" t="s">
        <v>24</v>
      </c>
      <c r="J36" s="14">
        <f t="shared" si="5"/>
        <v>3</v>
      </c>
      <c r="K36" s="14" t="s">
        <v>31</v>
      </c>
      <c r="L36" s="14">
        <f t="shared" si="0"/>
        <v>1</v>
      </c>
      <c r="M36" s="15" t="s">
        <v>24</v>
      </c>
      <c r="N36" s="14">
        <f t="shared" si="1"/>
        <v>3</v>
      </c>
      <c r="O36" s="15" t="s">
        <v>24</v>
      </c>
      <c r="P36" s="14">
        <f t="shared" si="2"/>
        <v>3</v>
      </c>
      <c r="Q36" s="16" t="s">
        <v>227</v>
      </c>
      <c r="R36" s="16" t="s">
        <v>228</v>
      </c>
      <c r="S36" s="16" t="s">
        <v>83</v>
      </c>
      <c r="T36" s="16" t="s">
        <v>181</v>
      </c>
      <c r="U36" s="17" t="s">
        <v>229</v>
      </c>
      <c r="V36" s="17" t="s">
        <v>230</v>
      </c>
      <c r="W36" s="47"/>
      <c r="X36" s="47"/>
      <c r="Y36" s="47"/>
      <c r="Z36" s="47"/>
      <c r="AA36" s="47"/>
      <c r="AB36" s="47"/>
    </row>
    <row r="37" spans="1:28" ht="43.2">
      <c r="A37" s="43"/>
      <c r="B37" s="43"/>
      <c r="C37" s="13" t="s">
        <v>231</v>
      </c>
      <c r="D37" s="51"/>
      <c r="E37" s="14" t="s">
        <v>24</v>
      </c>
      <c r="F37" s="14">
        <f t="shared" si="3"/>
        <v>3</v>
      </c>
      <c r="G37" s="14" t="s">
        <v>24</v>
      </c>
      <c r="H37" s="14">
        <f t="shared" si="4"/>
        <v>3</v>
      </c>
      <c r="I37" s="14" t="s">
        <v>24</v>
      </c>
      <c r="J37" s="14">
        <f t="shared" si="5"/>
        <v>3</v>
      </c>
      <c r="K37" s="14" t="s">
        <v>31</v>
      </c>
      <c r="L37" s="14">
        <f t="shared" si="0"/>
        <v>1</v>
      </c>
      <c r="M37" s="15" t="s">
        <v>24</v>
      </c>
      <c r="N37" s="14">
        <f t="shared" si="1"/>
        <v>3</v>
      </c>
      <c r="O37" s="15" t="s">
        <v>24</v>
      </c>
      <c r="P37" s="14">
        <f t="shared" si="2"/>
        <v>3</v>
      </c>
      <c r="Q37" s="16" t="s">
        <v>232</v>
      </c>
      <c r="R37" s="16" t="s">
        <v>233</v>
      </c>
      <c r="S37" s="16" t="s">
        <v>83</v>
      </c>
      <c r="T37" s="16" t="s">
        <v>194</v>
      </c>
      <c r="U37" s="17" t="s">
        <v>234</v>
      </c>
      <c r="V37" s="17" t="s">
        <v>235</v>
      </c>
      <c r="W37" s="47"/>
      <c r="X37" s="47"/>
      <c r="Y37" s="47"/>
      <c r="Z37" s="47"/>
      <c r="AA37" s="47"/>
      <c r="AB37" s="47"/>
    </row>
    <row r="38" spans="1:28" ht="46.8">
      <c r="A38" s="43"/>
      <c r="B38" s="43"/>
      <c r="C38" s="13" t="s">
        <v>236</v>
      </c>
      <c r="D38" s="51"/>
      <c r="E38" s="14" t="s">
        <v>31</v>
      </c>
      <c r="F38" s="14">
        <f t="shared" si="3"/>
        <v>1</v>
      </c>
      <c r="G38" s="14" t="s">
        <v>31</v>
      </c>
      <c r="H38" s="14">
        <f t="shared" si="4"/>
        <v>1</v>
      </c>
      <c r="I38" s="14" t="s">
        <v>31</v>
      </c>
      <c r="J38" s="14">
        <f t="shared" si="5"/>
        <v>1</v>
      </c>
      <c r="K38" s="14" t="s">
        <v>31</v>
      </c>
      <c r="L38" s="14">
        <f t="shared" si="0"/>
        <v>1</v>
      </c>
      <c r="M38" s="15" t="s">
        <v>24</v>
      </c>
      <c r="N38" s="14">
        <f t="shared" si="1"/>
        <v>3</v>
      </c>
      <c r="O38" s="15" t="s">
        <v>24</v>
      </c>
      <c r="P38" s="14">
        <f t="shared" si="2"/>
        <v>3</v>
      </c>
      <c r="Q38" s="16" t="s">
        <v>237</v>
      </c>
      <c r="R38" s="16" t="s">
        <v>238</v>
      </c>
      <c r="S38" s="16"/>
      <c r="T38" s="16" t="s">
        <v>239</v>
      </c>
      <c r="U38" s="17" t="s">
        <v>240</v>
      </c>
      <c r="V38" s="17" t="s">
        <v>241</v>
      </c>
      <c r="W38" s="47"/>
      <c r="X38" s="47"/>
      <c r="Y38" s="47"/>
      <c r="Z38" s="47"/>
      <c r="AA38" s="47"/>
      <c r="AB38" s="47"/>
    </row>
    <row r="39" spans="1:28" ht="32.25" customHeight="1">
      <c r="A39" s="43"/>
      <c r="B39" s="43"/>
      <c r="C39" s="13" t="s">
        <v>242</v>
      </c>
      <c r="D39" s="51"/>
      <c r="E39" s="14" t="s">
        <v>24</v>
      </c>
      <c r="F39" s="14">
        <f t="shared" si="3"/>
        <v>3</v>
      </c>
      <c r="G39" s="14" t="s">
        <v>24</v>
      </c>
      <c r="H39" s="14">
        <f t="shared" si="4"/>
        <v>3</v>
      </c>
      <c r="I39" s="14" t="s">
        <v>24</v>
      </c>
      <c r="J39" s="14">
        <f t="shared" si="5"/>
        <v>3</v>
      </c>
      <c r="K39" s="14" t="s">
        <v>24</v>
      </c>
      <c r="L39" s="14">
        <f t="shared" si="0"/>
        <v>3</v>
      </c>
      <c r="M39" s="15" t="s">
        <v>24</v>
      </c>
      <c r="N39" s="14">
        <f t="shared" si="1"/>
        <v>3</v>
      </c>
      <c r="O39" s="15" t="s">
        <v>24</v>
      </c>
      <c r="P39" s="14">
        <f t="shared" si="2"/>
        <v>3</v>
      </c>
      <c r="Q39" s="16" t="s">
        <v>243</v>
      </c>
      <c r="R39" s="16" t="s">
        <v>244</v>
      </c>
      <c r="S39" s="16" t="s">
        <v>83</v>
      </c>
      <c r="T39" s="16" t="s">
        <v>157</v>
      </c>
      <c r="U39" s="17" t="s">
        <v>245</v>
      </c>
      <c r="V39" s="17" t="s">
        <v>245</v>
      </c>
      <c r="W39" s="47"/>
      <c r="X39" s="47"/>
      <c r="Y39" s="47"/>
      <c r="Z39" s="47"/>
      <c r="AA39" s="47"/>
      <c r="AB39" s="47"/>
    </row>
    <row r="40" spans="1:28" ht="34.049999999999997" customHeight="1">
      <c r="A40" s="43"/>
      <c r="B40" s="43"/>
      <c r="C40" s="13" t="s">
        <v>246</v>
      </c>
      <c r="D40" s="51"/>
      <c r="E40" s="14" t="s">
        <v>24</v>
      </c>
      <c r="F40" s="14">
        <f t="shared" si="3"/>
        <v>3</v>
      </c>
      <c r="G40" s="14" t="s">
        <v>31</v>
      </c>
      <c r="H40" s="14">
        <f t="shared" si="4"/>
        <v>1</v>
      </c>
      <c r="I40" s="14" t="s">
        <v>24</v>
      </c>
      <c r="J40" s="14">
        <f t="shared" si="5"/>
        <v>3</v>
      </c>
      <c r="K40" s="14" t="s">
        <v>24</v>
      </c>
      <c r="L40" s="14">
        <f t="shared" si="0"/>
        <v>3</v>
      </c>
      <c r="M40" s="15" t="s">
        <v>24</v>
      </c>
      <c r="N40" s="14">
        <f t="shared" si="1"/>
        <v>3</v>
      </c>
      <c r="O40" s="15" t="s">
        <v>24</v>
      </c>
      <c r="P40" s="14">
        <f t="shared" si="2"/>
        <v>3</v>
      </c>
      <c r="Q40" s="16" t="s">
        <v>247</v>
      </c>
      <c r="R40" s="16" t="s">
        <v>248</v>
      </c>
      <c r="S40" s="16" t="s">
        <v>83</v>
      </c>
      <c r="T40" s="16" t="s">
        <v>249</v>
      </c>
      <c r="U40" s="17" t="s">
        <v>250</v>
      </c>
      <c r="V40" s="17" t="s">
        <v>251</v>
      </c>
      <c r="W40" s="47"/>
      <c r="X40" s="47"/>
      <c r="Y40" s="47"/>
      <c r="Z40" s="47"/>
      <c r="AA40" s="47"/>
      <c r="AB40" s="47"/>
    </row>
    <row r="41" spans="1:28" ht="49.05" customHeight="1">
      <c r="A41" s="44"/>
      <c r="B41" s="44"/>
      <c r="C41" s="13" t="s">
        <v>252</v>
      </c>
      <c r="D41" s="51"/>
      <c r="E41" s="14" t="s">
        <v>24</v>
      </c>
      <c r="F41" s="14">
        <f t="shared" si="3"/>
        <v>3</v>
      </c>
      <c r="G41" s="14" t="s">
        <v>24</v>
      </c>
      <c r="H41" s="14">
        <f t="shared" si="4"/>
        <v>3</v>
      </c>
      <c r="I41" s="14" t="s">
        <v>24</v>
      </c>
      <c r="J41" s="14">
        <f t="shared" si="5"/>
        <v>3</v>
      </c>
      <c r="K41" s="14" t="s">
        <v>31</v>
      </c>
      <c r="L41" s="14">
        <f t="shared" si="0"/>
        <v>1</v>
      </c>
      <c r="M41" s="15" t="s">
        <v>24</v>
      </c>
      <c r="N41" s="14">
        <f t="shared" si="1"/>
        <v>3</v>
      </c>
      <c r="O41" s="15" t="s">
        <v>24</v>
      </c>
      <c r="P41" s="14">
        <f t="shared" si="2"/>
        <v>3</v>
      </c>
      <c r="Q41" s="16" t="s">
        <v>253</v>
      </c>
      <c r="R41" s="16" t="s">
        <v>254</v>
      </c>
      <c r="S41" s="16"/>
      <c r="T41" s="16" t="s">
        <v>255</v>
      </c>
      <c r="U41" s="17" t="s">
        <v>256</v>
      </c>
      <c r="V41" s="17" t="s">
        <v>257</v>
      </c>
      <c r="W41" s="48"/>
      <c r="X41" s="48"/>
      <c r="Y41" s="48"/>
      <c r="Z41" s="48"/>
      <c r="AA41" s="48"/>
      <c r="AB41" s="48"/>
    </row>
    <row r="42" spans="1:28" ht="45">
      <c r="A42" s="42">
        <v>5</v>
      </c>
      <c r="B42" s="45" t="s">
        <v>258</v>
      </c>
      <c r="C42" s="13" t="s">
        <v>259</v>
      </c>
      <c r="D42" s="46">
        <v>0.1</v>
      </c>
      <c r="E42" s="14" t="s">
        <v>24</v>
      </c>
      <c r="F42" s="14">
        <f t="shared" si="3"/>
        <v>3</v>
      </c>
      <c r="G42" s="14" t="s">
        <v>24</v>
      </c>
      <c r="H42" s="14">
        <f t="shared" si="4"/>
        <v>3</v>
      </c>
      <c r="I42" s="14" t="s">
        <v>24</v>
      </c>
      <c r="J42" s="14">
        <f t="shared" si="5"/>
        <v>3</v>
      </c>
      <c r="K42" s="14" t="s">
        <v>31</v>
      </c>
      <c r="L42" s="14">
        <f t="shared" si="0"/>
        <v>1</v>
      </c>
      <c r="M42" s="15" t="s">
        <v>24</v>
      </c>
      <c r="N42" s="14">
        <f t="shared" si="1"/>
        <v>3</v>
      </c>
      <c r="O42" s="15" t="s">
        <v>24</v>
      </c>
      <c r="P42" s="14">
        <f t="shared" si="2"/>
        <v>3</v>
      </c>
      <c r="Q42" s="16" t="s">
        <v>260</v>
      </c>
      <c r="R42" s="16" t="s">
        <v>261</v>
      </c>
      <c r="S42" s="16" t="s">
        <v>83</v>
      </c>
      <c r="T42" s="16" t="s">
        <v>83</v>
      </c>
      <c r="U42" s="17" t="s">
        <v>262</v>
      </c>
      <c r="V42" s="17" t="s">
        <v>263</v>
      </c>
      <c r="W42" s="46">
        <f>AVERAGE(F42:F57)*$D42/3</f>
        <v>9.583333333333334E-2</v>
      </c>
      <c r="X42" s="46">
        <f>AVERAGE(H42:H57)*$D42/3</f>
        <v>8.7500000000000008E-2</v>
      </c>
      <c r="Y42" s="46">
        <f>AVERAGE(J42:J57)*$D42/3</f>
        <v>0.10000000000000002</v>
      </c>
      <c r="Z42" s="46">
        <f>AVERAGE(L42:L57)*$D42/3</f>
        <v>6.25E-2</v>
      </c>
      <c r="AA42" s="46">
        <f>AVERAGE(N42:N57)*$D42/3</f>
        <v>0.10000000000000002</v>
      </c>
      <c r="AB42" s="46">
        <f>AVERAGE(P42:P57)*$D42/3</f>
        <v>0.10000000000000002</v>
      </c>
    </row>
    <row r="43" spans="1:28" ht="34.049999999999997" customHeight="1">
      <c r="A43" s="43"/>
      <c r="B43" s="43"/>
      <c r="C43" s="13" t="s">
        <v>264</v>
      </c>
      <c r="D43" s="46"/>
      <c r="E43" s="14" t="s">
        <v>24</v>
      </c>
      <c r="F43" s="14">
        <f t="shared" si="3"/>
        <v>3</v>
      </c>
      <c r="G43" s="14" t="s">
        <v>24</v>
      </c>
      <c r="H43" s="14">
        <f t="shared" si="4"/>
        <v>3</v>
      </c>
      <c r="I43" s="14" t="s">
        <v>24</v>
      </c>
      <c r="J43" s="14">
        <f t="shared" si="5"/>
        <v>3</v>
      </c>
      <c r="K43" s="14" t="s">
        <v>31</v>
      </c>
      <c r="L43" s="14">
        <f t="shared" si="0"/>
        <v>1</v>
      </c>
      <c r="M43" s="15" t="s">
        <v>24</v>
      </c>
      <c r="N43" s="14">
        <f t="shared" si="1"/>
        <v>3</v>
      </c>
      <c r="O43" s="15" t="s">
        <v>24</v>
      </c>
      <c r="P43" s="14">
        <f t="shared" si="2"/>
        <v>3</v>
      </c>
      <c r="Q43" s="16" t="s">
        <v>265</v>
      </c>
      <c r="R43" s="16" t="s">
        <v>266</v>
      </c>
      <c r="S43" s="16" t="s">
        <v>83</v>
      </c>
      <c r="T43" s="16" t="s">
        <v>194</v>
      </c>
      <c r="U43" s="17" t="s">
        <v>267</v>
      </c>
      <c r="V43" s="17" t="s">
        <v>268</v>
      </c>
      <c r="W43" s="47"/>
      <c r="X43" s="47"/>
      <c r="Y43" s="47"/>
      <c r="Z43" s="47"/>
      <c r="AA43" s="47"/>
      <c r="AB43" s="47"/>
    </row>
    <row r="44" spans="1:28" ht="32.25" customHeight="1">
      <c r="A44" s="43"/>
      <c r="B44" s="43"/>
      <c r="C44" s="13" t="s">
        <v>269</v>
      </c>
      <c r="D44" s="46"/>
      <c r="E44" s="14" t="s">
        <v>24</v>
      </c>
      <c r="F44" s="14">
        <f t="shared" si="3"/>
        <v>3</v>
      </c>
      <c r="G44" s="14" t="s">
        <v>24</v>
      </c>
      <c r="H44" s="14">
        <f t="shared" si="4"/>
        <v>3</v>
      </c>
      <c r="I44" s="14" t="s">
        <v>24</v>
      </c>
      <c r="J44" s="14">
        <f t="shared" si="5"/>
        <v>3</v>
      </c>
      <c r="K44" s="14" t="s">
        <v>24</v>
      </c>
      <c r="L44" s="14">
        <f t="shared" si="0"/>
        <v>3</v>
      </c>
      <c r="M44" s="15" t="s">
        <v>24</v>
      </c>
      <c r="N44" s="14">
        <f t="shared" si="1"/>
        <v>3</v>
      </c>
      <c r="O44" s="15" t="s">
        <v>24</v>
      </c>
      <c r="P44" s="14">
        <f t="shared" si="2"/>
        <v>3</v>
      </c>
      <c r="Q44" s="16" t="s">
        <v>270</v>
      </c>
      <c r="R44" s="16" t="s">
        <v>271</v>
      </c>
      <c r="S44" s="16" t="s">
        <v>83</v>
      </c>
      <c r="T44" s="16" t="s">
        <v>272</v>
      </c>
      <c r="U44" s="17" t="s">
        <v>273</v>
      </c>
      <c r="V44" s="17" t="s">
        <v>274</v>
      </c>
      <c r="W44" s="47"/>
      <c r="X44" s="47"/>
      <c r="Y44" s="47"/>
      <c r="Z44" s="47"/>
      <c r="AA44" s="47"/>
      <c r="AB44" s="47"/>
    </row>
    <row r="45" spans="1:28" ht="32.25" customHeight="1">
      <c r="A45" s="43"/>
      <c r="B45" s="43"/>
      <c r="C45" s="13" t="s">
        <v>275</v>
      </c>
      <c r="D45" s="46"/>
      <c r="E45" s="14" t="s">
        <v>24</v>
      </c>
      <c r="F45" s="14">
        <f t="shared" si="3"/>
        <v>3</v>
      </c>
      <c r="G45" s="14" t="s">
        <v>24</v>
      </c>
      <c r="H45" s="14">
        <f t="shared" si="4"/>
        <v>3</v>
      </c>
      <c r="I45" s="14" t="s">
        <v>24</v>
      </c>
      <c r="J45" s="14">
        <f t="shared" si="5"/>
        <v>3</v>
      </c>
      <c r="K45" s="14" t="s">
        <v>31</v>
      </c>
      <c r="L45" s="14">
        <f t="shared" si="0"/>
        <v>1</v>
      </c>
      <c r="M45" s="15" t="s">
        <v>24</v>
      </c>
      <c r="N45" s="14">
        <f t="shared" si="1"/>
        <v>3</v>
      </c>
      <c r="O45" s="15" t="s">
        <v>24</v>
      </c>
      <c r="P45" s="14">
        <f t="shared" si="2"/>
        <v>3</v>
      </c>
      <c r="Q45" s="16" t="s">
        <v>276</v>
      </c>
      <c r="R45" s="16" t="s">
        <v>277</v>
      </c>
      <c r="S45" s="16" t="s">
        <v>83</v>
      </c>
      <c r="T45" s="16" t="s">
        <v>181</v>
      </c>
      <c r="U45" s="17" t="s">
        <v>278</v>
      </c>
      <c r="V45" s="17" t="s">
        <v>279</v>
      </c>
      <c r="W45" s="47"/>
      <c r="X45" s="47"/>
      <c r="Y45" s="47"/>
      <c r="Z45" s="47"/>
      <c r="AA45" s="47"/>
      <c r="AB45" s="47"/>
    </row>
    <row r="46" spans="1:28" ht="43.2">
      <c r="A46" s="43"/>
      <c r="B46" s="43"/>
      <c r="C46" s="13" t="s">
        <v>280</v>
      </c>
      <c r="D46" s="46"/>
      <c r="E46" s="14" t="s">
        <v>24</v>
      </c>
      <c r="F46" s="14">
        <f t="shared" si="3"/>
        <v>3</v>
      </c>
      <c r="G46" s="14" t="s">
        <v>24</v>
      </c>
      <c r="H46" s="14">
        <f t="shared" si="4"/>
        <v>3</v>
      </c>
      <c r="I46" s="14" t="s">
        <v>24</v>
      </c>
      <c r="J46" s="14">
        <f t="shared" si="5"/>
        <v>3</v>
      </c>
      <c r="K46" s="14" t="s">
        <v>24</v>
      </c>
      <c r="L46" s="14">
        <f t="shared" si="0"/>
        <v>3</v>
      </c>
      <c r="M46" s="15" t="s">
        <v>24</v>
      </c>
      <c r="N46" s="14">
        <f t="shared" si="1"/>
        <v>3</v>
      </c>
      <c r="O46" s="15" t="s">
        <v>24</v>
      </c>
      <c r="P46" s="14">
        <f t="shared" si="2"/>
        <v>3</v>
      </c>
      <c r="Q46" s="16" t="s">
        <v>281</v>
      </c>
      <c r="R46" s="16" t="s">
        <v>282</v>
      </c>
      <c r="S46" s="16" t="s">
        <v>83</v>
      </c>
      <c r="T46" s="16" t="s">
        <v>283</v>
      </c>
      <c r="U46" s="17" t="s">
        <v>284</v>
      </c>
      <c r="V46" s="17" t="s">
        <v>285</v>
      </c>
      <c r="W46" s="47"/>
      <c r="X46" s="47"/>
      <c r="Y46" s="47"/>
      <c r="Z46" s="47"/>
      <c r="AA46" s="47"/>
      <c r="AB46" s="47"/>
    </row>
    <row r="47" spans="1:28" ht="32.25" customHeight="1">
      <c r="A47" s="43"/>
      <c r="B47" s="43"/>
      <c r="C47" s="13" t="s">
        <v>286</v>
      </c>
      <c r="D47" s="46"/>
      <c r="E47" s="14" t="s">
        <v>24</v>
      </c>
      <c r="F47" s="14">
        <f t="shared" si="3"/>
        <v>3</v>
      </c>
      <c r="G47" s="14" t="s">
        <v>24</v>
      </c>
      <c r="H47" s="14">
        <f t="shared" si="4"/>
        <v>3</v>
      </c>
      <c r="I47" s="14" t="s">
        <v>24</v>
      </c>
      <c r="J47" s="14">
        <f t="shared" si="5"/>
        <v>3</v>
      </c>
      <c r="K47" s="14" t="s">
        <v>24</v>
      </c>
      <c r="L47" s="14">
        <f t="shared" si="0"/>
        <v>3</v>
      </c>
      <c r="M47" s="15" t="s">
        <v>24</v>
      </c>
      <c r="N47" s="14">
        <f t="shared" si="1"/>
        <v>3</v>
      </c>
      <c r="O47" s="15" t="s">
        <v>24</v>
      </c>
      <c r="P47" s="14">
        <f t="shared" si="2"/>
        <v>3</v>
      </c>
      <c r="Q47" s="16" t="s">
        <v>287</v>
      </c>
      <c r="R47" s="16" t="s">
        <v>288</v>
      </c>
      <c r="S47" s="16"/>
      <c r="T47" s="16" t="s">
        <v>289</v>
      </c>
      <c r="U47" s="17" t="s">
        <v>290</v>
      </c>
      <c r="V47" s="17" t="s">
        <v>291</v>
      </c>
      <c r="W47" s="47"/>
      <c r="X47" s="47"/>
      <c r="Y47" s="47"/>
      <c r="Z47" s="47"/>
      <c r="AA47" s="47"/>
      <c r="AB47" s="47"/>
    </row>
    <row r="48" spans="1:28" ht="34.049999999999997" customHeight="1">
      <c r="A48" s="43"/>
      <c r="B48" s="43"/>
      <c r="C48" s="13" t="s">
        <v>292</v>
      </c>
      <c r="D48" s="46"/>
      <c r="E48" s="14" t="s">
        <v>24</v>
      </c>
      <c r="F48" s="14">
        <f t="shared" si="3"/>
        <v>3</v>
      </c>
      <c r="G48" s="14" t="s">
        <v>24</v>
      </c>
      <c r="H48" s="14">
        <f t="shared" si="4"/>
        <v>3</v>
      </c>
      <c r="I48" s="14" t="s">
        <v>24</v>
      </c>
      <c r="J48" s="14">
        <f t="shared" si="5"/>
        <v>3</v>
      </c>
      <c r="K48" s="14" t="s">
        <v>24</v>
      </c>
      <c r="L48" s="14">
        <f t="shared" si="0"/>
        <v>3</v>
      </c>
      <c r="M48" s="15" t="s">
        <v>24</v>
      </c>
      <c r="N48" s="14">
        <f t="shared" si="1"/>
        <v>3</v>
      </c>
      <c r="O48" s="15" t="s">
        <v>24</v>
      </c>
      <c r="P48" s="14">
        <f t="shared" si="2"/>
        <v>3</v>
      </c>
      <c r="Q48" s="16" t="s">
        <v>293</v>
      </c>
      <c r="R48" s="16" t="s">
        <v>294</v>
      </c>
      <c r="S48" s="16" t="s">
        <v>83</v>
      </c>
      <c r="T48" s="16" t="s">
        <v>295</v>
      </c>
      <c r="U48" s="17" t="s">
        <v>296</v>
      </c>
      <c r="V48" s="17" t="s">
        <v>297</v>
      </c>
      <c r="W48" s="47"/>
      <c r="X48" s="47"/>
      <c r="Y48" s="47"/>
      <c r="Z48" s="47"/>
      <c r="AA48" s="47"/>
      <c r="AB48" s="47"/>
    </row>
    <row r="49" spans="1:28" ht="34.049999999999997" customHeight="1">
      <c r="A49" s="43"/>
      <c r="B49" s="43"/>
      <c r="C49" s="13" t="s">
        <v>298</v>
      </c>
      <c r="D49" s="46"/>
      <c r="E49" s="14" t="s">
        <v>24</v>
      </c>
      <c r="F49" s="14">
        <f t="shared" si="3"/>
        <v>3</v>
      </c>
      <c r="G49" s="14" t="s">
        <v>24</v>
      </c>
      <c r="H49" s="14">
        <f t="shared" si="4"/>
        <v>3</v>
      </c>
      <c r="I49" s="14" t="s">
        <v>24</v>
      </c>
      <c r="J49" s="14">
        <f t="shared" si="5"/>
        <v>3</v>
      </c>
      <c r="K49" s="14" t="s">
        <v>24</v>
      </c>
      <c r="L49" s="14">
        <f t="shared" si="0"/>
        <v>3</v>
      </c>
      <c r="M49" s="15" t="s">
        <v>24</v>
      </c>
      <c r="N49" s="14">
        <f t="shared" si="1"/>
        <v>3</v>
      </c>
      <c r="O49" s="15" t="s">
        <v>24</v>
      </c>
      <c r="P49" s="14">
        <f t="shared" si="2"/>
        <v>3</v>
      </c>
      <c r="Q49" s="16" t="s">
        <v>299</v>
      </c>
      <c r="R49" s="16" t="s">
        <v>300</v>
      </c>
      <c r="S49" s="16" t="s">
        <v>83</v>
      </c>
      <c r="T49" s="16" t="s">
        <v>301</v>
      </c>
      <c r="U49" s="17" t="s">
        <v>302</v>
      </c>
      <c r="V49" s="17" t="s">
        <v>303</v>
      </c>
      <c r="W49" s="47"/>
      <c r="X49" s="47"/>
      <c r="Y49" s="47"/>
      <c r="Z49" s="47"/>
      <c r="AA49" s="47"/>
      <c r="AB49" s="47"/>
    </row>
    <row r="50" spans="1:28" ht="32.25" customHeight="1">
      <c r="A50" s="43"/>
      <c r="B50" s="43"/>
      <c r="C50" s="13" t="s">
        <v>304</v>
      </c>
      <c r="D50" s="46"/>
      <c r="E50" s="14" t="s">
        <v>24</v>
      </c>
      <c r="F50" s="14">
        <f t="shared" si="3"/>
        <v>3</v>
      </c>
      <c r="G50" s="14" t="s">
        <v>24</v>
      </c>
      <c r="H50" s="14">
        <f t="shared" si="4"/>
        <v>3</v>
      </c>
      <c r="I50" s="14" t="s">
        <v>24</v>
      </c>
      <c r="J50" s="14">
        <f t="shared" si="5"/>
        <v>3</v>
      </c>
      <c r="K50" s="14" t="s">
        <v>24</v>
      </c>
      <c r="L50" s="14">
        <f t="shared" si="0"/>
        <v>3</v>
      </c>
      <c r="M50" s="15" t="s">
        <v>24</v>
      </c>
      <c r="N50" s="14">
        <f t="shared" si="1"/>
        <v>3</v>
      </c>
      <c r="O50" s="15" t="s">
        <v>24</v>
      </c>
      <c r="P50" s="14">
        <f t="shared" si="2"/>
        <v>3</v>
      </c>
      <c r="Q50" s="16" t="s">
        <v>305</v>
      </c>
      <c r="R50" s="16" t="s">
        <v>306</v>
      </c>
      <c r="S50" s="16" t="s">
        <v>83</v>
      </c>
      <c r="T50" s="16" t="s">
        <v>194</v>
      </c>
      <c r="U50" s="17" t="s">
        <v>307</v>
      </c>
      <c r="V50" s="17" t="s">
        <v>308</v>
      </c>
      <c r="W50" s="47"/>
      <c r="X50" s="47"/>
      <c r="Y50" s="47"/>
      <c r="Z50" s="47"/>
      <c r="AA50" s="47"/>
      <c r="AB50" s="47"/>
    </row>
    <row r="51" spans="1:28" ht="32.25" customHeight="1">
      <c r="A51" s="43"/>
      <c r="B51" s="43"/>
      <c r="C51" s="13" t="s">
        <v>309</v>
      </c>
      <c r="D51" s="46"/>
      <c r="E51" s="14" t="s">
        <v>24</v>
      </c>
      <c r="F51" s="14">
        <f t="shared" si="3"/>
        <v>3</v>
      </c>
      <c r="G51" s="14" t="s">
        <v>24</v>
      </c>
      <c r="H51" s="14">
        <f t="shared" si="4"/>
        <v>3</v>
      </c>
      <c r="I51" s="14" t="s">
        <v>24</v>
      </c>
      <c r="J51" s="14">
        <f t="shared" si="5"/>
        <v>3</v>
      </c>
      <c r="K51" s="14" t="s">
        <v>31</v>
      </c>
      <c r="L51" s="14">
        <f t="shared" si="0"/>
        <v>1</v>
      </c>
      <c r="M51" s="15" t="s">
        <v>24</v>
      </c>
      <c r="N51" s="14">
        <f t="shared" si="1"/>
        <v>3</v>
      </c>
      <c r="O51" s="15" t="s">
        <v>24</v>
      </c>
      <c r="P51" s="14">
        <f t="shared" si="2"/>
        <v>3</v>
      </c>
      <c r="Q51" s="16" t="s">
        <v>310</v>
      </c>
      <c r="R51" s="16" t="s">
        <v>311</v>
      </c>
      <c r="S51" s="16"/>
      <c r="T51" s="16" t="s">
        <v>312</v>
      </c>
      <c r="U51" s="17" t="s">
        <v>313</v>
      </c>
      <c r="V51" s="17" t="s">
        <v>314</v>
      </c>
      <c r="W51" s="47"/>
      <c r="X51" s="47"/>
      <c r="Y51" s="47"/>
      <c r="Z51" s="47"/>
      <c r="AA51" s="47"/>
      <c r="AB51" s="47"/>
    </row>
    <row r="52" spans="1:28" ht="32.25" customHeight="1">
      <c r="A52" s="43"/>
      <c r="B52" s="43"/>
      <c r="C52" s="13" t="s">
        <v>315</v>
      </c>
      <c r="D52" s="46"/>
      <c r="E52" s="14" t="s">
        <v>24</v>
      </c>
      <c r="F52" s="14">
        <f t="shared" si="3"/>
        <v>3</v>
      </c>
      <c r="G52" s="14" t="s">
        <v>31</v>
      </c>
      <c r="H52" s="14">
        <f t="shared" si="4"/>
        <v>1</v>
      </c>
      <c r="I52" s="14" t="s">
        <v>24</v>
      </c>
      <c r="J52" s="14">
        <f t="shared" si="5"/>
        <v>3</v>
      </c>
      <c r="K52" s="14" t="s">
        <v>31</v>
      </c>
      <c r="L52" s="14">
        <f t="shared" si="0"/>
        <v>1</v>
      </c>
      <c r="M52" s="15" t="s">
        <v>24</v>
      </c>
      <c r="N52" s="14">
        <f t="shared" si="1"/>
        <v>3</v>
      </c>
      <c r="O52" s="15" t="s">
        <v>24</v>
      </c>
      <c r="P52" s="14">
        <f t="shared" si="2"/>
        <v>3</v>
      </c>
      <c r="Q52" s="16" t="s">
        <v>316</v>
      </c>
      <c r="R52" s="16" t="s">
        <v>317</v>
      </c>
      <c r="S52" s="16"/>
      <c r="T52" s="16" t="s">
        <v>318</v>
      </c>
      <c r="U52" s="17" t="s">
        <v>319</v>
      </c>
      <c r="V52" s="17" t="s">
        <v>320</v>
      </c>
      <c r="W52" s="47"/>
      <c r="X52" s="47"/>
      <c r="Y52" s="47"/>
      <c r="Z52" s="47"/>
      <c r="AA52" s="47"/>
      <c r="AB52" s="47"/>
    </row>
    <row r="53" spans="1:28" ht="34.049999999999997" customHeight="1">
      <c r="A53" s="43"/>
      <c r="B53" s="43"/>
      <c r="C53" s="13" t="s">
        <v>321</v>
      </c>
      <c r="D53" s="46"/>
      <c r="E53" s="14" t="s">
        <v>24</v>
      </c>
      <c r="F53" s="14">
        <f t="shared" si="3"/>
        <v>3</v>
      </c>
      <c r="G53" s="14" t="s">
        <v>24</v>
      </c>
      <c r="H53" s="14">
        <f t="shared" si="4"/>
        <v>3</v>
      </c>
      <c r="I53" s="14" t="s">
        <v>24</v>
      </c>
      <c r="J53" s="14">
        <f t="shared" si="5"/>
        <v>3</v>
      </c>
      <c r="K53" s="14" t="s">
        <v>31</v>
      </c>
      <c r="L53" s="14">
        <f t="shared" si="0"/>
        <v>1</v>
      </c>
      <c r="M53" s="15" t="s">
        <v>24</v>
      </c>
      <c r="N53" s="14">
        <f t="shared" si="1"/>
        <v>3</v>
      </c>
      <c r="O53" s="15" t="s">
        <v>24</v>
      </c>
      <c r="P53" s="14">
        <f t="shared" si="2"/>
        <v>3</v>
      </c>
      <c r="Q53" s="16" t="s">
        <v>322</v>
      </c>
      <c r="R53" s="16" t="s">
        <v>323</v>
      </c>
      <c r="S53" s="16" t="s">
        <v>83</v>
      </c>
      <c r="T53" s="16" t="s">
        <v>295</v>
      </c>
      <c r="U53" s="17" t="s">
        <v>324</v>
      </c>
      <c r="V53" s="17" t="s">
        <v>325</v>
      </c>
      <c r="W53" s="47"/>
      <c r="X53" s="47"/>
      <c r="Y53" s="47"/>
      <c r="Z53" s="47"/>
      <c r="AA53" s="47"/>
      <c r="AB53" s="47"/>
    </row>
    <row r="54" spans="1:28" ht="32.25" customHeight="1">
      <c r="A54" s="43"/>
      <c r="B54" s="43"/>
      <c r="C54" s="13" t="s">
        <v>326</v>
      </c>
      <c r="D54" s="46"/>
      <c r="E54" s="14" t="s">
        <v>24</v>
      </c>
      <c r="F54" s="14">
        <f t="shared" si="3"/>
        <v>3</v>
      </c>
      <c r="G54" s="14" t="s">
        <v>24</v>
      </c>
      <c r="H54" s="14">
        <f t="shared" si="4"/>
        <v>3</v>
      </c>
      <c r="I54" s="14" t="s">
        <v>24</v>
      </c>
      <c r="J54" s="14">
        <f t="shared" si="5"/>
        <v>3</v>
      </c>
      <c r="K54" s="14" t="s">
        <v>31</v>
      </c>
      <c r="L54" s="14">
        <f t="shared" si="0"/>
        <v>1</v>
      </c>
      <c r="M54" s="15" t="s">
        <v>24</v>
      </c>
      <c r="N54" s="14">
        <f t="shared" si="1"/>
        <v>3</v>
      </c>
      <c r="O54" s="15" t="s">
        <v>24</v>
      </c>
      <c r="P54" s="14">
        <f t="shared" si="2"/>
        <v>3</v>
      </c>
      <c r="Q54" s="16" t="s">
        <v>327</v>
      </c>
      <c r="R54" s="16" t="s">
        <v>328</v>
      </c>
      <c r="S54" s="16" t="s">
        <v>83</v>
      </c>
      <c r="T54" s="16" t="s">
        <v>249</v>
      </c>
      <c r="U54" s="17" t="s">
        <v>329</v>
      </c>
      <c r="V54" s="17" t="s">
        <v>329</v>
      </c>
      <c r="W54" s="47"/>
      <c r="X54" s="47"/>
      <c r="Y54" s="47"/>
      <c r="Z54" s="47"/>
      <c r="AA54" s="47"/>
      <c r="AB54" s="47"/>
    </row>
    <row r="55" spans="1:28" ht="18.45" customHeight="1">
      <c r="A55" s="43"/>
      <c r="B55" s="43"/>
      <c r="C55" s="13" t="s">
        <v>330</v>
      </c>
      <c r="D55" s="46"/>
      <c r="E55" s="14" t="s">
        <v>24</v>
      </c>
      <c r="F55" s="14">
        <f t="shared" si="3"/>
        <v>3</v>
      </c>
      <c r="G55" s="14" t="s">
        <v>31</v>
      </c>
      <c r="H55" s="14">
        <f t="shared" si="4"/>
        <v>1</v>
      </c>
      <c r="I55" s="14" t="s">
        <v>24</v>
      </c>
      <c r="J55" s="14">
        <f t="shared" si="5"/>
        <v>3</v>
      </c>
      <c r="K55" s="14" t="s">
        <v>24</v>
      </c>
      <c r="L55" s="14">
        <f t="shared" si="0"/>
        <v>3</v>
      </c>
      <c r="M55" s="15" t="s">
        <v>24</v>
      </c>
      <c r="N55" s="14">
        <f t="shared" si="1"/>
        <v>3</v>
      </c>
      <c r="O55" s="15" t="s">
        <v>24</v>
      </c>
      <c r="P55" s="14">
        <f t="shared" si="2"/>
        <v>3</v>
      </c>
      <c r="Q55" s="16" t="s">
        <v>331</v>
      </c>
      <c r="R55" s="16" t="s">
        <v>332</v>
      </c>
      <c r="S55" s="16" t="s">
        <v>83</v>
      </c>
      <c r="T55" s="16" t="s">
        <v>181</v>
      </c>
      <c r="U55" s="17" t="s">
        <v>333</v>
      </c>
      <c r="V55" s="17" t="s">
        <v>334</v>
      </c>
      <c r="W55" s="47"/>
      <c r="X55" s="47"/>
      <c r="Y55" s="47"/>
      <c r="Z55" s="47"/>
      <c r="AA55" s="47"/>
      <c r="AB55" s="47"/>
    </row>
    <row r="56" spans="1:28" ht="63.75" customHeight="1">
      <c r="A56" s="43"/>
      <c r="B56" s="43"/>
      <c r="C56" s="13" t="s">
        <v>335</v>
      </c>
      <c r="D56" s="46"/>
      <c r="E56" s="20" t="s">
        <v>31</v>
      </c>
      <c r="F56" s="14">
        <f t="shared" si="3"/>
        <v>1</v>
      </c>
      <c r="G56" s="14" t="s">
        <v>31</v>
      </c>
      <c r="H56" s="14">
        <f t="shared" si="4"/>
        <v>1</v>
      </c>
      <c r="I56" s="14" t="s">
        <v>24</v>
      </c>
      <c r="J56" s="14">
        <f t="shared" si="5"/>
        <v>3</v>
      </c>
      <c r="K56" s="14" t="s">
        <v>31</v>
      </c>
      <c r="L56" s="14">
        <f t="shared" si="0"/>
        <v>1</v>
      </c>
      <c r="M56" s="15" t="s">
        <v>24</v>
      </c>
      <c r="N56" s="14">
        <f t="shared" si="1"/>
        <v>3</v>
      </c>
      <c r="O56" s="15" t="s">
        <v>24</v>
      </c>
      <c r="P56" s="14">
        <f t="shared" si="2"/>
        <v>3</v>
      </c>
      <c r="Q56" s="16" t="s">
        <v>336</v>
      </c>
      <c r="R56" s="16" t="s">
        <v>337</v>
      </c>
      <c r="S56" s="16"/>
      <c r="T56" s="16" t="s">
        <v>338</v>
      </c>
      <c r="U56" s="17" t="s">
        <v>339</v>
      </c>
      <c r="V56" s="17" t="s">
        <v>340</v>
      </c>
      <c r="W56" s="47"/>
      <c r="X56" s="47"/>
      <c r="Y56" s="47"/>
      <c r="Z56" s="47"/>
      <c r="AA56" s="47"/>
      <c r="AB56" s="47"/>
    </row>
    <row r="57" spans="1:28" ht="85.5" customHeight="1">
      <c r="A57" s="44"/>
      <c r="B57" s="44"/>
      <c r="C57" s="13" t="s">
        <v>341</v>
      </c>
      <c r="D57" s="46"/>
      <c r="E57" s="14" t="s">
        <v>24</v>
      </c>
      <c r="F57" s="14">
        <f t="shared" si="3"/>
        <v>3</v>
      </c>
      <c r="G57" s="14" t="s">
        <v>24</v>
      </c>
      <c r="H57" s="14">
        <f t="shared" si="4"/>
        <v>3</v>
      </c>
      <c r="I57" s="14" t="s">
        <v>24</v>
      </c>
      <c r="J57" s="14">
        <f t="shared" si="5"/>
        <v>3</v>
      </c>
      <c r="K57" s="14" t="s">
        <v>31</v>
      </c>
      <c r="L57" s="14">
        <f t="shared" si="0"/>
        <v>1</v>
      </c>
      <c r="M57" s="15" t="s">
        <v>24</v>
      </c>
      <c r="N57" s="14">
        <f t="shared" si="1"/>
        <v>3</v>
      </c>
      <c r="O57" s="15" t="s">
        <v>24</v>
      </c>
      <c r="P57" s="14">
        <f t="shared" si="2"/>
        <v>3</v>
      </c>
      <c r="Q57" s="16" t="s">
        <v>342</v>
      </c>
      <c r="R57" s="16" t="s">
        <v>343</v>
      </c>
      <c r="S57" s="16"/>
      <c r="T57" s="16" t="s">
        <v>344</v>
      </c>
      <c r="U57" s="17" t="s">
        <v>345</v>
      </c>
      <c r="V57" s="17" t="s">
        <v>346</v>
      </c>
      <c r="W57" s="48"/>
      <c r="X57" s="48"/>
      <c r="Y57" s="48"/>
      <c r="Z57" s="48"/>
      <c r="AA57" s="48"/>
      <c r="AB57" s="48"/>
    </row>
    <row r="58" spans="1:28" ht="32.25" customHeight="1">
      <c r="A58" s="52">
        <v>6</v>
      </c>
      <c r="B58" s="53" t="s">
        <v>347</v>
      </c>
      <c r="C58" s="13" t="s">
        <v>348</v>
      </c>
      <c r="D58" s="54">
        <v>0.1</v>
      </c>
      <c r="E58" s="14" t="s">
        <v>24</v>
      </c>
      <c r="F58" s="14">
        <f t="shared" si="3"/>
        <v>3</v>
      </c>
      <c r="G58" s="14" t="s">
        <v>24</v>
      </c>
      <c r="H58" s="14">
        <f t="shared" si="4"/>
        <v>3</v>
      </c>
      <c r="I58" s="14" t="s">
        <v>24</v>
      </c>
      <c r="J58" s="14">
        <f t="shared" si="5"/>
        <v>3</v>
      </c>
      <c r="K58" s="14" t="s">
        <v>24</v>
      </c>
      <c r="L58" s="14">
        <f t="shared" si="0"/>
        <v>3</v>
      </c>
      <c r="M58" s="15" t="s">
        <v>24</v>
      </c>
      <c r="N58" s="14">
        <f t="shared" si="1"/>
        <v>3</v>
      </c>
      <c r="O58" s="15" t="s">
        <v>24</v>
      </c>
      <c r="P58" s="14">
        <f t="shared" si="2"/>
        <v>3</v>
      </c>
      <c r="Q58" s="16" t="s">
        <v>349</v>
      </c>
      <c r="R58" s="16" t="s">
        <v>350</v>
      </c>
      <c r="S58" s="16" t="s">
        <v>83</v>
      </c>
      <c r="T58" s="16" t="s">
        <v>295</v>
      </c>
      <c r="U58" s="17" t="s">
        <v>351</v>
      </c>
      <c r="V58" s="17" t="s">
        <v>352</v>
      </c>
      <c r="W58" s="54">
        <f>AVERAGE(F58:F75)*$D58/3</f>
        <v>0.10000000000000002</v>
      </c>
      <c r="X58" s="54">
        <f>AVERAGE(H58:H75)*$D58/3</f>
        <v>7.9629629629629634E-2</v>
      </c>
      <c r="Y58" s="54">
        <f>AVERAGE(J58:J75)*$D58/3</f>
        <v>9.629629629629631E-2</v>
      </c>
      <c r="Z58" s="54">
        <f>AVERAGE(L58:L75)*$D58/3</f>
        <v>6.2962962962962957E-2</v>
      </c>
      <c r="AA58" s="54">
        <f>AVERAGE(N58:N75)*$D58/3</f>
        <v>0.10000000000000002</v>
      </c>
      <c r="AB58" s="54">
        <f>AVERAGE(P58:P75)*$D58/3</f>
        <v>9.629629629629631E-2</v>
      </c>
    </row>
    <row r="59" spans="1:28" ht="32.25" customHeight="1">
      <c r="A59" s="43"/>
      <c r="B59" s="43"/>
      <c r="C59" s="13" t="s">
        <v>353</v>
      </c>
      <c r="D59" s="54"/>
      <c r="E59" s="14" t="s">
        <v>24</v>
      </c>
      <c r="F59" s="14">
        <f t="shared" si="3"/>
        <v>3</v>
      </c>
      <c r="G59" s="14" t="s">
        <v>24</v>
      </c>
      <c r="H59" s="14">
        <f t="shared" si="4"/>
        <v>3</v>
      </c>
      <c r="I59" s="14" t="s">
        <v>24</v>
      </c>
      <c r="J59" s="14">
        <f t="shared" si="5"/>
        <v>3</v>
      </c>
      <c r="K59" s="14" t="s">
        <v>24</v>
      </c>
      <c r="L59" s="14">
        <f t="shared" si="0"/>
        <v>3</v>
      </c>
      <c r="M59" s="15" t="s">
        <v>24</v>
      </c>
      <c r="N59" s="14">
        <f t="shared" si="1"/>
        <v>3</v>
      </c>
      <c r="O59" s="15" t="s">
        <v>24</v>
      </c>
      <c r="P59" s="14">
        <f t="shared" si="2"/>
        <v>3</v>
      </c>
      <c r="Q59" s="16" t="s">
        <v>354</v>
      </c>
      <c r="R59" s="16" t="s">
        <v>355</v>
      </c>
      <c r="S59" s="16" t="s">
        <v>83</v>
      </c>
      <c r="T59" s="16" t="s">
        <v>181</v>
      </c>
      <c r="U59" s="17" t="s">
        <v>356</v>
      </c>
      <c r="V59" s="17" t="s">
        <v>356</v>
      </c>
      <c r="W59" s="47"/>
      <c r="X59" s="47"/>
      <c r="Y59" s="47"/>
      <c r="Z59" s="47"/>
      <c r="AA59" s="47"/>
      <c r="AB59" s="47"/>
    </row>
    <row r="60" spans="1:28" ht="34.049999999999997" customHeight="1">
      <c r="A60" s="43"/>
      <c r="B60" s="43"/>
      <c r="C60" s="13" t="s">
        <v>357</v>
      </c>
      <c r="D60" s="54"/>
      <c r="E60" s="14" t="s">
        <v>24</v>
      </c>
      <c r="F60" s="14">
        <f t="shared" si="3"/>
        <v>3</v>
      </c>
      <c r="G60" s="14" t="s">
        <v>24</v>
      </c>
      <c r="H60" s="14">
        <f t="shared" si="4"/>
        <v>3</v>
      </c>
      <c r="I60" s="14" t="s">
        <v>24</v>
      </c>
      <c r="J60" s="14">
        <f t="shared" si="5"/>
        <v>3</v>
      </c>
      <c r="K60" s="14" t="s">
        <v>24</v>
      </c>
      <c r="L60" s="14">
        <f t="shared" si="0"/>
        <v>3</v>
      </c>
      <c r="M60" s="15" t="s">
        <v>24</v>
      </c>
      <c r="N60" s="14">
        <f t="shared" si="1"/>
        <v>3</v>
      </c>
      <c r="O60" s="15" t="s">
        <v>24</v>
      </c>
      <c r="P60" s="14">
        <f t="shared" si="2"/>
        <v>3</v>
      </c>
      <c r="Q60" s="16" t="s">
        <v>358</v>
      </c>
      <c r="R60" s="16" t="s">
        <v>359</v>
      </c>
      <c r="S60" s="16" t="s">
        <v>83</v>
      </c>
      <c r="T60" s="16" t="s">
        <v>360</v>
      </c>
      <c r="U60" s="17" t="s">
        <v>361</v>
      </c>
      <c r="V60" s="17" t="s">
        <v>362</v>
      </c>
      <c r="W60" s="47"/>
      <c r="X60" s="47"/>
      <c r="Y60" s="47"/>
      <c r="Z60" s="47"/>
      <c r="AA60" s="47"/>
      <c r="AB60" s="47"/>
    </row>
    <row r="61" spans="1:28" ht="34.049999999999997" customHeight="1">
      <c r="A61" s="43"/>
      <c r="B61" s="43"/>
      <c r="C61" s="13" t="s">
        <v>363</v>
      </c>
      <c r="D61" s="54"/>
      <c r="E61" s="14" t="s">
        <v>24</v>
      </c>
      <c r="F61" s="14">
        <f t="shared" si="3"/>
        <v>3</v>
      </c>
      <c r="G61" s="14" t="s">
        <v>24</v>
      </c>
      <c r="H61" s="14">
        <f t="shared" si="4"/>
        <v>3</v>
      </c>
      <c r="I61" s="14" t="s">
        <v>24</v>
      </c>
      <c r="J61" s="14">
        <f t="shared" si="5"/>
        <v>3</v>
      </c>
      <c r="K61" s="14" t="s">
        <v>31</v>
      </c>
      <c r="L61" s="14">
        <f t="shared" si="0"/>
        <v>1</v>
      </c>
      <c r="M61" s="15" t="s">
        <v>24</v>
      </c>
      <c r="N61" s="14">
        <f t="shared" si="1"/>
        <v>3</v>
      </c>
      <c r="O61" s="15" t="s">
        <v>24</v>
      </c>
      <c r="P61" s="14">
        <f t="shared" si="2"/>
        <v>3</v>
      </c>
      <c r="Q61" s="16" t="s">
        <v>364</v>
      </c>
      <c r="R61" s="16" t="s">
        <v>365</v>
      </c>
      <c r="S61" s="16" t="s">
        <v>83</v>
      </c>
      <c r="T61" s="16" t="s">
        <v>366</v>
      </c>
      <c r="U61" s="17" t="s">
        <v>367</v>
      </c>
      <c r="V61" s="17" t="s">
        <v>368</v>
      </c>
      <c r="W61" s="47"/>
      <c r="X61" s="47"/>
      <c r="Y61" s="47"/>
      <c r="Z61" s="47"/>
      <c r="AA61" s="47"/>
      <c r="AB61" s="47"/>
    </row>
    <row r="62" spans="1:28" ht="34.049999999999997" customHeight="1">
      <c r="A62" s="43"/>
      <c r="B62" s="43"/>
      <c r="C62" s="13" t="s">
        <v>369</v>
      </c>
      <c r="D62" s="54"/>
      <c r="E62" s="14" t="s">
        <v>24</v>
      </c>
      <c r="F62" s="14">
        <f t="shared" si="3"/>
        <v>3</v>
      </c>
      <c r="G62" s="14" t="s">
        <v>24</v>
      </c>
      <c r="H62" s="14">
        <f t="shared" si="4"/>
        <v>3</v>
      </c>
      <c r="I62" s="14" t="s">
        <v>24</v>
      </c>
      <c r="J62" s="14">
        <f t="shared" si="5"/>
        <v>3</v>
      </c>
      <c r="K62" s="14" t="s">
        <v>31</v>
      </c>
      <c r="L62" s="14">
        <f t="shared" si="0"/>
        <v>1</v>
      </c>
      <c r="M62" s="15" t="s">
        <v>24</v>
      </c>
      <c r="N62" s="14">
        <f t="shared" si="1"/>
        <v>3</v>
      </c>
      <c r="O62" s="15" t="s">
        <v>24</v>
      </c>
      <c r="P62" s="14">
        <f t="shared" si="2"/>
        <v>3</v>
      </c>
      <c r="Q62" s="16" t="s">
        <v>370</v>
      </c>
      <c r="R62" s="16" t="s">
        <v>371</v>
      </c>
      <c r="S62" s="16" t="s">
        <v>83</v>
      </c>
      <c r="T62" s="16" t="s">
        <v>181</v>
      </c>
      <c r="U62" s="17" t="s">
        <v>372</v>
      </c>
      <c r="V62" s="17" t="s">
        <v>373</v>
      </c>
      <c r="W62" s="47"/>
      <c r="X62" s="47"/>
      <c r="Y62" s="47"/>
      <c r="Z62" s="47"/>
      <c r="AA62" s="47"/>
      <c r="AB62" s="47"/>
    </row>
    <row r="63" spans="1:28" ht="34.049999999999997" customHeight="1">
      <c r="A63" s="43"/>
      <c r="B63" s="43"/>
      <c r="C63" s="13" t="s">
        <v>374</v>
      </c>
      <c r="D63" s="54"/>
      <c r="E63" s="14" t="s">
        <v>24</v>
      </c>
      <c r="F63" s="14">
        <f t="shared" si="3"/>
        <v>3</v>
      </c>
      <c r="G63" s="14" t="s">
        <v>24</v>
      </c>
      <c r="H63" s="14">
        <f t="shared" si="4"/>
        <v>3</v>
      </c>
      <c r="I63" s="14" t="s">
        <v>24</v>
      </c>
      <c r="J63" s="14">
        <f t="shared" si="5"/>
        <v>3</v>
      </c>
      <c r="K63" s="14" t="s">
        <v>24</v>
      </c>
      <c r="L63" s="14">
        <f t="shared" si="0"/>
        <v>3</v>
      </c>
      <c r="M63" s="15" t="s">
        <v>24</v>
      </c>
      <c r="N63" s="14">
        <f t="shared" si="1"/>
        <v>3</v>
      </c>
      <c r="O63" s="15" t="s">
        <v>24</v>
      </c>
      <c r="P63" s="14">
        <f t="shared" si="2"/>
        <v>3</v>
      </c>
      <c r="Q63" s="16" t="s">
        <v>375</v>
      </c>
      <c r="R63" s="16" t="s">
        <v>376</v>
      </c>
      <c r="S63" s="16" t="s">
        <v>83</v>
      </c>
      <c r="T63" s="16" t="s">
        <v>194</v>
      </c>
      <c r="U63" s="17" t="s">
        <v>377</v>
      </c>
      <c r="V63" s="17" t="s">
        <v>377</v>
      </c>
      <c r="W63" s="47"/>
      <c r="X63" s="47"/>
      <c r="Y63" s="47"/>
      <c r="Z63" s="47"/>
      <c r="AA63" s="47"/>
      <c r="AB63" s="47"/>
    </row>
    <row r="64" spans="1:28" ht="32.25" customHeight="1">
      <c r="A64" s="43"/>
      <c r="B64" s="43"/>
      <c r="C64" s="13" t="s">
        <v>378</v>
      </c>
      <c r="D64" s="54"/>
      <c r="E64" s="14" t="s">
        <v>24</v>
      </c>
      <c r="F64" s="14">
        <f t="shared" si="3"/>
        <v>3</v>
      </c>
      <c r="G64" s="14" t="s">
        <v>24</v>
      </c>
      <c r="H64" s="14">
        <f t="shared" si="4"/>
        <v>3</v>
      </c>
      <c r="I64" s="14" t="s">
        <v>24</v>
      </c>
      <c r="J64" s="14">
        <f t="shared" si="5"/>
        <v>3</v>
      </c>
      <c r="K64" s="14" t="s">
        <v>31</v>
      </c>
      <c r="L64" s="14">
        <f t="shared" si="0"/>
        <v>1</v>
      </c>
      <c r="M64" s="15" t="s">
        <v>24</v>
      </c>
      <c r="N64" s="14">
        <f t="shared" si="1"/>
        <v>3</v>
      </c>
      <c r="O64" s="15" t="s">
        <v>24</v>
      </c>
      <c r="P64" s="14">
        <f t="shared" si="2"/>
        <v>3</v>
      </c>
      <c r="Q64" s="16" t="s">
        <v>379</v>
      </c>
      <c r="R64" s="16" t="s">
        <v>380</v>
      </c>
      <c r="S64" s="16" t="s">
        <v>83</v>
      </c>
      <c r="T64" s="16" t="s">
        <v>249</v>
      </c>
      <c r="U64" s="17" t="s">
        <v>381</v>
      </c>
      <c r="V64" s="17" t="s">
        <v>382</v>
      </c>
      <c r="W64" s="47"/>
      <c r="X64" s="47"/>
      <c r="Y64" s="47"/>
      <c r="Z64" s="47"/>
      <c r="AA64" s="47"/>
      <c r="AB64" s="47"/>
    </row>
    <row r="65" spans="1:28" ht="32.25" customHeight="1">
      <c r="A65" s="43"/>
      <c r="B65" s="43"/>
      <c r="C65" s="13" t="s">
        <v>383</v>
      </c>
      <c r="D65" s="54"/>
      <c r="E65" s="14" t="s">
        <v>24</v>
      </c>
      <c r="F65" s="14">
        <f t="shared" si="3"/>
        <v>3</v>
      </c>
      <c r="G65" s="14" t="s">
        <v>31</v>
      </c>
      <c r="H65" s="14">
        <f t="shared" si="4"/>
        <v>1</v>
      </c>
      <c r="I65" s="14" t="s">
        <v>24</v>
      </c>
      <c r="J65" s="14">
        <f t="shared" si="5"/>
        <v>3</v>
      </c>
      <c r="K65" s="14" t="s">
        <v>31</v>
      </c>
      <c r="L65" s="14">
        <f t="shared" si="0"/>
        <v>1</v>
      </c>
      <c r="M65" s="15" t="s">
        <v>24</v>
      </c>
      <c r="N65" s="14">
        <f t="shared" si="1"/>
        <v>3</v>
      </c>
      <c r="O65" s="15" t="s">
        <v>24</v>
      </c>
      <c r="P65" s="14">
        <f t="shared" si="2"/>
        <v>3</v>
      </c>
      <c r="Q65" s="16" t="s">
        <v>384</v>
      </c>
      <c r="R65" s="16" t="s">
        <v>385</v>
      </c>
      <c r="S65" s="16"/>
      <c r="T65" s="16" t="s">
        <v>386</v>
      </c>
      <c r="U65" s="17" t="s">
        <v>387</v>
      </c>
      <c r="V65" s="17" t="s">
        <v>388</v>
      </c>
      <c r="W65" s="47"/>
      <c r="X65" s="47"/>
      <c r="Y65" s="47"/>
      <c r="Z65" s="47"/>
      <c r="AA65" s="47"/>
      <c r="AB65" s="47"/>
    </row>
    <row r="66" spans="1:28" ht="32.25" customHeight="1">
      <c r="A66" s="43"/>
      <c r="B66" s="43"/>
      <c r="C66" s="13" t="s">
        <v>389</v>
      </c>
      <c r="D66" s="54"/>
      <c r="E66" s="14" t="s">
        <v>24</v>
      </c>
      <c r="F66" s="14">
        <f t="shared" si="3"/>
        <v>3</v>
      </c>
      <c r="G66" s="14" t="s">
        <v>24</v>
      </c>
      <c r="H66" s="14">
        <f t="shared" si="4"/>
        <v>3</v>
      </c>
      <c r="I66" s="14" t="s">
        <v>24</v>
      </c>
      <c r="J66" s="14">
        <f t="shared" si="5"/>
        <v>3</v>
      </c>
      <c r="K66" s="14" t="s">
        <v>31</v>
      </c>
      <c r="L66" s="14">
        <f t="shared" si="0"/>
        <v>1</v>
      </c>
      <c r="M66" s="15" t="s">
        <v>24</v>
      </c>
      <c r="N66" s="14">
        <f t="shared" si="1"/>
        <v>3</v>
      </c>
      <c r="O66" s="15" t="s">
        <v>24</v>
      </c>
      <c r="P66" s="14">
        <f t="shared" si="2"/>
        <v>3</v>
      </c>
      <c r="Q66" s="16" t="s">
        <v>390</v>
      </c>
      <c r="R66" s="16" t="s">
        <v>391</v>
      </c>
      <c r="S66" s="16" t="s">
        <v>83</v>
      </c>
      <c r="T66" s="16" t="s">
        <v>295</v>
      </c>
      <c r="U66" s="17" t="s">
        <v>392</v>
      </c>
      <c r="V66" s="17" t="s">
        <v>392</v>
      </c>
      <c r="W66" s="47"/>
      <c r="X66" s="47"/>
      <c r="Y66" s="47"/>
      <c r="Z66" s="47"/>
      <c r="AA66" s="47"/>
      <c r="AB66" s="47"/>
    </row>
    <row r="67" spans="1:28" ht="32.25" customHeight="1">
      <c r="A67" s="43"/>
      <c r="B67" s="43"/>
      <c r="C67" s="13" t="s">
        <v>393</v>
      </c>
      <c r="D67" s="54"/>
      <c r="E67" s="14" t="s">
        <v>24</v>
      </c>
      <c r="F67" s="14">
        <f t="shared" si="3"/>
        <v>3</v>
      </c>
      <c r="G67" s="14" t="s">
        <v>31</v>
      </c>
      <c r="H67" s="14">
        <f t="shared" si="4"/>
        <v>1</v>
      </c>
      <c r="I67" s="14" t="s">
        <v>24</v>
      </c>
      <c r="J67" s="14">
        <f t="shared" si="5"/>
        <v>3</v>
      </c>
      <c r="K67" s="14" t="s">
        <v>31</v>
      </c>
      <c r="L67" s="14">
        <f t="shared" ref="L67:L130" si="6">IF(K67="C",3,IF(K67="PC",1,IF(K67="NC",0,"")))</f>
        <v>1</v>
      </c>
      <c r="M67" s="15" t="s">
        <v>24</v>
      </c>
      <c r="N67" s="14">
        <f t="shared" ref="N67:N120" si="7">IF(M67="C",3,IF(M67="PC",1,IF(M67="NC",0,"")))</f>
        <v>3</v>
      </c>
      <c r="O67" s="15" t="s">
        <v>24</v>
      </c>
      <c r="P67" s="14">
        <f t="shared" ref="P67:P120" si="8">IF(O67="C",3,IF(O67="PC",1,IF(O67="NC",0,"")))</f>
        <v>3</v>
      </c>
      <c r="Q67" s="16" t="s">
        <v>394</v>
      </c>
      <c r="R67" s="16" t="s">
        <v>395</v>
      </c>
      <c r="S67" s="16" t="s">
        <v>83</v>
      </c>
      <c r="T67" s="16" t="s">
        <v>249</v>
      </c>
      <c r="U67" s="17" t="s">
        <v>396</v>
      </c>
      <c r="V67" s="17" t="s">
        <v>397</v>
      </c>
      <c r="W67" s="47"/>
      <c r="X67" s="47"/>
      <c r="Y67" s="47"/>
      <c r="Z67" s="47"/>
      <c r="AA67" s="47"/>
      <c r="AB67" s="47"/>
    </row>
    <row r="68" spans="1:28" ht="32.25" customHeight="1">
      <c r="A68" s="43"/>
      <c r="B68" s="43"/>
      <c r="C68" s="13" t="s">
        <v>398</v>
      </c>
      <c r="D68" s="54"/>
      <c r="E68" s="14" t="s">
        <v>24</v>
      </c>
      <c r="F68" s="14">
        <f t="shared" ref="F68:F101" si="9">IF(E68="C",3,IF(E68="PC",1,IF(E68="NC",0,"")))</f>
        <v>3</v>
      </c>
      <c r="G68" s="14" t="s">
        <v>148</v>
      </c>
      <c r="H68" s="14">
        <f t="shared" ref="H68:H131" si="10">IF(G68="C",3,IF(G68="PC",1,IF(G68="NC",0,"")))</f>
        <v>0</v>
      </c>
      <c r="I68" s="14" t="s">
        <v>24</v>
      </c>
      <c r="J68" s="14">
        <f t="shared" ref="J68:J131" si="11">IF(I68="C",3,IF(I68="PC",1,IF(I68="NC",0,"")))</f>
        <v>3</v>
      </c>
      <c r="K68" s="14" t="s">
        <v>24</v>
      </c>
      <c r="L68" s="14">
        <f t="shared" si="6"/>
        <v>3</v>
      </c>
      <c r="M68" s="15" t="s">
        <v>24</v>
      </c>
      <c r="N68" s="14">
        <f t="shared" si="7"/>
        <v>3</v>
      </c>
      <c r="O68" s="15" t="s">
        <v>24</v>
      </c>
      <c r="P68" s="14">
        <f t="shared" si="8"/>
        <v>3</v>
      </c>
      <c r="Q68" s="16" t="s">
        <v>399</v>
      </c>
      <c r="R68" s="16" t="s">
        <v>400</v>
      </c>
      <c r="S68" s="16" t="s">
        <v>83</v>
      </c>
      <c r="T68" s="16" t="s">
        <v>401</v>
      </c>
      <c r="U68" s="17" t="s">
        <v>402</v>
      </c>
      <c r="V68" s="17" t="s">
        <v>402</v>
      </c>
      <c r="W68" s="47"/>
      <c r="X68" s="47"/>
      <c r="Y68" s="47"/>
      <c r="Z68" s="47"/>
      <c r="AA68" s="47"/>
      <c r="AB68" s="47"/>
    </row>
    <row r="69" spans="1:28" ht="32.25" customHeight="1">
      <c r="A69" s="43"/>
      <c r="B69" s="43"/>
      <c r="C69" s="13" t="s">
        <v>403</v>
      </c>
      <c r="D69" s="54"/>
      <c r="E69" s="14" t="s">
        <v>24</v>
      </c>
      <c r="F69" s="14">
        <f t="shared" si="9"/>
        <v>3</v>
      </c>
      <c r="G69" s="14" t="s">
        <v>31</v>
      </c>
      <c r="H69" s="14">
        <f t="shared" si="10"/>
        <v>1</v>
      </c>
      <c r="I69" s="14" t="s">
        <v>24</v>
      </c>
      <c r="J69" s="14">
        <f t="shared" si="11"/>
        <v>3</v>
      </c>
      <c r="K69" s="14" t="s">
        <v>31</v>
      </c>
      <c r="L69" s="14">
        <f t="shared" si="6"/>
        <v>1</v>
      </c>
      <c r="M69" s="15" t="s">
        <v>24</v>
      </c>
      <c r="N69" s="14">
        <f t="shared" si="7"/>
        <v>3</v>
      </c>
      <c r="O69" s="15" t="s">
        <v>24</v>
      </c>
      <c r="P69" s="14">
        <f t="shared" si="8"/>
        <v>3</v>
      </c>
      <c r="Q69" s="16" t="s">
        <v>404</v>
      </c>
      <c r="R69" s="16" t="s">
        <v>405</v>
      </c>
      <c r="S69" s="16" t="s">
        <v>83</v>
      </c>
      <c r="T69" s="16" t="s">
        <v>181</v>
      </c>
      <c r="U69" s="17" t="s">
        <v>406</v>
      </c>
      <c r="V69" s="17" t="s">
        <v>406</v>
      </c>
      <c r="W69" s="47"/>
      <c r="X69" s="47"/>
      <c r="Y69" s="47"/>
      <c r="Z69" s="47"/>
      <c r="AA69" s="47"/>
      <c r="AB69" s="47"/>
    </row>
    <row r="70" spans="1:28" ht="32.25" customHeight="1">
      <c r="A70" s="43"/>
      <c r="B70" s="43"/>
      <c r="C70" s="13" t="s">
        <v>407</v>
      </c>
      <c r="D70" s="54"/>
      <c r="E70" s="14" t="s">
        <v>24</v>
      </c>
      <c r="F70" s="14">
        <f t="shared" si="9"/>
        <v>3</v>
      </c>
      <c r="G70" s="14" t="s">
        <v>24</v>
      </c>
      <c r="H70" s="14">
        <f t="shared" si="10"/>
        <v>3</v>
      </c>
      <c r="I70" s="14" t="s">
        <v>24</v>
      </c>
      <c r="J70" s="14">
        <f t="shared" si="11"/>
        <v>3</v>
      </c>
      <c r="K70" s="14" t="s">
        <v>24</v>
      </c>
      <c r="L70" s="14">
        <f t="shared" si="6"/>
        <v>3</v>
      </c>
      <c r="M70" s="15" t="s">
        <v>24</v>
      </c>
      <c r="N70" s="14">
        <f t="shared" si="7"/>
        <v>3</v>
      </c>
      <c r="O70" s="15" t="s">
        <v>24</v>
      </c>
      <c r="P70" s="14">
        <f t="shared" si="8"/>
        <v>3</v>
      </c>
      <c r="Q70" s="16" t="s">
        <v>408</v>
      </c>
      <c r="R70" s="16" t="s">
        <v>409</v>
      </c>
      <c r="S70" s="16" t="s">
        <v>83</v>
      </c>
      <c r="T70" s="16" t="s">
        <v>295</v>
      </c>
      <c r="U70" s="17" t="s">
        <v>410</v>
      </c>
      <c r="V70" s="17" t="s">
        <v>410</v>
      </c>
      <c r="W70" s="47"/>
      <c r="X70" s="47"/>
      <c r="Y70" s="47"/>
      <c r="Z70" s="47"/>
      <c r="AA70" s="47"/>
      <c r="AB70" s="47"/>
    </row>
    <row r="71" spans="1:28" ht="32.25" customHeight="1">
      <c r="A71" s="43"/>
      <c r="B71" s="43"/>
      <c r="C71" s="13" t="s">
        <v>411</v>
      </c>
      <c r="D71" s="54"/>
      <c r="E71" s="14" t="s">
        <v>24</v>
      </c>
      <c r="F71" s="14">
        <f t="shared" si="9"/>
        <v>3</v>
      </c>
      <c r="G71" s="14" t="s">
        <v>24</v>
      </c>
      <c r="H71" s="14">
        <f t="shared" si="10"/>
        <v>3</v>
      </c>
      <c r="I71" s="14" t="s">
        <v>24</v>
      </c>
      <c r="J71" s="14">
        <f t="shared" si="11"/>
        <v>3</v>
      </c>
      <c r="K71" s="14" t="s">
        <v>24</v>
      </c>
      <c r="L71" s="14">
        <f t="shared" si="6"/>
        <v>3</v>
      </c>
      <c r="M71" s="15" t="s">
        <v>24</v>
      </c>
      <c r="N71" s="14">
        <f t="shared" si="7"/>
        <v>3</v>
      </c>
      <c r="O71" s="15" t="s">
        <v>24</v>
      </c>
      <c r="P71" s="14">
        <f t="shared" si="8"/>
        <v>3</v>
      </c>
      <c r="Q71" s="16" t="s">
        <v>412</v>
      </c>
      <c r="R71" s="16" t="s">
        <v>413</v>
      </c>
      <c r="S71" s="16" t="s">
        <v>83</v>
      </c>
      <c r="T71" s="16" t="s">
        <v>194</v>
      </c>
      <c r="U71" s="17" t="s">
        <v>414</v>
      </c>
      <c r="V71" s="17" t="s">
        <v>415</v>
      </c>
      <c r="W71" s="47"/>
      <c r="X71" s="47"/>
      <c r="Y71" s="47"/>
      <c r="Z71" s="47"/>
      <c r="AA71" s="47"/>
      <c r="AB71" s="47"/>
    </row>
    <row r="72" spans="1:28" ht="79.5" customHeight="1">
      <c r="A72" s="43"/>
      <c r="B72" s="43"/>
      <c r="C72" s="13" t="s">
        <v>416</v>
      </c>
      <c r="D72" s="54"/>
      <c r="E72" s="14" t="s">
        <v>24</v>
      </c>
      <c r="F72" s="14">
        <f t="shared" si="9"/>
        <v>3</v>
      </c>
      <c r="G72" s="14" t="s">
        <v>31</v>
      </c>
      <c r="H72" s="14">
        <f t="shared" si="10"/>
        <v>1</v>
      </c>
      <c r="I72" s="14" t="s">
        <v>24</v>
      </c>
      <c r="J72" s="14">
        <f t="shared" si="11"/>
        <v>3</v>
      </c>
      <c r="K72" s="14" t="s">
        <v>31</v>
      </c>
      <c r="L72" s="14">
        <f t="shared" si="6"/>
        <v>1</v>
      </c>
      <c r="M72" s="15" t="s">
        <v>24</v>
      </c>
      <c r="N72" s="14">
        <f t="shared" si="7"/>
        <v>3</v>
      </c>
      <c r="O72" s="15" t="s">
        <v>31</v>
      </c>
      <c r="P72" s="14">
        <f t="shared" si="8"/>
        <v>1</v>
      </c>
      <c r="Q72" s="16" t="s">
        <v>417</v>
      </c>
      <c r="R72" s="16" t="s">
        <v>418</v>
      </c>
      <c r="S72" s="16" t="s">
        <v>83</v>
      </c>
      <c r="T72" s="16" t="s">
        <v>419</v>
      </c>
      <c r="U72" s="17" t="s">
        <v>420</v>
      </c>
      <c r="V72" s="17" t="s">
        <v>421</v>
      </c>
      <c r="W72" s="47"/>
      <c r="X72" s="47"/>
      <c r="Y72" s="47"/>
      <c r="Z72" s="47"/>
      <c r="AA72" s="47"/>
      <c r="AB72" s="47"/>
    </row>
    <row r="73" spans="1:28" ht="34.049999999999997" customHeight="1">
      <c r="A73" s="43"/>
      <c r="B73" s="43"/>
      <c r="C73" s="13" t="s">
        <v>422</v>
      </c>
      <c r="D73" s="54"/>
      <c r="E73" s="14" t="s">
        <v>24</v>
      </c>
      <c r="F73" s="14">
        <f t="shared" si="9"/>
        <v>3</v>
      </c>
      <c r="G73" s="14" t="s">
        <v>24</v>
      </c>
      <c r="H73" s="14">
        <f t="shared" si="10"/>
        <v>3</v>
      </c>
      <c r="I73" s="14" t="s">
        <v>31</v>
      </c>
      <c r="J73" s="14">
        <f t="shared" si="11"/>
        <v>1</v>
      </c>
      <c r="K73" s="14" t="s">
        <v>31</v>
      </c>
      <c r="L73" s="14">
        <f t="shared" si="6"/>
        <v>1</v>
      </c>
      <c r="M73" s="15" t="s">
        <v>24</v>
      </c>
      <c r="N73" s="14">
        <f t="shared" si="7"/>
        <v>3</v>
      </c>
      <c r="O73" s="15" t="s">
        <v>24</v>
      </c>
      <c r="P73" s="14">
        <f t="shared" si="8"/>
        <v>3</v>
      </c>
      <c r="Q73" s="16" t="s">
        <v>423</v>
      </c>
      <c r="R73" s="16" t="s">
        <v>424</v>
      </c>
      <c r="S73" s="16"/>
      <c r="T73" s="16" t="s">
        <v>425</v>
      </c>
      <c r="U73" s="17" t="s">
        <v>426</v>
      </c>
      <c r="V73" s="17" t="s">
        <v>427</v>
      </c>
      <c r="W73" s="47"/>
      <c r="X73" s="47"/>
      <c r="Y73" s="47"/>
      <c r="Z73" s="47"/>
      <c r="AA73" s="47"/>
      <c r="AB73" s="47"/>
    </row>
    <row r="74" spans="1:28" ht="34.049999999999997" customHeight="1">
      <c r="A74" s="43"/>
      <c r="B74" s="43"/>
      <c r="C74" s="13" t="s">
        <v>428</v>
      </c>
      <c r="D74" s="54"/>
      <c r="E74" s="14" t="s">
        <v>24</v>
      </c>
      <c r="F74" s="14">
        <f t="shared" si="9"/>
        <v>3</v>
      </c>
      <c r="G74" s="14" t="s">
        <v>24</v>
      </c>
      <c r="H74" s="14">
        <f t="shared" si="10"/>
        <v>3</v>
      </c>
      <c r="I74" s="14" t="s">
        <v>24</v>
      </c>
      <c r="J74" s="14">
        <f t="shared" si="11"/>
        <v>3</v>
      </c>
      <c r="K74" s="14" t="s">
        <v>31</v>
      </c>
      <c r="L74" s="14">
        <f t="shared" si="6"/>
        <v>1</v>
      </c>
      <c r="M74" s="15" t="s">
        <v>24</v>
      </c>
      <c r="N74" s="14">
        <f t="shared" si="7"/>
        <v>3</v>
      </c>
      <c r="O74" s="15" t="s">
        <v>24</v>
      </c>
      <c r="P74" s="14">
        <f t="shared" si="8"/>
        <v>3</v>
      </c>
      <c r="Q74" s="16" t="s">
        <v>429</v>
      </c>
      <c r="R74" s="16" t="s">
        <v>430</v>
      </c>
      <c r="S74" s="16"/>
      <c r="T74" s="16" t="s">
        <v>431</v>
      </c>
      <c r="U74" s="17" t="s">
        <v>432</v>
      </c>
      <c r="V74" s="17" t="s">
        <v>433</v>
      </c>
      <c r="W74" s="47"/>
      <c r="X74" s="47"/>
      <c r="Y74" s="47"/>
      <c r="Z74" s="47"/>
      <c r="AA74" s="47"/>
      <c r="AB74" s="47"/>
    </row>
    <row r="75" spans="1:28" ht="49.05" customHeight="1">
      <c r="A75" s="44"/>
      <c r="B75" s="44"/>
      <c r="C75" s="13" t="s">
        <v>434</v>
      </c>
      <c r="D75" s="54"/>
      <c r="E75" s="14" t="s">
        <v>24</v>
      </c>
      <c r="F75" s="14">
        <f t="shared" si="9"/>
        <v>3</v>
      </c>
      <c r="G75" s="14" t="s">
        <v>24</v>
      </c>
      <c r="H75" s="14">
        <f t="shared" si="10"/>
        <v>3</v>
      </c>
      <c r="I75" s="14" t="s">
        <v>24</v>
      </c>
      <c r="J75" s="14">
        <f t="shared" si="11"/>
        <v>3</v>
      </c>
      <c r="K75" s="14" t="s">
        <v>24</v>
      </c>
      <c r="L75" s="14">
        <f t="shared" si="6"/>
        <v>3</v>
      </c>
      <c r="M75" s="15" t="s">
        <v>24</v>
      </c>
      <c r="N75" s="14">
        <f t="shared" si="7"/>
        <v>3</v>
      </c>
      <c r="O75" s="15" t="s">
        <v>24</v>
      </c>
      <c r="P75" s="14">
        <f t="shared" si="8"/>
        <v>3</v>
      </c>
      <c r="Q75" s="16" t="s">
        <v>435</v>
      </c>
      <c r="R75" s="16" t="s">
        <v>436</v>
      </c>
      <c r="S75" s="16" t="s">
        <v>83</v>
      </c>
      <c r="T75" s="16" t="s">
        <v>437</v>
      </c>
      <c r="U75" s="17" t="s">
        <v>438</v>
      </c>
      <c r="V75" s="17" t="s">
        <v>439</v>
      </c>
      <c r="W75" s="48"/>
      <c r="X75" s="48"/>
      <c r="Y75" s="48"/>
      <c r="Z75" s="48"/>
      <c r="AA75" s="48"/>
      <c r="AB75" s="48"/>
    </row>
    <row r="76" spans="1:28" ht="34.049999999999997" customHeight="1">
      <c r="A76" s="42">
        <v>7</v>
      </c>
      <c r="B76" s="45" t="s">
        <v>440</v>
      </c>
      <c r="C76" s="13" t="s">
        <v>441</v>
      </c>
      <c r="D76" s="46">
        <v>0.08</v>
      </c>
      <c r="E76" s="14" t="s">
        <v>24</v>
      </c>
      <c r="F76" s="14">
        <f t="shared" si="9"/>
        <v>3</v>
      </c>
      <c r="G76" s="14" t="s">
        <v>31</v>
      </c>
      <c r="H76" s="14">
        <f t="shared" si="10"/>
        <v>1</v>
      </c>
      <c r="I76" s="14" t="s">
        <v>31</v>
      </c>
      <c r="J76" s="14">
        <f t="shared" si="11"/>
        <v>1</v>
      </c>
      <c r="K76" s="14" t="s">
        <v>31</v>
      </c>
      <c r="L76" s="14">
        <f t="shared" si="6"/>
        <v>1</v>
      </c>
      <c r="M76" s="15" t="s">
        <v>24</v>
      </c>
      <c r="N76" s="14">
        <f t="shared" si="7"/>
        <v>3</v>
      </c>
      <c r="O76" s="15" t="s">
        <v>24</v>
      </c>
      <c r="P76" s="14">
        <f t="shared" si="8"/>
        <v>3</v>
      </c>
      <c r="Q76" s="16" t="s">
        <v>442</v>
      </c>
      <c r="R76" s="16" t="s">
        <v>443</v>
      </c>
      <c r="S76" s="16" t="s">
        <v>83</v>
      </c>
      <c r="T76" s="16" t="s">
        <v>283</v>
      </c>
      <c r="U76" s="17" t="s">
        <v>444</v>
      </c>
      <c r="V76" s="17" t="s">
        <v>445</v>
      </c>
      <c r="W76" s="46">
        <f>AVERAGE(F76:F91)*$D76/3</f>
        <v>6.3333333333333339E-2</v>
      </c>
      <c r="X76" s="46">
        <f>AVERAGE(H76:H91)*$D76/3</f>
        <v>3.8333333333333337E-2</v>
      </c>
      <c r="Y76" s="46">
        <f>AVERAGE(J76:J91)*$D76/3</f>
        <v>4.9999999999999996E-2</v>
      </c>
      <c r="Z76" s="46">
        <f>AVERAGE(L76:L91)*$D76/3</f>
        <v>3.8333333333333337E-2</v>
      </c>
      <c r="AA76" s="46">
        <f>AVERAGE(N76:N91)*$D76/3</f>
        <v>7.4999999999999997E-2</v>
      </c>
      <c r="AB76" s="46">
        <f>AVERAGE(P76:P91)*$D76/3</f>
        <v>0.08</v>
      </c>
    </row>
    <row r="77" spans="1:28" ht="45">
      <c r="A77" s="43"/>
      <c r="B77" s="43"/>
      <c r="C77" s="13" t="s">
        <v>446</v>
      </c>
      <c r="D77" s="46"/>
      <c r="E77" s="14" t="s">
        <v>31</v>
      </c>
      <c r="F77" s="14">
        <f t="shared" si="9"/>
        <v>1</v>
      </c>
      <c r="G77" s="14" t="s">
        <v>31</v>
      </c>
      <c r="H77" s="14">
        <f t="shared" si="10"/>
        <v>1</v>
      </c>
      <c r="I77" s="14" t="s">
        <v>24</v>
      </c>
      <c r="J77" s="14">
        <f t="shared" si="11"/>
        <v>3</v>
      </c>
      <c r="K77" s="14" t="s">
        <v>148</v>
      </c>
      <c r="L77" s="14">
        <f t="shared" si="6"/>
        <v>0</v>
      </c>
      <c r="M77" s="15" t="s">
        <v>24</v>
      </c>
      <c r="N77" s="14">
        <f t="shared" si="7"/>
        <v>3</v>
      </c>
      <c r="O77" s="15" t="s">
        <v>24</v>
      </c>
      <c r="P77" s="14">
        <f t="shared" si="8"/>
        <v>3</v>
      </c>
      <c r="Q77" s="16" t="s">
        <v>447</v>
      </c>
      <c r="R77" s="16" t="s">
        <v>448</v>
      </c>
      <c r="S77" s="16"/>
      <c r="T77" s="16" t="s">
        <v>449</v>
      </c>
      <c r="U77" s="17" t="s">
        <v>450</v>
      </c>
      <c r="V77" s="17" t="s">
        <v>451</v>
      </c>
      <c r="W77" s="47"/>
      <c r="X77" s="47"/>
      <c r="Y77" s="47"/>
      <c r="Z77" s="47"/>
      <c r="AA77" s="47"/>
      <c r="AB77" s="47"/>
    </row>
    <row r="78" spans="1:28" ht="34.049999999999997" customHeight="1">
      <c r="A78" s="43"/>
      <c r="B78" s="43"/>
      <c r="C78" s="13" t="s">
        <v>452</v>
      </c>
      <c r="D78" s="46"/>
      <c r="E78" s="14" t="s">
        <v>24</v>
      </c>
      <c r="F78" s="14">
        <f t="shared" si="9"/>
        <v>3</v>
      </c>
      <c r="G78" s="14" t="s">
        <v>24</v>
      </c>
      <c r="H78" s="14">
        <f t="shared" si="10"/>
        <v>3</v>
      </c>
      <c r="I78" s="14" t="s">
        <v>24</v>
      </c>
      <c r="J78" s="14">
        <f t="shared" si="11"/>
        <v>3</v>
      </c>
      <c r="K78" s="14" t="s">
        <v>31</v>
      </c>
      <c r="L78" s="14">
        <f t="shared" si="6"/>
        <v>1</v>
      </c>
      <c r="M78" s="15" t="s">
        <v>24</v>
      </c>
      <c r="N78" s="14">
        <f t="shared" si="7"/>
        <v>3</v>
      </c>
      <c r="O78" s="15" t="s">
        <v>24</v>
      </c>
      <c r="P78" s="14">
        <f t="shared" si="8"/>
        <v>3</v>
      </c>
      <c r="Q78" s="16" t="s">
        <v>453</v>
      </c>
      <c r="R78" s="16" t="s">
        <v>454</v>
      </c>
      <c r="S78" s="16" t="s">
        <v>83</v>
      </c>
      <c r="T78" s="16" t="s">
        <v>194</v>
      </c>
      <c r="U78" s="17" t="s">
        <v>455</v>
      </c>
      <c r="V78" s="17" t="s">
        <v>456</v>
      </c>
      <c r="W78" s="47"/>
      <c r="X78" s="47"/>
      <c r="Y78" s="47"/>
      <c r="Z78" s="47"/>
      <c r="AA78" s="47"/>
      <c r="AB78" s="47"/>
    </row>
    <row r="79" spans="1:28" ht="43.2">
      <c r="A79" s="43"/>
      <c r="B79" s="43"/>
      <c r="C79" s="13" t="s">
        <v>457</v>
      </c>
      <c r="D79" s="46"/>
      <c r="E79" s="14" t="s">
        <v>24</v>
      </c>
      <c r="F79" s="14">
        <f t="shared" si="9"/>
        <v>3</v>
      </c>
      <c r="G79" s="14" t="s">
        <v>31</v>
      </c>
      <c r="H79" s="14">
        <f t="shared" si="10"/>
        <v>1</v>
      </c>
      <c r="I79" s="14" t="s">
        <v>31</v>
      </c>
      <c r="J79" s="14">
        <f t="shared" si="11"/>
        <v>1</v>
      </c>
      <c r="K79" s="14" t="s">
        <v>148</v>
      </c>
      <c r="L79" s="14">
        <f t="shared" si="6"/>
        <v>0</v>
      </c>
      <c r="M79" s="15" t="s">
        <v>24</v>
      </c>
      <c r="N79" s="14">
        <f t="shared" si="7"/>
        <v>3</v>
      </c>
      <c r="O79" s="15" t="s">
        <v>24</v>
      </c>
      <c r="P79" s="14">
        <f t="shared" si="8"/>
        <v>3</v>
      </c>
      <c r="Q79" s="16" t="s">
        <v>458</v>
      </c>
      <c r="R79" s="16" t="s">
        <v>459</v>
      </c>
      <c r="S79" s="16"/>
      <c r="T79" s="16" t="s">
        <v>460</v>
      </c>
      <c r="U79" s="17" t="s">
        <v>461</v>
      </c>
      <c r="V79" s="17" t="s">
        <v>462</v>
      </c>
      <c r="W79" s="47"/>
      <c r="X79" s="47"/>
      <c r="Y79" s="47"/>
      <c r="Z79" s="47"/>
      <c r="AA79" s="47"/>
      <c r="AB79" s="47"/>
    </row>
    <row r="80" spans="1:28" ht="43.2">
      <c r="A80" s="43"/>
      <c r="B80" s="43"/>
      <c r="C80" s="13" t="s">
        <v>463</v>
      </c>
      <c r="D80" s="46"/>
      <c r="E80" s="14" t="s">
        <v>24</v>
      </c>
      <c r="F80" s="14">
        <f t="shared" si="9"/>
        <v>3</v>
      </c>
      <c r="G80" s="14" t="s">
        <v>31</v>
      </c>
      <c r="H80" s="14">
        <f t="shared" si="10"/>
        <v>1</v>
      </c>
      <c r="I80" s="14" t="s">
        <v>31</v>
      </c>
      <c r="J80" s="14">
        <f t="shared" si="11"/>
        <v>1</v>
      </c>
      <c r="K80" s="14" t="s">
        <v>148</v>
      </c>
      <c r="L80" s="14">
        <f t="shared" si="6"/>
        <v>0</v>
      </c>
      <c r="M80" s="15" t="s">
        <v>24</v>
      </c>
      <c r="N80" s="14">
        <f t="shared" si="7"/>
        <v>3</v>
      </c>
      <c r="O80" s="15" t="s">
        <v>24</v>
      </c>
      <c r="P80" s="14">
        <f t="shared" si="8"/>
        <v>3</v>
      </c>
      <c r="Q80" s="16" t="s">
        <v>464</v>
      </c>
      <c r="R80" s="16" t="s">
        <v>465</v>
      </c>
      <c r="S80" s="16"/>
      <c r="T80" s="16" t="s">
        <v>466</v>
      </c>
      <c r="U80" s="17" t="s">
        <v>467</v>
      </c>
      <c r="V80" s="17" t="s">
        <v>468</v>
      </c>
      <c r="W80" s="47"/>
      <c r="X80" s="47"/>
      <c r="Y80" s="47"/>
      <c r="Z80" s="47"/>
      <c r="AA80" s="47"/>
      <c r="AB80" s="47"/>
    </row>
    <row r="81" spans="1:28" ht="34.049999999999997" customHeight="1">
      <c r="A81" s="43"/>
      <c r="B81" s="43"/>
      <c r="C81" s="13" t="s">
        <v>469</v>
      </c>
      <c r="D81" s="46"/>
      <c r="E81" s="14" t="s">
        <v>24</v>
      </c>
      <c r="F81" s="14">
        <f t="shared" si="9"/>
        <v>3</v>
      </c>
      <c r="G81" s="14" t="s">
        <v>31</v>
      </c>
      <c r="H81" s="14">
        <f t="shared" si="10"/>
        <v>1</v>
      </c>
      <c r="I81" s="14" t="s">
        <v>31</v>
      </c>
      <c r="J81" s="14">
        <f t="shared" si="11"/>
        <v>1</v>
      </c>
      <c r="K81" s="14" t="s">
        <v>31</v>
      </c>
      <c r="L81" s="14">
        <f t="shared" si="6"/>
        <v>1</v>
      </c>
      <c r="M81" s="15" t="s">
        <v>24</v>
      </c>
      <c r="N81" s="14">
        <f t="shared" si="7"/>
        <v>3</v>
      </c>
      <c r="O81" s="15" t="s">
        <v>24</v>
      </c>
      <c r="P81" s="14">
        <f t="shared" si="8"/>
        <v>3</v>
      </c>
      <c r="Q81" s="16" t="s">
        <v>470</v>
      </c>
      <c r="R81" s="16" t="s">
        <v>471</v>
      </c>
      <c r="S81" s="16"/>
      <c r="T81" s="16" t="s">
        <v>472</v>
      </c>
      <c r="U81" s="17" t="s">
        <v>473</v>
      </c>
      <c r="V81" s="17" t="s">
        <v>474</v>
      </c>
      <c r="W81" s="47"/>
      <c r="X81" s="47"/>
      <c r="Y81" s="47"/>
      <c r="Z81" s="47"/>
      <c r="AA81" s="47"/>
      <c r="AB81" s="47"/>
    </row>
    <row r="82" spans="1:28" ht="34.049999999999997" customHeight="1">
      <c r="A82" s="43"/>
      <c r="B82" s="43"/>
      <c r="C82" s="13" t="s">
        <v>475</v>
      </c>
      <c r="D82" s="46"/>
      <c r="E82" s="14" t="s">
        <v>24</v>
      </c>
      <c r="F82" s="14">
        <f t="shared" si="9"/>
        <v>3</v>
      </c>
      <c r="G82" s="14" t="s">
        <v>31</v>
      </c>
      <c r="H82" s="14">
        <f t="shared" si="10"/>
        <v>1</v>
      </c>
      <c r="I82" s="14" t="s">
        <v>24</v>
      </c>
      <c r="J82" s="14">
        <f t="shared" si="11"/>
        <v>3</v>
      </c>
      <c r="K82" s="14" t="s">
        <v>31</v>
      </c>
      <c r="L82" s="14">
        <f t="shared" si="6"/>
        <v>1</v>
      </c>
      <c r="M82" s="15" t="s">
        <v>24</v>
      </c>
      <c r="N82" s="14">
        <f t="shared" si="7"/>
        <v>3</v>
      </c>
      <c r="O82" s="15" t="s">
        <v>24</v>
      </c>
      <c r="P82" s="14">
        <f t="shared" si="8"/>
        <v>3</v>
      </c>
      <c r="Q82" s="16" t="s">
        <v>476</v>
      </c>
      <c r="R82" s="16" t="s">
        <v>477</v>
      </c>
      <c r="S82" s="16" t="s">
        <v>83</v>
      </c>
      <c r="T82" s="16" t="s">
        <v>217</v>
      </c>
      <c r="U82" s="17" t="s">
        <v>478</v>
      </c>
      <c r="V82" s="17" t="s">
        <v>479</v>
      </c>
      <c r="W82" s="47"/>
      <c r="X82" s="47"/>
      <c r="Y82" s="47"/>
      <c r="Z82" s="47"/>
      <c r="AA82" s="47"/>
      <c r="AB82" s="47"/>
    </row>
    <row r="83" spans="1:28" ht="32.25" customHeight="1">
      <c r="A83" s="43"/>
      <c r="B83" s="43"/>
      <c r="C83" s="13" t="s">
        <v>480</v>
      </c>
      <c r="D83" s="46"/>
      <c r="E83" s="14" t="s">
        <v>24</v>
      </c>
      <c r="F83" s="14">
        <f t="shared" si="9"/>
        <v>3</v>
      </c>
      <c r="G83" s="14" t="s">
        <v>24</v>
      </c>
      <c r="H83" s="14">
        <f t="shared" si="10"/>
        <v>3</v>
      </c>
      <c r="I83" s="14" t="s">
        <v>24</v>
      </c>
      <c r="J83" s="14">
        <f t="shared" si="11"/>
        <v>3</v>
      </c>
      <c r="K83" s="14" t="s">
        <v>24</v>
      </c>
      <c r="L83" s="14">
        <f t="shared" si="6"/>
        <v>3</v>
      </c>
      <c r="M83" s="15" t="s">
        <v>24</v>
      </c>
      <c r="N83" s="14">
        <f t="shared" si="7"/>
        <v>3</v>
      </c>
      <c r="O83" s="15" t="s">
        <v>24</v>
      </c>
      <c r="P83" s="14">
        <f t="shared" si="8"/>
        <v>3</v>
      </c>
      <c r="Q83" s="16" t="s">
        <v>481</v>
      </c>
      <c r="R83" s="16" t="s">
        <v>482</v>
      </c>
      <c r="S83" s="16" t="s">
        <v>83</v>
      </c>
      <c r="T83" s="16" t="s">
        <v>181</v>
      </c>
      <c r="U83" s="17" t="s">
        <v>483</v>
      </c>
      <c r="V83" s="17" t="s">
        <v>484</v>
      </c>
      <c r="W83" s="47"/>
      <c r="X83" s="47"/>
      <c r="Y83" s="47"/>
      <c r="Z83" s="47"/>
      <c r="AA83" s="47"/>
      <c r="AB83" s="47"/>
    </row>
    <row r="84" spans="1:28" ht="32.25" customHeight="1">
      <c r="A84" s="43"/>
      <c r="B84" s="43"/>
      <c r="C84" s="13" t="s">
        <v>485</v>
      </c>
      <c r="D84" s="46"/>
      <c r="E84" s="14" t="s">
        <v>24</v>
      </c>
      <c r="F84" s="14">
        <f t="shared" si="9"/>
        <v>3</v>
      </c>
      <c r="G84" s="14" t="s">
        <v>24</v>
      </c>
      <c r="H84" s="14">
        <f t="shared" si="10"/>
        <v>3</v>
      </c>
      <c r="I84" s="14" t="s">
        <v>24</v>
      </c>
      <c r="J84" s="14">
        <f t="shared" si="11"/>
        <v>3</v>
      </c>
      <c r="K84" s="14" t="s">
        <v>31</v>
      </c>
      <c r="L84" s="14">
        <f t="shared" si="6"/>
        <v>1</v>
      </c>
      <c r="M84" s="15" t="s">
        <v>24</v>
      </c>
      <c r="N84" s="14">
        <f t="shared" si="7"/>
        <v>3</v>
      </c>
      <c r="O84" s="15" t="s">
        <v>24</v>
      </c>
      <c r="P84" s="14">
        <f t="shared" si="8"/>
        <v>3</v>
      </c>
      <c r="Q84" s="16" t="s">
        <v>486</v>
      </c>
      <c r="R84" s="16" t="s">
        <v>487</v>
      </c>
      <c r="S84" s="16" t="s">
        <v>83</v>
      </c>
      <c r="T84" s="16" t="s">
        <v>249</v>
      </c>
      <c r="U84" s="17" t="s">
        <v>488</v>
      </c>
      <c r="V84" s="17" t="s">
        <v>489</v>
      </c>
      <c r="W84" s="47"/>
      <c r="X84" s="47"/>
      <c r="Y84" s="47"/>
      <c r="Z84" s="47"/>
      <c r="AA84" s="47"/>
      <c r="AB84" s="47"/>
    </row>
    <row r="85" spans="1:28" ht="60">
      <c r="A85" s="43"/>
      <c r="B85" s="43"/>
      <c r="C85" s="13" t="s">
        <v>490</v>
      </c>
      <c r="D85" s="46"/>
      <c r="E85" s="14" t="s">
        <v>31</v>
      </c>
      <c r="F85" s="14">
        <f t="shared" si="9"/>
        <v>1</v>
      </c>
      <c r="G85" s="14" t="s">
        <v>31</v>
      </c>
      <c r="H85" s="14">
        <f t="shared" si="10"/>
        <v>1</v>
      </c>
      <c r="I85" s="14" t="s">
        <v>31</v>
      </c>
      <c r="J85" s="14">
        <f t="shared" si="11"/>
        <v>1</v>
      </c>
      <c r="K85" s="14" t="s">
        <v>31</v>
      </c>
      <c r="L85" s="14">
        <f t="shared" si="6"/>
        <v>1</v>
      </c>
      <c r="M85" s="15" t="s">
        <v>24</v>
      </c>
      <c r="N85" s="14">
        <f t="shared" si="7"/>
        <v>3</v>
      </c>
      <c r="O85" s="15" t="s">
        <v>24</v>
      </c>
      <c r="P85" s="14">
        <f t="shared" si="8"/>
        <v>3</v>
      </c>
      <c r="Q85" s="16" t="s">
        <v>491</v>
      </c>
      <c r="R85" s="16" t="s">
        <v>492</v>
      </c>
      <c r="S85" s="16"/>
      <c r="T85" s="16" t="s">
        <v>493</v>
      </c>
      <c r="U85" s="17" t="s">
        <v>494</v>
      </c>
      <c r="V85" s="17" t="s">
        <v>495</v>
      </c>
      <c r="W85" s="47"/>
      <c r="X85" s="47"/>
      <c r="Y85" s="47"/>
      <c r="Z85" s="47"/>
      <c r="AA85" s="47"/>
      <c r="AB85" s="47"/>
    </row>
    <row r="86" spans="1:28" ht="34.049999999999997" customHeight="1">
      <c r="A86" s="43"/>
      <c r="B86" s="43"/>
      <c r="C86" s="13" t="s">
        <v>496</v>
      </c>
      <c r="D86" s="46"/>
      <c r="E86" s="14" t="s">
        <v>24</v>
      </c>
      <c r="F86" s="14">
        <f t="shared" si="9"/>
        <v>3</v>
      </c>
      <c r="G86" s="14" t="s">
        <v>24</v>
      </c>
      <c r="H86" s="14">
        <f t="shared" si="10"/>
        <v>3</v>
      </c>
      <c r="I86" s="14" t="s">
        <v>24</v>
      </c>
      <c r="J86" s="14">
        <f t="shared" si="11"/>
        <v>3</v>
      </c>
      <c r="K86" s="14" t="s">
        <v>24</v>
      </c>
      <c r="L86" s="14">
        <f t="shared" si="6"/>
        <v>3</v>
      </c>
      <c r="M86" s="15" t="s">
        <v>24</v>
      </c>
      <c r="N86" s="14">
        <f t="shared" si="7"/>
        <v>3</v>
      </c>
      <c r="O86" s="15" t="s">
        <v>24</v>
      </c>
      <c r="P86" s="14">
        <f t="shared" si="8"/>
        <v>3</v>
      </c>
      <c r="Q86" s="16" t="s">
        <v>497</v>
      </c>
      <c r="R86" s="16" t="s">
        <v>498</v>
      </c>
      <c r="S86" s="16" t="s">
        <v>83</v>
      </c>
      <c r="T86" s="16" t="s">
        <v>295</v>
      </c>
      <c r="U86" s="17" t="s">
        <v>499</v>
      </c>
      <c r="V86" s="17" t="s">
        <v>500</v>
      </c>
      <c r="W86" s="47"/>
      <c r="X86" s="47"/>
      <c r="Y86" s="47"/>
      <c r="Z86" s="47"/>
      <c r="AA86" s="47"/>
      <c r="AB86" s="47"/>
    </row>
    <row r="87" spans="1:28" ht="32.25" customHeight="1">
      <c r="A87" s="43"/>
      <c r="B87" s="43"/>
      <c r="C87" s="13" t="s">
        <v>501</v>
      </c>
      <c r="D87" s="46"/>
      <c r="E87" s="14" t="s">
        <v>24</v>
      </c>
      <c r="F87" s="14">
        <f t="shared" si="9"/>
        <v>3</v>
      </c>
      <c r="G87" s="14" t="s">
        <v>31</v>
      </c>
      <c r="H87" s="14">
        <f t="shared" si="10"/>
        <v>1</v>
      </c>
      <c r="I87" s="14" t="s">
        <v>24</v>
      </c>
      <c r="J87" s="14">
        <f t="shared" si="11"/>
        <v>3</v>
      </c>
      <c r="K87" s="14" t="s">
        <v>31</v>
      </c>
      <c r="L87" s="14">
        <f t="shared" si="6"/>
        <v>1</v>
      </c>
      <c r="M87" s="15" t="s">
        <v>148</v>
      </c>
      <c r="N87" s="14">
        <f t="shared" si="7"/>
        <v>0</v>
      </c>
      <c r="O87" s="15" t="s">
        <v>24</v>
      </c>
      <c r="P87" s="14">
        <f t="shared" si="8"/>
        <v>3</v>
      </c>
      <c r="Q87" s="16" t="s">
        <v>502</v>
      </c>
      <c r="R87" s="16" t="s">
        <v>503</v>
      </c>
      <c r="S87" s="16" t="s">
        <v>83</v>
      </c>
      <c r="T87" s="16" t="s">
        <v>504</v>
      </c>
      <c r="U87" s="17" t="s">
        <v>505</v>
      </c>
      <c r="V87" s="17" t="s">
        <v>506</v>
      </c>
      <c r="W87" s="47"/>
      <c r="X87" s="47"/>
      <c r="Y87" s="47"/>
      <c r="Z87" s="47"/>
      <c r="AA87" s="47"/>
      <c r="AB87" s="47"/>
    </row>
    <row r="88" spans="1:28" ht="76.95" customHeight="1">
      <c r="A88" s="43"/>
      <c r="B88" s="43"/>
      <c r="C88" s="13" t="s">
        <v>507</v>
      </c>
      <c r="D88" s="46"/>
      <c r="E88" s="14" t="s">
        <v>31</v>
      </c>
      <c r="F88" s="14">
        <f t="shared" si="9"/>
        <v>1</v>
      </c>
      <c r="G88" s="14" t="s">
        <v>31</v>
      </c>
      <c r="H88" s="14">
        <f t="shared" si="10"/>
        <v>1</v>
      </c>
      <c r="I88" s="14" t="s">
        <v>31</v>
      </c>
      <c r="J88" s="14">
        <f t="shared" si="11"/>
        <v>1</v>
      </c>
      <c r="K88" s="14" t="s">
        <v>24</v>
      </c>
      <c r="L88" s="14">
        <f t="shared" si="6"/>
        <v>3</v>
      </c>
      <c r="M88" s="15" t="s">
        <v>24</v>
      </c>
      <c r="N88" s="14">
        <f t="shared" si="7"/>
        <v>3</v>
      </c>
      <c r="O88" s="15" t="s">
        <v>24</v>
      </c>
      <c r="P88" s="14">
        <f t="shared" si="8"/>
        <v>3</v>
      </c>
      <c r="Q88" s="16" t="s">
        <v>508</v>
      </c>
      <c r="R88" s="16" t="s">
        <v>509</v>
      </c>
      <c r="S88" s="16"/>
      <c r="T88" s="16" t="s">
        <v>510</v>
      </c>
      <c r="U88" s="17" t="s">
        <v>511</v>
      </c>
      <c r="V88" s="17" t="s">
        <v>512</v>
      </c>
      <c r="W88" s="47"/>
      <c r="X88" s="47"/>
      <c r="Y88" s="47"/>
      <c r="Z88" s="47"/>
      <c r="AA88" s="47"/>
      <c r="AB88" s="47"/>
    </row>
    <row r="89" spans="1:28" ht="34.049999999999997" customHeight="1">
      <c r="A89" s="43"/>
      <c r="B89" s="43"/>
      <c r="C89" s="13" t="s">
        <v>513</v>
      </c>
      <c r="D89" s="46"/>
      <c r="E89" s="14" t="s">
        <v>31</v>
      </c>
      <c r="F89" s="14">
        <f t="shared" si="9"/>
        <v>1</v>
      </c>
      <c r="G89" s="14" t="s">
        <v>148</v>
      </c>
      <c r="H89" s="14">
        <f t="shared" si="10"/>
        <v>0</v>
      </c>
      <c r="I89" s="14" t="s">
        <v>31</v>
      </c>
      <c r="J89" s="14">
        <f t="shared" si="11"/>
        <v>1</v>
      </c>
      <c r="K89" s="14" t="s">
        <v>24</v>
      </c>
      <c r="L89" s="14">
        <f t="shared" si="6"/>
        <v>3</v>
      </c>
      <c r="M89" s="15" t="s">
        <v>24</v>
      </c>
      <c r="N89" s="14">
        <f t="shared" si="7"/>
        <v>3</v>
      </c>
      <c r="O89" s="15" t="s">
        <v>24</v>
      </c>
      <c r="P89" s="14">
        <f t="shared" si="8"/>
        <v>3</v>
      </c>
      <c r="Q89" s="16" t="s">
        <v>514</v>
      </c>
      <c r="R89" s="16" t="s">
        <v>515</v>
      </c>
      <c r="S89" s="16" t="s">
        <v>83</v>
      </c>
      <c r="T89" s="16" t="s">
        <v>194</v>
      </c>
      <c r="U89" s="17" t="s">
        <v>516</v>
      </c>
      <c r="V89" s="17" t="s">
        <v>517</v>
      </c>
      <c r="W89" s="47"/>
      <c r="X89" s="47"/>
      <c r="Y89" s="47"/>
      <c r="Z89" s="47"/>
      <c r="AA89" s="47"/>
      <c r="AB89" s="47"/>
    </row>
    <row r="90" spans="1:28" ht="19.05" customHeight="1">
      <c r="A90" s="43"/>
      <c r="B90" s="43"/>
      <c r="C90" s="13" t="s">
        <v>518</v>
      </c>
      <c r="D90" s="46"/>
      <c r="E90" s="14" t="s">
        <v>31</v>
      </c>
      <c r="F90" s="14">
        <f t="shared" si="9"/>
        <v>1</v>
      </c>
      <c r="G90" s="14" t="s">
        <v>31</v>
      </c>
      <c r="H90" s="14">
        <f t="shared" si="10"/>
        <v>1</v>
      </c>
      <c r="I90" s="14" t="s">
        <v>31</v>
      </c>
      <c r="J90" s="14">
        <f t="shared" si="11"/>
        <v>1</v>
      </c>
      <c r="K90" s="14" t="s">
        <v>24</v>
      </c>
      <c r="L90" s="14">
        <f t="shared" si="6"/>
        <v>3</v>
      </c>
      <c r="M90" s="15" t="s">
        <v>24</v>
      </c>
      <c r="N90" s="14">
        <f t="shared" si="7"/>
        <v>3</v>
      </c>
      <c r="O90" s="15" t="s">
        <v>24</v>
      </c>
      <c r="P90" s="14">
        <f t="shared" si="8"/>
        <v>3</v>
      </c>
      <c r="Q90" s="16" t="s">
        <v>519</v>
      </c>
      <c r="R90" s="16" t="s">
        <v>520</v>
      </c>
      <c r="S90" s="16" t="s">
        <v>83</v>
      </c>
      <c r="T90" s="16" t="s">
        <v>521</v>
      </c>
      <c r="U90" s="17" t="s">
        <v>522</v>
      </c>
      <c r="V90" s="17" t="s">
        <v>523</v>
      </c>
      <c r="W90" s="47"/>
      <c r="X90" s="47"/>
      <c r="Y90" s="47"/>
      <c r="Z90" s="47"/>
      <c r="AA90" s="47"/>
      <c r="AB90" s="47"/>
    </row>
    <row r="91" spans="1:28" ht="90">
      <c r="A91" s="44"/>
      <c r="B91" s="44"/>
      <c r="C91" s="13" t="s">
        <v>524</v>
      </c>
      <c r="D91" s="46"/>
      <c r="E91" s="14" t="s">
        <v>24</v>
      </c>
      <c r="F91" s="14">
        <f t="shared" si="9"/>
        <v>3</v>
      </c>
      <c r="G91" s="14" t="s">
        <v>31</v>
      </c>
      <c r="H91" s="14">
        <f t="shared" si="10"/>
        <v>1</v>
      </c>
      <c r="I91" s="14" t="s">
        <v>31</v>
      </c>
      <c r="J91" s="14">
        <f t="shared" si="11"/>
        <v>1</v>
      </c>
      <c r="K91" s="14" t="s">
        <v>31</v>
      </c>
      <c r="L91" s="14">
        <f t="shared" si="6"/>
        <v>1</v>
      </c>
      <c r="M91" s="15" t="s">
        <v>24</v>
      </c>
      <c r="N91" s="14">
        <f t="shared" si="7"/>
        <v>3</v>
      </c>
      <c r="O91" s="15" t="s">
        <v>24</v>
      </c>
      <c r="P91" s="14">
        <f t="shared" si="8"/>
        <v>3</v>
      </c>
      <c r="Q91" s="16" t="s">
        <v>525</v>
      </c>
      <c r="R91" s="16" t="s">
        <v>526</v>
      </c>
      <c r="S91" s="16"/>
      <c r="T91" s="16" t="s">
        <v>527</v>
      </c>
      <c r="U91" s="17" t="s">
        <v>528</v>
      </c>
      <c r="V91" s="17" t="s">
        <v>529</v>
      </c>
      <c r="W91" s="48"/>
      <c r="X91" s="48"/>
      <c r="Y91" s="48"/>
      <c r="Z91" s="48"/>
      <c r="AA91" s="48"/>
      <c r="AB91" s="48"/>
    </row>
    <row r="92" spans="1:28" ht="43.2" customHeight="1">
      <c r="A92" s="42">
        <v>8</v>
      </c>
      <c r="B92" s="45" t="s">
        <v>530</v>
      </c>
      <c r="C92" s="13" t="s">
        <v>531</v>
      </c>
      <c r="D92" s="51">
        <v>0.08</v>
      </c>
      <c r="E92" s="14" t="s">
        <v>24</v>
      </c>
      <c r="F92" s="14">
        <f t="shared" si="9"/>
        <v>3</v>
      </c>
      <c r="G92" s="14" t="s">
        <v>31</v>
      </c>
      <c r="H92" s="14">
        <f t="shared" si="10"/>
        <v>1</v>
      </c>
      <c r="I92" s="14" t="s">
        <v>24</v>
      </c>
      <c r="J92" s="14">
        <f t="shared" si="11"/>
        <v>3</v>
      </c>
      <c r="K92" s="14" t="s">
        <v>24</v>
      </c>
      <c r="L92" s="14">
        <f t="shared" si="6"/>
        <v>3</v>
      </c>
      <c r="M92" s="15" t="s">
        <v>24</v>
      </c>
      <c r="N92" s="14">
        <f t="shared" si="7"/>
        <v>3</v>
      </c>
      <c r="O92" s="15" t="s">
        <v>24</v>
      </c>
      <c r="P92" s="14">
        <f t="shared" si="8"/>
        <v>3</v>
      </c>
      <c r="Q92" s="16" t="s">
        <v>532</v>
      </c>
      <c r="R92" s="16" t="s">
        <v>533</v>
      </c>
      <c r="S92" s="16" t="s">
        <v>83</v>
      </c>
      <c r="T92" s="16" t="s">
        <v>295</v>
      </c>
      <c r="U92" s="17" t="s">
        <v>534</v>
      </c>
      <c r="V92" s="17" t="s">
        <v>535</v>
      </c>
      <c r="W92" s="51">
        <f>AVERAGE(F92:F117)*$D92/3</f>
        <v>6.4761904761904757E-2</v>
      </c>
      <c r="X92" s="51">
        <f>AVERAGE(H92:H117)*$D92/3</f>
        <v>3.0476190476190476E-2</v>
      </c>
      <c r="Y92" s="51">
        <f>AVERAGE(J92:J117)*$D92/3</f>
        <v>5.3333333333333337E-2</v>
      </c>
      <c r="Z92" s="51">
        <f>AVERAGE(L92:L117)*$D92/3</f>
        <v>6.2857142857142861E-2</v>
      </c>
      <c r="AA92" s="51">
        <f>AVERAGE(N92:N117)*$D92/3</f>
        <v>7.3846153846153853E-2</v>
      </c>
      <c r="AB92" s="51">
        <f>AVERAGE(P92:P117)*$D92/3</f>
        <v>0.08</v>
      </c>
    </row>
    <row r="93" spans="1:28" ht="32.25" customHeight="1">
      <c r="A93" s="43"/>
      <c r="B93" s="43"/>
      <c r="C93" s="13" t="s">
        <v>536</v>
      </c>
      <c r="D93" s="51"/>
      <c r="E93" s="14" t="s">
        <v>24</v>
      </c>
      <c r="F93" s="14">
        <f t="shared" si="9"/>
        <v>3</v>
      </c>
      <c r="G93" s="14" t="s">
        <v>31</v>
      </c>
      <c r="H93" s="14">
        <f t="shared" si="10"/>
        <v>1</v>
      </c>
      <c r="I93" s="14" t="s">
        <v>31</v>
      </c>
      <c r="J93" s="14">
        <f t="shared" si="11"/>
        <v>1</v>
      </c>
      <c r="K93" s="14" t="s">
        <v>24</v>
      </c>
      <c r="L93" s="14">
        <f t="shared" si="6"/>
        <v>3</v>
      </c>
      <c r="M93" s="15" t="s">
        <v>24</v>
      </c>
      <c r="N93" s="14">
        <f t="shared" si="7"/>
        <v>3</v>
      </c>
      <c r="O93" s="15" t="s">
        <v>24</v>
      </c>
      <c r="P93" s="14">
        <f t="shared" si="8"/>
        <v>3</v>
      </c>
      <c r="Q93" s="16" t="s">
        <v>537</v>
      </c>
      <c r="R93" s="16" t="s">
        <v>538</v>
      </c>
      <c r="S93" s="16" t="s">
        <v>83</v>
      </c>
      <c r="T93" s="16" t="s">
        <v>249</v>
      </c>
      <c r="U93" s="17" t="s">
        <v>539</v>
      </c>
      <c r="V93" s="17" t="s">
        <v>540</v>
      </c>
      <c r="W93" s="47"/>
      <c r="X93" s="47"/>
      <c r="Y93" s="47"/>
      <c r="Z93" s="47"/>
      <c r="AA93" s="47"/>
      <c r="AB93" s="47"/>
    </row>
    <row r="94" spans="1:28" ht="34.049999999999997" customHeight="1">
      <c r="A94" s="43"/>
      <c r="B94" s="43"/>
      <c r="C94" s="13" t="s">
        <v>541</v>
      </c>
      <c r="D94" s="51"/>
      <c r="E94" s="14" t="s">
        <v>24</v>
      </c>
      <c r="F94" s="14">
        <f t="shared" si="9"/>
        <v>3</v>
      </c>
      <c r="G94" s="14" t="s">
        <v>31</v>
      </c>
      <c r="H94" s="14">
        <f t="shared" si="10"/>
        <v>1</v>
      </c>
      <c r="I94" s="14" t="s">
        <v>31</v>
      </c>
      <c r="J94" s="14">
        <f t="shared" si="11"/>
        <v>1</v>
      </c>
      <c r="K94" s="14" t="s">
        <v>24</v>
      </c>
      <c r="L94" s="14">
        <f t="shared" si="6"/>
        <v>3</v>
      </c>
      <c r="M94" s="15" t="s">
        <v>24</v>
      </c>
      <c r="N94" s="14">
        <f t="shared" si="7"/>
        <v>3</v>
      </c>
      <c r="O94" s="15" t="s">
        <v>24</v>
      </c>
      <c r="P94" s="14">
        <f t="shared" si="8"/>
        <v>3</v>
      </c>
      <c r="Q94" s="16" t="s">
        <v>542</v>
      </c>
      <c r="R94" s="16" t="s">
        <v>543</v>
      </c>
      <c r="S94" s="16" t="s">
        <v>83</v>
      </c>
      <c r="T94" s="16" t="s">
        <v>181</v>
      </c>
      <c r="U94" s="17" t="s">
        <v>544</v>
      </c>
      <c r="V94" s="17" t="s">
        <v>545</v>
      </c>
      <c r="W94" s="47"/>
      <c r="X94" s="47"/>
      <c r="Y94" s="47"/>
      <c r="Z94" s="47"/>
      <c r="AA94" s="47"/>
      <c r="AB94" s="47"/>
    </row>
    <row r="95" spans="1:28" ht="62.4">
      <c r="A95" s="43"/>
      <c r="B95" s="43"/>
      <c r="C95" s="13" t="s">
        <v>546</v>
      </c>
      <c r="D95" s="51"/>
      <c r="E95" s="14" t="s">
        <v>24</v>
      </c>
      <c r="F95" s="14">
        <f t="shared" si="9"/>
        <v>3</v>
      </c>
      <c r="G95" s="14" t="s">
        <v>31</v>
      </c>
      <c r="H95" s="14">
        <f t="shared" si="10"/>
        <v>1</v>
      </c>
      <c r="I95" s="14" t="s">
        <v>24</v>
      </c>
      <c r="J95" s="14">
        <f t="shared" si="11"/>
        <v>3</v>
      </c>
      <c r="K95" s="14" t="s">
        <v>24</v>
      </c>
      <c r="L95" s="14">
        <f t="shared" si="6"/>
        <v>3</v>
      </c>
      <c r="M95" s="15" t="s">
        <v>24</v>
      </c>
      <c r="N95" s="14">
        <f t="shared" si="7"/>
        <v>3</v>
      </c>
      <c r="O95" s="15" t="s">
        <v>24</v>
      </c>
      <c r="P95" s="14">
        <f t="shared" si="8"/>
        <v>3</v>
      </c>
      <c r="Q95" s="16" t="s">
        <v>547</v>
      </c>
      <c r="R95" s="16" t="s">
        <v>548</v>
      </c>
      <c r="S95" s="16" t="s">
        <v>83</v>
      </c>
      <c r="T95" s="16" t="s">
        <v>194</v>
      </c>
      <c r="U95" s="17" t="s">
        <v>549</v>
      </c>
      <c r="V95" s="17" t="s">
        <v>550</v>
      </c>
      <c r="W95" s="47"/>
      <c r="X95" s="47"/>
      <c r="Y95" s="47"/>
      <c r="Z95" s="47"/>
      <c r="AA95" s="47"/>
      <c r="AB95" s="47"/>
    </row>
    <row r="96" spans="1:28" ht="34.049999999999997" customHeight="1">
      <c r="A96" s="43"/>
      <c r="B96" s="43"/>
      <c r="C96" s="13" t="s">
        <v>551</v>
      </c>
      <c r="D96" s="51"/>
      <c r="E96" s="14" t="s">
        <v>24</v>
      </c>
      <c r="F96" s="14">
        <f t="shared" si="9"/>
        <v>3</v>
      </c>
      <c r="G96" s="14" t="s">
        <v>31</v>
      </c>
      <c r="H96" s="14">
        <f t="shared" si="10"/>
        <v>1</v>
      </c>
      <c r="I96" s="14" t="s">
        <v>24</v>
      </c>
      <c r="J96" s="14">
        <f t="shared" si="11"/>
        <v>3</v>
      </c>
      <c r="K96" s="14" t="s">
        <v>24</v>
      </c>
      <c r="L96" s="14">
        <f t="shared" si="6"/>
        <v>3</v>
      </c>
      <c r="M96" s="15" t="s">
        <v>24</v>
      </c>
      <c r="N96" s="14">
        <f t="shared" si="7"/>
        <v>3</v>
      </c>
      <c r="O96" s="15" t="s">
        <v>24</v>
      </c>
      <c r="P96" s="14">
        <f t="shared" si="8"/>
        <v>3</v>
      </c>
      <c r="Q96" s="16" t="s">
        <v>552</v>
      </c>
      <c r="R96" s="16" t="s">
        <v>553</v>
      </c>
      <c r="S96" s="16"/>
      <c r="T96" s="16" t="s">
        <v>554</v>
      </c>
      <c r="U96" s="17" t="s">
        <v>555</v>
      </c>
      <c r="V96" s="17" t="s">
        <v>556</v>
      </c>
      <c r="W96" s="47"/>
      <c r="X96" s="47"/>
      <c r="Y96" s="47"/>
      <c r="Z96" s="47"/>
      <c r="AA96" s="47"/>
      <c r="AB96" s="47"/>
    </row>
    <row r="97" spans="1:28" ht="32.25" customHeight="1">
      <c r="A97" s="43"/>
      <c r="B97" s="43"/>
      <c r="C97" s="13" t="s">
        <v>557</v>
      </c>
      <c r="D97" s="51"/>
      <c r="E97" s="14" t="s">
        <v>24</v>
      </c>
      <c r="F97" s="14">
        <f t="shared" si="9"/>
        <v>3</v>
      </c>
      <c r="G97" s="14" t="s">
        <v>31</v>
      </c>
      <c r="H97" s="14">
        <f t="shared" si="10"/>
        <v>1</v>
      </c>
      <c r="I97" s="14" t="s">
        <v>24</v>
      </c>
      <c r="J97" s="14">
        <f t="shared" si="11"/>
        <v>3</v>
      </c>
      <c r="K97" s="14" t="s">
        <v>24</v>
      </c>
      <c r="L97" s="14">
        <f t="shared" si="6"/>
        <v>3</v>
      </c>
      <c r="M97" s="15" t="s">
        <v>148</v>
      </c>
      <c r="N97" s="14">
        <f t="shared" si="7"/>
        <v>0</v>
      </c>
      <c r="O97" s="15" t="s">
        <v>24</v>
      </c>
      <c r="P97" s="14">
        <f t="shared" si="8"/>
        <v>3</v>
      </c>
      <c r="Q97" s="16" t="s">
        <v>558</v>
      </c>
      <c r="R97" s="16" t="s">
        <v>559</v>
      </c>
      <c r="S97" s="16" t="s">
        <v>83</v>
      </c>
      <c r="T97" s="16" t="s">
        <v>295</v>
      </c>
      <c r="U97" s="17" t="s">
        <v>560</v>
      </c>
      <c r="V97" s="17" t="s">
        <v>561</v>
      </c>
      <c r="W97" s="47"/>
      <c r="X97" s="47"/>
      <c r="Y97" s="47"/>
      <c r="Z97" s="47"/>
      <c r="AA97" s="47"/>
      <c r="AB97" s="47"/>
    </row>
    <row r="98" spans="1:28" ht="32.25" customHeight="1">
      <c r="A98" s="43"/>
      <c r="B98" s="43"/>
      <c r="C98" s="13" t="s">
        <v>562</v>
      </c>
      <c r="D98" s="51"/>
      <c r="E98" s="14" t="s">
        <v>24</v>
      </c>
      <c r="F98" s="14">
        <f t="shared" si="9"/>
        <v>3</v>
      </c>
      <c r="G98" s="14" t="s">
        <v>24</v>
      </c>
      <c r="H98" s="14">
        <f t="shared" si="10"/>
        <v>3</v>
      </c>
      <c r="I98" s="14" t="s">
        <v>24</v>
      </c>
      <c r="J98" s="14">
        <f t="shared" si="11"/>
        <v>3</v>
      </c>
      <c r="K98" s="14" t="s">
        <v>24</v>
      </c>
      <c r="L98" s="14">
        <f t="shared" si="6"/>
        <v>3</v>
      </c>
      <c r="M98" s="15" t="s">
        <v>24</v>
      </c>
      <c r="N98" s="14">
        <f t="shared" si="7"/>
        <v>3</v>
      </c>
      <c r="O98" s="15" t="s">
        <v>24</v>
      </c>
      <c r="P98" s="14">
        <f t="shared" si="8"/>
        <v>3</v>
      </c>
      <c r="Q98" s="16" t="s">
        <v>563</v>
      </c>
      <c r="R98" s="16" t="s">
        <v>564</v>
      </c>
      <c r="S98" s="16" t="s">
        <v>83</v>
      </c>
      <c r="T98" s="16" t="s">
        <v>181</v>
      </c>
      <c r="U98" s="17" t="s">
        <v>565</v>
      </c>
      <c r="V98" s="17" t="s">
        <v>566</v>
      </c>
      <c r="W98" s="47"/>
      <c r="X98" s="47"/>
      <c r="Y98" s="47"/>
      <c r="Z98" s="47"/>
      <c r="AA98" s="47"/>
      <c r="AB98" s="47"/>
    </row>
    <row r="99" spans="1:28" ht="32.25" customHeight="1">
      <c r="A99" s="43"/>
      <c r="B99" s="43"/>
      <c r="C99" s="13" t="s">
        <v>567</v>
      </c>
      <c r="D99" s="51"/>
      <c r="E99" s="14" t="s">
        <v>24</v>
      </c>
      <c r="F99" s="14">
        <f t="shared" si="9"/>
        <v>3</v>
      </c>
      <c r="G99" s="14" t="s">
        <v>24</v>
      </c>
      <c r="H99" s="14">
        <f t="shared" si="10"/>
        <v>3</v>
      </c>
      <c r="I99" s="14" t="s">
        <v>31</v>
      </c>
      <c r="J99" s="14">
        <f t="shared" si="11"/>
        <v>1</v>
      </c>
      <c r="K99" s="14" t="s">
        <v>24</v>
      </c>
      <c r="L99" s="14">
        <f t="shared" si="6"/>
        <v>3</v>
      </c>
      <c r="M99" s="15" t="s">
        <v>24</v>
      </c>
      <c r="N99" s="14">
        <f t="shared" si="7"/>
        <v>3</v>
      </c>
      <c r="O99" s="15" t="s">
        <v>24</v>
      </c>
      <c r="P99" s="14">
        <f t="shared" si="8"/>
        <v>3</v>
      </c>
      <c r="Q99" s="16" t="s">
        <v>568</v>
      </c>
      <c r="R99" s="16" t="s">
        <v>569</v>
      </c>
      <c r="S99" s="16" t="s">
        <v>83</v>
      </c>
      <c r="T99" s="16" t="s">
        <v>194</v>
      </c>
      <c r="U99" s="17" t="s">
        <v>570</v>
      </c>
      <c r="V99" s="17" t="s">
        <v>571</v>
      </c>
      <c r="W99" s="47"/>
      <c r="X99" s="47"/>
      <c r="Y99" s="47"/>
      <c r="Z99" s="47"/>
      <c r="AA99" s="47"/>
      <c r="AB99" s="47"/>
    </row>
    <row r="100" spans="1:28" ht="52.95" customHeight="1">
      <c r="A100" s="43"/>
      <c r="B100" s="43"/>
      <c r="C100" s="13" t="s">
        <v>572</v>
      </c>
      <c r="D100" s="51"/>
      <c r="E100" s="14" t="s">
        <v>31</v>
      </c>
      <c r="F100" s="14">
        <f t="shared" si="9"/>
        <v>1</v>
      </c>
      <c r="G100" s="14" t="s">
        <v>148</v>
      </c>
      <c r="H100" s="14">
        <f t="shared" si="10"/>
        <v>0</v>
      </c>
      <c r="I100" s="14" t="s">
        <v>31</v>
      </c>
      <c r="J100" s="14">
        <f t="shared" si="11"/>
        <v>1</v>
      </c>
      <c r="K100" s="14" t="s">
        <v>31</v>
      </c>
      <c r="L100" s="14">
        <f t="shared" si="6"/>
        <v>1</v>
      </c>
      <c r="M100" s="15" t="s">
        <v>148</v>
      </c>
      <c r="N100" s="14">
        <f t="shared" si="7"/>
        <v>0</v>
      </c>
      <c r="O100" s="15" t="s">
        <v>24</v>
      </c>
      <c r="P100" s="14">
        <f t="shared" si="8"/>
        <v>3</v>
      </c>
      <c r="Q100" s="16" t="s">
        <v>573</v>
      </c>
      <c r="R100" s="16" t="s">
        <v>574</v>
      </c>
      <c r="S100" s="16" t="s">
        <v>194</v>
      </c>
      <c r="T100" s="16" t="s">
        <v>575</v>
      </c>
      <c r="U100" s="17" t="s">
        <v>576</v>
      </c>
      <c r="V100" s="17" t="s">
        <v>577</v>
      </c>
      <c r="W100" s="47"/>
      <c r="X100" s="47"/>
      <c r="Y100" s="47"/>
      <c r="Z100" s="47"/>
      <c r="AA100" s="47"/>
      <c r="AB100" s="47"/>
    </row>
    <row r="101" spans="1:28" ht="32.25" customHeight="1">
      <c r="A101" s="43"/>
      <c r="B101" s="43"/>
      <c r="C101" s="13" t="s">
        <v>578</v>
      </c>
      <c r="D101" s="51"/>
      <c r="E101" s="14" t="s">
        <v>24</v>
      </c>
      <c r="F101" s="14">
        <f t="shared" si="9"/>
        <v>3</v>
      </c>
      <c r="G101" s="14" t="s">
        <v>31</v>
      </c>
      <c r="H101" s="14">
        <f t="shared" si="10"/>
        <v>1</v>
      </c>
      <c r="I101" s="14" t="s">
        <v>24</v>
      </c>
      <c r="J101" s="14">
        <f t="shared" si="11"/>
        <v>3</v>
      </c>
      <c r="K101" s="14" t="s">
        <v>24</v>
      </c>
      <c r="L101" s="14">
        <f t="shared" si="6"/>
        <v>3</v>
      </c>
      <c r="M101" s="15" t="s">
        <v>24</v>
      </c>
      <c r="N101" s="14">
        <f t="shared" si="7"/>
        <v>3</v>
      </c>
      <c r="O101" s="15" t="s">
        <v>24</v>
      </c>
      <c r="P101" s="14">
        <f t="shared" si="8"/>
        <v>3</v>
      </c>
      <c r="Q101" s="16" t="s">
        <v>579</v>
      </c>
      <c r="R101" s="16" t="s">
        <v>580</v>
      </c>
      <c r="S101" s="16" t="s">
        <v>83</v>
      </c>
      <c r="T101" s="16" t="s">
        <v>295</v>
      </c>
      <c r="U101" s="17" t="s">
        <v>581</v>
      </c>
      <c r="V101" s="17" t="s">
        <v>582</v>
      </c>
      <c r="W101" s="47"/>
      <c r="X101" s="47"/>
      <c r="Y101" s="47"/>
      <c r="Z101" s="47"/>
      <c r="AA101" s="47"/>
      <c r="AB101" s="47"/>
    </row>
    <row r="102" spans="1:28" ht="34.049999999999997" customHeight="1">
      <c r="A102" s="43"/>
      <c r="B102" s="43"/>
      <c r="C102" s="13" t="s">
        <v>583</v>
      </c>
      <c r="D102" s="51"/>
      <c r="E102" s="61" t="s">
        <v>31</v>
      </c>
      <c r="F102" s="55">
        <f>IF(E102="C",3,IF(E102="PC",1,IF(E102="NC",0,"")))</f>
        <v>1</v>
      </c>
      <c r="G102" s="55" t="s">
        <v>31</v>
      </c>
      <c r="H102" s="55">
        <f t="shared" si="10"/>
        <v>1</v>
      </c>
      <c r="I102" s="55" t="s">
        <v>31</v>
      </c>
      <c r="J102" s="55">
        <f t="shared" si="11"/>
        <v>1</v>
      </c>
      <c r="K102" s="55" t="s">
        <v>31</v>
      </c>
      <c r="L102" s="55">
        <f t="shared" si="6"/>
        <v>1</v>
      </c>
      <c r="M102" s="55" t="s">
        <v>24</v>
      </c>
      <c r="N102" s="55">
        <f t="shared" si="7"/>
        <v>3</v>
      </c>
      <c r="O102" s="55" t="s">
        <v>24</v>
      </c>
      <c r="P102" s="55">
        <f t="shared" si="8"/>
        <v>3</v>
      </c>
      <c r="Q102" s="58" t="s">
        <v>584</v>
      </c>
      <c r="R102" s="58" t="s">
        <v>585</v>
      </c>
      <c r="S102" s="64"/>
      <c r="T102" s="58" t="s">
        <v>586</v>
      </c>
      <c r="U102" s="17" t="s">
        <v>587</v>
      </c>
      <c r="V102" s="17" t="s">
        <v>588</v>
      </c>
      <c r="W102" s="47"/>
      <c r="X102" s="47"/>
      <c r="Y102" s="47"/>
      <c r="Z102" s="47"/>
      <c r="AA102" s="47"/>
      <c r="AB102" s="47"/>
    </row>
    <row r="103" spans="1:28" ht="19.05" customHeight="1">
      <c r="A103" s="43"/>
      <c r="B103" s="43"/>
      <c r="C103" s="13" t="s">
        <v>589</v>
      </c>
      <c r="D103" s="51"/>
      <c r="E103" s="62"/>
      <c r="F103" s="56"/>
      <c r="G103" s="56"/>
      <c r="H103" s="56" t="str">
        <f t="shared" si="10"/>
        <v/>
      </c>
      <c r="I103" s="56"/>
      <c r="J103" s="56" t="str">
        <f t="shared" si="11"/>
        <v/>
      </c>
      <c r="K103" s="56"/>
      <c r="L103" s="56" t="str">
        <f t="shared" si="6"/>
        <v/>
      </c>
      <c r="M103" s="56" t="s">
        <v>24</v>
      </c>
      <c r="N103" s="56">
        <f t="shared" si="7"/>
        <v>3</v>
      </c>
      <c r="O103" s="56" t="s">
        <v>24</v>
      </c>
      <c r="P103" s="56">
        <f t="shared" si="8"/>
        <v>3</v>
      </c>
      <c r="Q103" s="59"/>
      <c r="R103" s="59"/>
      <c r="S103" s="47"/>
      <c r="T103" s="59"/>
      <c r="U103" s="17" t="s">
        <v>590</v>
      </c>
      <c r="V103" s="17" t="s">
        <v>590</v>
      </c>
      <c r="W103" s="47"/>
      <c r="X103" s="47"/>
      <c r="Y103" s="47"/>
      <c r="Z103" s="47"/>
      <c r="AA103" s="47"/>
      <c r="AB103" s="47"/>
    </row>
    <row r="104" spans="1:28" ht="19.05" customHeight="1">
      <c r="A104" s="43"/>
      <c r="B104" s="43"/>
      <c r="C104" s="13" t="s">
        <v>591</v>
      </c>
      <c r="D104" s="51"/>
      <c r="E104" s="62"/>
      <c r="F104" s="56"/>
      <c r="G104" s="56"/>
      <c r="H104" s="56" t="str">
        <f t="shared" si="10"/>
        <v/>
      </c>
      <c r="I104" s="56"/>
      <c r="J104" s="56" t="str">
        <f t="shared" si="11"/>
        <v/>
      </c>
      <c r="K104" s="56"/>
      <c r="L104" s="56" t="str">
        <f t="shared" si="6"/>
        <v/>
      </c>
      <c r="M104" s="56" t="s">
        <v>24</v>
      </c>
      <c r="N104" s="56">
        <f t="shared" si="7"/>
        <v>3</v>
      </c>
      <c r="O104" s="56" t="s">
        <v>24</v>
      </c>
      <c r="P104" s="56">
        <f t="shared" si="8"/>
        <v>3</v>
      </c>
      <c r="Q104" s="59"/>
      <c r="R104" s="59"/>
      <c r="S104" s="47"/>
      <c r="T104" s="59"/>
      <c r="U104" s="17" t="s">
        <v>592</v>
      </c>
      <c r="V104" s="17" t="s">
        <v>592</v>
      </c>
      <c r="W104" s="47"/>
      <c r="X104" s="47"/>
      <c r="Y104" s="47"/>
      <c r="Z104" s="47"/>
      <c r="AA104" s="47"/>
      <c r="AB104" s="47"/>
    </row>
    <row r="105" spans="1:28" ht="34.049999999999997" customHeight="1">
      <c r="A105" s="43"/>
      <c r="B105" s="43"/>
      <c r="C105" s="13" t="s">
        <v>593</v>
      </c>
      <c r="D105" s="51"/>
      <c r="E105" s="62"/>
      <c r="F105" s="56"/>
      <c r="G105" s="56"/>
      <c r="H105" s="56" t="str">
        <f t="shared" si="10"/>
        <v/>
      </c>
      <c r="I105" s="56"/>
      <c r="J105" s="56" t="str">
        <f t="shared" si="11"/>
        <v/>
      </c>
      <c r="K105" s="56"/>
      <c r="L105" s="56" t="str">
        <f t="shared" si="6"/>
        <v/>
      </c>
      <c r="M105" s="56" t="s">
        <v>24</v>
      </c>
      <c r="N105" s="56">
        <f t="shared" si="7"/>
        <v>3</v>
      </c>
      <c r="O105" s="56" t="s">
        <v>24</v>
      </c>
      <c r="P105" s="56">
        <f t="shared" si="8"/>
        <v>3</v>
      </c>
      <c r="Q105" s="59"/>
      <c r="R105" s="59"/>
      <c r="S105" s="47"/>
      <c r="T105" s="59"/>
      <c r="U105" s="17" t="s">
        <v>594</v>
      </c>
      <c r="V105" s="17" t="s">
        <v>595</v>
      </c>
      <c r="W105" s="47"/>
      <c r="X105" s="47"/>
      <c r="Y105" s="47"/>
      <c r="Z105" s="47"/>
      <c r="AA105" s="47"/>
      <c r="AB105" s="47"/>
    </row>
    <row r="106" spans="1:28" ht="19.05" customHeight="1">
      <c r="A106" s="43"/>
      <c r="B106" s="43"/>
      <c r="C106" s="13" t="s">
        <v>596</v>
      </c>
      <c r="D106" s="51"/>
      <c r="E106" s="62"/>
      <c r="F106" s="56"/>
      <c r="G106" s="56"/>
      <c r="H106" s="56" t="str">
        <f t="shared" si="10"/>
        <v/>
      </c>
      <c r="I106" s="56"/>
      <c r="J106" s="56" t="str">
        <f t="shared" si="11"/>
        <v/>
      </c>
      <c r="K106" s="56"/>
      <c r="L106" s="56" t="str">
        <f t="shared" si="6"/>
        <v/>
      </c>
      <c r="M106" s="56" t="s">
        <v>24</v>
      </c>
      <c r="N106" s="56">
        <f t="shared" si="7"/>
        <v>3</v>
      </c>
      <c r="O106" s="56" t="s">
        <v>24</v>
      </c>
      <c r="P106" s="56">
        <f t="shared" si="8"/>
        <v>3</v>
      </c>
      <c r="Q106" s="59"/>
      <c r="R106" s="59"/>
      <c r="S106" s="47"/>
      <c r="T106" s="59"/>
      <c r="U106" s="17" t="s">
        <v>597</v>
      </c>
      <c r="V106" s="17" t="s">
        <v>598</v>
      </c>
      <c r="W106" s="47"/>
      <c r="X106" s="47"/>
      <c r="Y106" s="47"/>
      <c r="Z106" s="47"/>
      <c r="AA106" s="47"/>
      <c r="AB106" s="47"/>
    </row>
    <row r="107" spans="1:28" ht="19.05" customHeight="1">
      <c r="A107" s="43"/>
      <c r="B107" s="43"/>
      <c r="C107" s="13" t="s">
        <v>599</v>
      </c>
      <c r="D107" s="51"/>
      <c r="E107" s="62"/>
      <c r="F107" s="56"/>
      <c r="G107" s="56"/>
      <c r="H107" s="56" t="str">
        <f t="shared" si="10"/>
        <v/>
      </c>
      <c r="I107" s="56"/>
      <c r="J107" s="56" t="str">
        <f t="shared" si="11"/>
        <v/>
      </c>
      <c r="K107" s="56"/>
      <c r="L107" s="56" t="str">
        <f t="shared" si="6"/>
        <v/>
      </c>
      <c r="M107" s="56" t="s">
        <v>24</v>
      </c>
      <c r="N107" s="56">
        <f t="shared" si="7"/>
        <v>3</v>
      </c>
      <c r="O107" s="56" t="s">
        <v>24</v>
      </c>
      <c r="P107" s="56">
        <f t="shared" si="8"/>
        <v>3</v>
      </c>
      <c r="Q107" s="59"/>
      <c r="R107" s="59"/>
      <c r="S107" s="47"/>
      <c r="T107" s="59"/>
      <c r="U107" s="17" t="s">
        <v>600</v>
      </c>
      <c r="V107" s="17" t="s">
        <v>601</v>
      </c>
      <c r="W107" s="47"/>
      <c r="X107" s="47"/>
      <c r="Y107" s="47"/>
      <c r="Z107" s="47"/>
      <c r="AA107" s="47"/>
      <c r="AB107" s="47"/>
    </row>
    <row r="108" spans="1:28" ht="19.05" customHeight="1">
      <c r="A108" s="43"/>
      <c r="B108" s="43"/>
      <c r="C108" s="13" t="s">
        <v>602</v>
      </c>
      <c r="D108" s="51"/>
      <c r="E108" s="62"/>
      <c r="F108" s="56"/>
      <c r="G108" s="56"/>
      <c r="H108" s="56" t="str">
        <f t="shared" si="10"/>
        <v/>
      </c>
      <c r="I108" s="56"/>
      <c r="J108" s="56" t="str">
        <f t="shared" si="11"/>
        <v/>
      </c>
      <c r="K108" s="56"/>
      <c r="L108" s="56" t="str">
        <f t="shared" si="6"/>
        <v/>
      </c>
      <c r="M108" s="56" t="s">
        <v>24</v>
      </c>
      <c r="N108" s="56">
        <f t="shared" si="7"/>
        <v>3</v>
      </c>
      <c r="O108" s="56" t="s">
        <v>24</v>
      </c>
      <c r="P108" s="56">
        <f t="shared" si="8"/>
        <v>3</v>
      </c>
      <c r="Q108" s="59"/>
      <c r="R108" s="59"/>
      <c r="S108" s="47"/>
      <c r="T108" s="59"/>
      <c r="U108" s="17" t="s">
        <v>603</v>
      </c>
      <c r="V108" s="17" t="s">
        <v>604</v>
      </c>
      <c r="W108" s="47"/>
      <c r="X108" s="47"/>
      <c r="Y108" s="47"/>
      <c r="Z108" s="47"/>
      <c r="AA108" s="47"/>
      <c r="AB108" s="47"/>
    </row>
    <row r="109" spans="1:28" ht="19.05" customHeight="1">
      <c r="A109" s="43"/>
      <c r="B109" s="43"/>
      <c r="C109" s="13" t="s">
        <v>605</v>
      </c>
      <c r="D109" s="51"/>
      <c r="E109" s="62"/>
      <c r="F109" s="56"/>
      <c r="G109" s="56"/>
      <c r="H109" s="56" t="str">
        <f t="shared" si="10"/>
        <v/>
      </c>
      <c r="I109" s="56"/>
      <c r="J109" s="56" t="str">
        <f t="shared" si="11"/>
        <v/>
      </c>
      <c r="K109" s="56"/>
      <c r="L109" s="56" t="str">
        <f t="shared" si="6"/>
        <v/>
      </c>
      <c r="M109" s="56" t="s">
        <v>24</v>
      </c>
      <c r="N109" s="56">
        <f t="shared" si="7"/>
        <v>3</v>
      </c>
      <c r="O109" s="56" t="s">
        <v>24</v>
      </c>
      <c r="P109" s="56">
        <f t="shared" si="8"/>
        <v>3</v>
      </c>
      <c r="Q109" s="59"/>
      <c r="R109" s="59"/>
      <c r="S109" s="47"/>
      <c r="T109" s="59"/>
      <c r="U109" s="17" t="s">
        <v>606</v>
      </c>
      <c r="V109" s="17" t="s">
        <v>606</v>
      </c>
      <c r="W109" s="47"/>
      <c r="X109" s="47"/>
      <c r="Y109" s="47"/>
      <c r="Z109" s="47"/>
      <c r="AA109" s="47"/>
      <c r="AB109" s="47"/>
    </row>
    <row r="110" spans="1:28" ht="19.05" customHeight="1">
      <c r="A110" s="43"/>
      <c r="B110" s="43"/>
      <c r="C110" s="13" t="s">
        <v>607</v>
      </c>
      <c r="D110" s="51"/>
      <c r="E110" s="62"/>
      <c r="F110" s="56"/>
      <c r="G110" s="56"/>
      <c r="H110" s="56" t="str">
        <f t="shared" si="10"/>
        <v/>
      </c>
      <c r="I110" s="56"/>
      <c r="J110" s="56" t="str">
        <f t="shared" si="11"/>
        <v/>
      </c>
      <c r="K110" s="56"/>
      <c r="L110" s="56" t="str">
        <f t="shared" si="6"/>
        <v/>
      </c>
      <c r="M110" s="56" t="s">
        <v>24</v>
      </c>
      <c r="N110" s="56">
        <f t="shared" si="7"/>
        <v>3</v>
      </c>
      <c r="O110" s="56" t="s">
        <v>24</v>
      </c>
      <c r="P110" s="56">
        <f t="shared" si="8"/>
        <v>3</v>
      </c>
      <c r="Q110" s="59"/>
      <c r="R110" s="59"/>
      <c r="S110" s="47"/>
      <c r="T110" s="59"/>
      <c r="U110" s="17" t="s">
        <v>608</v>
      </c>
      <c r="V110" s="17" t="s">
        <v>608</v>
      </c>
      <c r="W110" s="47"/>
      <c r="X110" s="47"/>
      <c r="Y110" s="47"/>
      <c r="Z110" s="47"/>
      <c r="AA110" s="47"/>
      <c r="AB110" s="47"/>
    </row>
    <row r="111" spans="1:28" ht="19.05" customHeight="1">
      <c r="A111" s="43"/>
      <c r="B111" s="43"/>
      <c r="C111" s="13" t="s">
        <v>609</v>
      </c>
      <c r="D111" s="51"/>
      <c r="E111" s="62"/>
      <c r="F111" s="56"/>
      <c r="G111" s="56"/>
      <c r="H111" s="56" t="str">
        <f t="shared" si="10"/>
        <v/>
      </c>
      <c r="I111" s="56"/>
      <c r="J111" s="56" t="str">
        <f t="shared" si="11"/>
        <v/>
      </c>
      <c r="K111" s="56"/>
      <c r="L111" s="56" t="str">
        <f t="shared" si="6"/>
        <v/>
      </c>
      <c r="M111" s="56" t="s">
        <v>24</v>
      </c>
      <c r="N111" s="56">
        <f t="shared" si="7"/>
        <v>3</v>
      </c>
      <c r="O111" s="56" t="s">
        <v>24</v>
      </c>
      <c r="P111" s="56">
        <f t="shared" si="8"/>
        <v>3</v>
      </c>
      <c r="Q111" s="59"/>
      <c r="R111" s="59"/>
      <c r="S111" s="47"/>
      <c r="T111" s="59"/>
      <c r="U111" s="17" t="s">
        <v>610</v>
      </c>
      <c r="V111" s="17" t="s">
        <v>611</v>
      </c>
      <c r="W111" s="47"/>
      <c r="X111" s="47"/>
      <c r="Y111" s="47"/>
      <c r="Z111" s="47"/>
      <c r="AA111" s="47"/>
      <c r="AB111" s="47"/>
    </row>
    <row r="112" spans="1:28" ht="19.05" customHeight="1">
      <c r="A112" s="43"/>
      <c r="B112" s="43"/>
      <c r="C112" s="13" t="s">
        <v>612</v>
      </c>
      <c r="D112" s="51"/>
      <c r="E112" s="62"/>
      <c r="F112" s="56"/>
      <c r="G112" s="56"/>
      <c r="H112" s="56" t="str">
        <f t="shared" si="10"/>
        <v/>
      </c>
      <c r="I112" s="56"/>
      <c r="J112" s="56" t="str">
        <f t="shared" si="11"/>
        <v/>
      </c>
      <c r="K112" s="56"/>
      <c r="L112" s="56" t="str">
        <f t="shared" si="6"/>
        <v/>
      </c>
      <c r="M112" s="56" t="s">
        <v>24</v>
      </c>
      <c r="N112" s="56">
        <f t="shared" si="7"/>
        <v>3</v>
      </c>
      <c r="O112" s="56" t="s">
        <v>24</v>
      </c>
      <c r="P112" s="56">
        <f t="shared" si="8"/>
        <v>3</v>
      </c>
      <c r="Q112" s="59"/>
      <c r="R112" s="59"/>
      <c r="S112" s="47"/>
      <c r="T112" s="59"/>
      <c r="U112" s="17" t="s">
        <v>613</v>
      </c>
      <c r="V112" s="17" t="s">
        <v>614</v>
      </c>
      <c r="W112" s="47"/>
      <c r="X112" s="47"/>
      <c r="Y112" s="47"/>
      <c r="Z112" s="47"/>
      <c r="AA112" s="47"/>
      <c r="AB112" s="47"/>
    </row>
    <row r="113" spans="1:28" ht="34.049999999999997" customHeight="1">
      <c r="A113" s="43"/>
      <c r="B113" s="43"/>
      <c r="C113" s="13" t="s">
        <v>615</v>
      </c>
      <c r="D113" s="51"/>
      <c r="E113" s="62"/>
      <c r="F113" s="56"/>
      <c r="G113" s="56"/>
      <c r="H113" s="56" t="str">
        <f t="shared" si="10"/>
        <v/>
      </c>
      <c r="I113" s="56"/>
      <c r="J113" s="56" t="str">
        <f t="shared" si="11"/>
        <v/>
      </c>
      <c r="K113" s="56"/>
      <c r="L113" s="56" t="str">
        <f t="shared" si="6"/>
        <v/>
      </c>
      <c r="M113" s="56" t="s">
        <v>24</v>
      </c>
      <c r="N113" s="56">
        <f t="shared" si="7"/>
        <v>3</v>
      </c>
      <c r="O113" s="56" t="s">
        <v>24</v>
      </c>
      <c r="P113" s="56">
        <f t="shared" si="8"/>
        <v>3</v>
      </c>
      <c r="Q113" s="59"/>
      <c r="R113" s="59"/>
      <c r="S113" s="47"/>
      <c r="T113" s="59"/>
      <c r="U113" s="17" t="s">
        <v>616</v>
      </c>
      <c r="V113" s="17" t="s">
        <v>617</v>
      </c>
      <c r="W113" s="47"/>
      <c r="X113" s="47"/>
      <c r="Y113" s="47"/>
      <c r="Z113" s="47"/>
      <c r="AA113" s="47"/>
      <c r="AB113" s="47"/>
    </row>
    <row r="114" spans="1:28" ht="19.05" customHeight="1">
      <c r="A114" s="43"/>
      <c r="B114" s="43"/>
      <c r="C114" s="13" t="s">
        <v>618</v>
      </c>
      <c r="D114" s="51"/>
      <c r="E114" s="63"/>
      <c r="F114" s="57"/>
      <c r="G114" s="57"/>
      <c r="H114" s="57" t="str">
        <f t="shared" si="10"/>
        <v/>
      </c>
      <c r="I114" s="57"/>
      <c r="J114" s="57" t="str">
        <f t="shared" si="11"/>
        <v/>
      </c>
      <c r="K114" s="57"/>
      <c r="L114" s="57" t="str">
        <f t="shared" si="6"/>
        <v/>
      </c>
      <c r="M114" s="57" t="s">
        <v>24</v>
      </c>
      <c r="N114" s="57">
        <f t="shared" si="7"/>
        <v>3</v>
      </c>
      <c r="O114" s="57" t="s">
        <v>24</v>
      </c>
      <c r="P114" s="57">
        <f t="shared" si="8"/>
        <v>3</v>
      </c>
      <c r="Q114" s="60"/>
      <c r="R114" s="60"/>
      <c r="S114" s="48"/>
      <c r="T114" s="60"/>
      <c r="U114" s="17" t="s">
        <v>619</v>
      </c>
      <c r="V114" s="17" t="s">
        <v>620</v>
      </c>
      <c r="W114" s="47"/>
      <c r="X114" s="47"/>
      <c r="Y114" s="47"/>
      <c r="Z114" s="47"/>
      <c r="AA114" s="47"/>
      <c r="AB114" s="47"/>
    </row>
    <row r="115" spans="1:28" ht="46.8">
      <c r="A115" s="43"/>
      <c r="B115" s="43"/>
      <c r="C115" s="13" t="s">
        <v>621</v>
      </c>
      <c r="D115" s="51"/>
      <c r="E115" s="14" t="s">
        <v>24</v>
      </c>
      <c r="F115" s="21">
        <f t="shared" ref="F115:F178" si="12">IF(E115="C",3,IF(E115="PC",1,IF(E115="NC",0,"")))</f>
        <v>3</v>
      </c>
      <c r="G115" s="14" t="s">
        <v>31</v>
      </c>
      <c r="H115" s="21">
        <f t="shared" si="10"/>
        <v>1</v>
      </c>
      <c r="I115" s="14" t="s">
        <v>24</v>
      </c>
      <c r="J115" s="21">
        <f t="shared" si="11"/>
        <v>3</v>
      </c>
      <c r="K115" s="14" t="s">
        <v>24</v>
      </c>
      <c r="L115" s="21">
        <f t="shared" si="6"/>
        <v>3</v>
      </c>
      <c r="M115" s="15" t="s">
        <v>24</v>
      </c>
      <c r="N115" s="21">
        <f t="shared" si="7"/>
        <v>3</v>
      </c>
      <c r="O115" s="15" t="s">
        <v>24</v>
      </c>
      <c r="P115" s="21">
        <f t="shared" si="8"/>
        <v>3</v>
      </c>
      <c r="Q115" s="16" t="s">
        <v>622</v>
      </c>
      <c r="R115" s="16" t="s">
        <v>623</v>
      </c>
      <c r="S115" s="16" t="s">
        <v>83</v>
      </c>
      <c r="T115" s="16" t="s">
        <v>295</v>
      </c>
      <c r="U115" s="17" t="s">
        <v>624</v>
      </c>
      <c r="V115" s="17" t="s">
        <v>625</v>
      </c>
      <c r="W115" s="47"/>
      <c r="X115" s="47"/>
      <c r="Y115" s="47"/>
      <c r="Z115" s="47"/>
      <c r="AA115" s="47"/>
      <c r="AB115" s="47"/>
    </row>
    <row r="116" spans="1:28" ht="43.2">
      <c r="A116" s="43"/>
      <c r="B116" s="43"/>
      <c r="C116" s="13" t="s">
        <v>626</v>
      </c>
      <c r="D116" s="51"/>
      <c r="E116" s="14" t="s">
        <v>31</v>
      </c>
      <c r="F116" s="21">
        <f t="shared" si="12"/>
        <v>1</v>
      </c>
      <c r="G116" s="14" t="s">
        <v>31</v>
      </c>
      <c r="H116" s="21">
        <f t="shared" si="10"/>
        <v>1</v>
      </c>
      <c r="I116" s="14" t="s">
        <v>31</v>
      </c>
      <c r="J116" s="21">
        <f t="shared" si="11"/>
        <v>1</v>
      </c>
      <c r="K116" s="14" t="s">
        <v>148</v>
      </c>
      <c r="L116" s="21">
        <f t="shared" si="6"/>
        <v>0</v>
      </c>
      <c r="M116" s="15" t="s">
        <v>24</v>
      </c>
      <c r="N116" s="21">
        <f t="shared" si="7"/>
        <v>3</v>
      </c>
      <c r="O116" s="15" t="s">
        <v>24</v>
      </c>
      <c r="P116" s="21">
        <f t="shared" si="8"/>
        <v>3</v>
      </c>
      <c r="Q116" s="16" t="s">
        <v>627</v>
      </c>
      <c r="R116" s="16" t="s">
        <v>628</v>
      </c>
      <c r="S116" s="16" t="s">
        <v>83</v>
      </c>
      <c r="T116" s="16" t="s">
        <v>194</v>
      </c>
      <c r="U116" s="17" t="s">
        <v>629</v>
      </c>
      <c r="V116" s="17" t="s">
        <v>630</v>
      </c>
      <c r="W116" s="47"/>
      <c r="X116" s="47"/>
      <c r="Y116" s="47"/>
      <c r="Z116" s="47"/>
      <c r="AA116" s="47"/>
      <c r="AB116" s="47"/>
    </row>
    <row r="117" spans="1:28" ht="32.25" customHeight="1">
      <c r="A117" s="44"/>
      <c r="B117" s="44"/>
      <c r="C117" s="13" t="s">
        <v>631</v>
      </c>
      <c r="D117" s="51"/>
      <c r="E117" s="14" t="s">
        <v>31</v>
      </c>
      <c r="F117" s="21">
        <f t="shared" si="12"/>
        <v>1</v>
      </c>
      <c r="G117" s="14" t="s">
        <v>148</v>
      </c>
      <c r="H117" s="21">
        <f t="shared" si="10"/>
        <v>0</v>
      </c>
      <c r="I117" s="14" t="s">
        <v>31</v>
      </c>
      <c r="J117" s="21">
        <f t="shared" si="11"/>
        <v>1</v>
      </c>
      <c r="K117" s="14" t="s">
        <v>31</v>
      </c>
      <c r="L117" s="21">
        <f t="shared" si="6"/>
        <v>1</v>
      </c>
      <c r="M117" s="15" t="s">
        <v>24</v>
      </c>
      <c r="N117" s="21">
        <f t="shared" si="7"/>
        <v>3</v>
      </c>
      <c r="O117" s="15" t="s">
        <v>24</v>
      </c>
      <c r="P117" s="21">
        <f t="shared" si="8"/>
        <v>3</v>
      </c>
      <c r="Q117" s="16" t="s">
        <v>632</v>
      </c>
      <c r="R117" s="16" t="s">
        <v>633</v>
      </c>
      <c r="S117" s="22"/>
      <c r="T117" s="16" t="s">
        <v>634</v>
      </c>
      <c r="U117" s="17" t="s">
        <v>635</v>
      </c>
      <c r="V117" s="17" t="s">
        <v>636</v>
      </c>
      <c r="W117" s="48"/>
      <c r="X117" s="48"/>
      <c r="Y117" s="48"/>
      <c r="Z117" s="48"/>
      <c r="AA117" s="48"/>
      <c r="AB117" s="48"/>
    </row>
    <row r="118" spans="1:28" ht="34.049999999999997" customHeight="1">
      <c r="A118" s="42">
        <v>9</v>
      </c>
      <c r="B118" s="45" t="s">
        <v>637</v>
      </c>
      <c r="C118" s="13" t="s">
        <v>638</v>
      </c>
      <c r="D118" s="51">
        <v>7.0000000000000007E-2</v>
      </c>
      <c r="E118" s="14" t="s">
        <v>24</v>
      </c>
      <c r="F118" s="21">
        <f t="shared" si="12"/>
        <v>3</v>
      </c>
      <c r="G118" s="14" t="s">
        <v>24</v>
      </c>
      <c r="H118" s="21">
        <f t="shared" si="10"/>
        <v>3</v>
      </c>
      <c r="I118" s="14" t="s">
        <v>24</v>
      </c>
      <c r="J118" s="21">
        <f t="shared" si="11"/>
        <v>3</v>
      </c>
      <c r="K118" s="14" t="s">
        <v>31</v>
      </c>
      <c r="L118" s="21">
        <f t="shared" si="6"/>
        <v>1</v>
      </c>
      <c r="M118" s="15" t="s">
        <v>24</v>
      </c>
      <c r="N118" s="21">
        <f t="shared" si="7"/>
        <v>3</v>
      </c>
      <c r="O118" s="15" t="s">
        <v>24</v>
      </c>
      <c r="P118" s="21">
        <f t="shared" si="8"/>
        <v>3</v>
      </c>
      <c r="Q118" s="16" t="s">
        <v>639</v>
      </c>
      <c r="R118" s="16" t="s">
        <v>640</v>
      </c>
      <c r="S118" s="22"/>
      <c r="T118" s="16" t="s">
        <v>641</v>
      </c>
      <c r="U118" s="17" t="s">
        <v>642</v>
      </c>
      <c r="V118" s="17" t="s">
        <v>643</v>
      </c>
      <c r="W118" s="51">
        <f>AVERAGE(F118:F139)*$D118/3</f>
        <v>5.6000000000000001E-2</v>
      </c>
      <c r="X118" s="51">
        <f>AVERAGE(H118:H139)*$D118/3</f>
        <v>2.9555555555555557E-2</v>
      </c>
      <c r="Y118" s="51">
        <f>AVERAGE(J118:J139)*$D118/3</f>
        <v>3.8888888888888896E-2</v>
      </c>
      <c r="Z118" s="51">
        <f>AVERAGE(L118:L139)*$D118/3</f>
        <v>3.1111111111111114E-2</v>
      </c>
      <c r="AA118" s="51">
        <f>AVERAGE(N118:N139)*$D118/3</f>
        <v>6.68888888888889E-2</v>
      </c>
      <c r="AB118" s="51">
        <f>AVERAGE(P118:P139)*$D118/3</f>
        <v>7.0000000000000007E-2</v>
      </c>
    </row>
    <row r="119" spans="1:28" ht="32.25" customHeight="1">
      <c r="A119" s="43"/>
      <c r="B119" s="43"/>
      <c r="C119" s="13" t="s">
        <v>644</v>
      </c>
      <c r="D119" s="51"/>
      <c r="E119" s="14" t="s">
        <v>24</v>
      </c>
      <c r="F119" s="21">
        <f t="shared" si="12"/>
        <v>3</v>
      </c>
      <c r="G119" s="14" t="s">
        <v>24</v>
      </c>
      <c r="H119" s="21">
        <f t="shared" si="10"/>
        <v>3</v>
      </c>
      <c r="I119" s="14" t="s">
        <v>24</v>
      </c>
      <c r="J119" s="21">
        <f t="shared" si="11"/>
        <v>3</v>
      </c>
      <c r="K119" s="14" t="s">
        <v>31</v>
      </c>
      <c r="L119" s="21">
        <f t="shared" si="6"/>
        <v>1</v>
      </c>
      <c r="M119" s="15" t="s">
        <v>24</v>
      </c>
      <c r="N119" s="21">
        <f t="shared" si="7"/>
        <v>3</v>
      </c>
      <c r="O119" s="15" t="s">
        <v>24</v>
      </c>
      <c r="P119" s="21">
        <f t="shared" si="8"/>
        <v>3</v>
      </c>
      <c r="Q119" s="16" t="s">
        <v>645</v>
      </c>
      <c r="R119" s="16" t="s">
        <v>646</v>
      </c>
      <c r="S119" s="16" t="s">
        <v>83</v>
      </c>
      <c r="T119" s="16" t="s">
        <v>157</v>
      </c>
      <c r="U119" s="17" t="s">
        <v>647</v>
      </c>
      <c r="V119" s="17" t="s">
        <v>648</v>
      </c>
      <c r="W119" s="47"/>
      <c r="X119" s="47"/>
      <c r="Y119" s="47"/>
      <c r="Z119" s="47"/>
      <c r="AA119" s="47"/>
      <c r="AB119" s="47"/>
    </row>
    <row r="120" spans="1:28" ht="45">
      <c r="A120" s="43"/>
      <c r="B120" s="43"/>
      <c r="C120" s="13" t="s">
        <v>649</v>
      </c>
      <c r="D120" s="51"/>
      <c r="E120" s="55" t="s">
        <v>24</v>
      </c>
      <c r="F120" s="55">
        <v>3</v>
      </c>
      <c r="G120" s="55" t="s">
        <v>148</v>
      </c>
      <c r="H120" s="55">
        <f t="shared" si="10"/>
        <v>0</v>
      </c>
      <c r="I120" s="55" t="s">
        <v>650</v>
      </c>
      <c r="J120" s="55">
        <f t="shared" si="11"/>
        <v>1</v>
      </c>
      <c r="K120" s="55" t="s">
        <v>148</v>
      </c>
      <c r="L120" s="55">
        <f t="shared" si="6"/>
        <v>0</v>
      </c>
      <c r="M120" s="55" t="s">
        <v>31</v>
      </c>
      <c r="N120" s="55">
        <f t="shared" si="7"/>
        <v>1</v>
      </c>
      <c r="O120" s="55" t="s">
        <v>24</v>
      </c>
      <c r="P120" s="55">
        <f t="shared" si="8"/>
        <v>3</v>
      </c>
      <c r="Q120" s="16" t="s">
        <v>651</v>
      </c>
      <c r="R120" s="58" t="s">
        <v>652</v>
      </c>
      <c r="S120" s="65" t="s">
        <v>653</v>
      </c>
      <c r="T120" s="68" t="s">
        <v>654</v>
      </c>
      <c r="U120" s="17" t="s">
        <v>655</v>
      </c>
      <c r="V120" s="17" t="s">
        <v>656</v>
      </c>
      <c r="W120" s="47"/>
      <c r="X120" s="47"/>
      <c r="Y120" s="47"/>
      <c r="Z120" s="47"/>
      <c r="AA120" s="47"/>
      <c r="AB120" s="47"/>
    </row>
    <row r="121" spans="1:28" ht="34.049999999999997" customHeight="1">
      <c r="A121" s="43"/>
      <c r="B121" s="43"/>
      <c r="C121" s="13" t="s">
        <v>657</v>
      </c>
      <c r="D121" s="51"/>
      <c r="E121" s="56"/>
      <c r="F121" s="56" t="str">
        <f t="shared" si="12"/>
        <v/>
      </c>
      <c r="G121" s="56"/>
      <c r="H121" s="56" t="str">
        <f t="shared" si="10"/>
        <v/>
      </c>
      <c r="I121" s="56"/>
      <c r="J121" s="56" t="str">
        <f t="shared" si="11"/>
        <v/>
      </c>
      <c r="K121" s="56"/>
      <c r="L121" s="56" t="str">
        <f t="shared" si="6"/>
        <v/>
      </c>
      <c r="M121" s="56" t="s">
        <v>31</v>
      </c>
      <c r="N121" s="56"/>
      <c r="O121" s="56" t="s">
        <v>24</v>
      </c>
      <c r="P121" s="56"/>
      <c r="Q121" s="58" t="s">
        <v>658</v>
      </c>
      <c r="R121" s="59"/>
      <c r="S121" s="66"/>
      <c r="T121" s="69"/>
      <c r="U121" s="17" t="s">
        <v>659</v>
      </c>
      <c r="V121" s="17" t="s">
        <v>660</v>
      </c>
      <c r="W121" s="47"/>
      <c r="X121" s="47"/>
      <c r="Y121" s="47"/>
      <c r="Z121" s="47"/>
      <c r="AA121" s="47"/>
      <c r="AB121" s="47"/>
    </row>
    <row r="122" spans="1:28" ht="19.05" customHeight="1">
      <c r="A122" s="43"/>
      <c r="B122" s="43"/>
      <c r="C122" s="13" t="s">
        <v>661</v>
      </c>
      <c r="D122" s="51"/>
      <c r="E122" s="56"/>
      <c r="F122" s="56" t="str">
        <f t="shared" si="12"/>
        <v/>
      </c>
      <c r="G122" s="56"/>
      <c r="H122" s="56" t="str">
        <f t="shared" si="10"/>
        <v/>
      </c>
      <c r="I122" s="56"/>
      <c r="J122" s="56" t="str">
        <f t="shared" si="11"/>
        <v/>
      </c>
      <c r="K122" s="56"/>
      <c r="L122" s="56" t="str">
        <f t="shared" si="6"/>
        <v/>
      </c>
      <c r="M122" s="56" t="s">
        <v>31</v>
      </c>
      <c r="N122" s="56"/>
      <c r="O122" s="56" t="s">
        <v>24</v>
      </c>
      <c r="P122" s="56"/>
      <c r="Q122" s="59"/>
      <c r="R122" s="59"/>
      <c r="S122" s="66"/>
      <c r="T122" s="69"/>
      <c r="U122" s="17" t="s">
        <v>662</v>
      </c>
      <c r="V122" s="17" t="s">
        <v>663</v>
      </c>
      <c r="W122" s="47"/>
      <c r="X122" s="47"/>
      <c r="Y122" s="47"/>
      <c r="Z122" s="47"/>
      <c r="AA122" s="47"/>
      <c r="AB122" s="47"/>
    </row>
    <row r="123" spans="1:28" ht="19.05" customHeight="1">
      <c r="A123" s="43"/>
      <c r="B123" s="43"/>
      <c r="C123" s="13" t="s">
        <v>664</v>
      </c>
      <c r="D123" s="51"/>
      <c r="E123" s="56"/>
      <c r="F123" s="56" t="str">
        <f t="shared" si="12"/>
        <v/>
      </c>
      <c r="G123" s="56"/>
      <c r="H123" s="56" t="str">
        <f t="shared" si="10"/>
        <v/>
      </c>
      <c r="I123" s="56"/>
      <c r="J123" s="56" t="str">
        <f t="shared" si="11"/>
        <v/>
      </c>
      <c r="K123" s="56"/>
      <c r="L123" s="56" t="str">
        <f t="shared" si="6"/>
        <v/>
      </c>
      <c r="M123" s="56" t="s">
        <v>31</v>
      </c>
      <c r="N123" s="56"/>
      <c r="O123" s="56" t="s">
        <v>24</v>
      </c>
      <c r="P123" s="56"/>
      <c r="Q123" s="59"/>
      <c r="R123" s="59"/>
      <c r="S123" s="66"/>
      <c r="T123" s="69"/>
      <c r="U123" s="17" t="s">
        <v>665</v>
      </c>
      <c r="V123" s="17" t="s">
        <v>666</v>
      </c>
      <c r="W123" s="47"/>
      <c r="X123" s="47"/>
      <c r="Y123" s="47"/>
      <c r="Z123" s="47"/>
      <c r="AA123" s="47"/>
      <c r="AB123" s="47"/>
    </row>
    <row r="124" spans="1:28" ht="19.05" customHeight="1">
      <c r="A124" s="43"/>
      <c r="B124" s="43"/>
      <c r="C124" s="13" t="s">
        <v>667</v>
      </c>
      <c r="D124" s="51"/>
      <c r="E124" s="56"/>
      <c r="F124" s="56" t="str">
        <f t="shared" si="12"/>
        <v/>
      </c>
      <c r="G124" s="56"/>
      <c r="H124" s="56" t="str">
        <f t="shared" si="10"/>
        <v/>
      </c>
      <c r="I124" s="56"/>
      <c r="J124" s="56" t="str">
        <f t="shared" si="11"/>
        <v/>
      </c>
      <c r="K124" s="56"/>
      <c r="L124" s="56" t="str">
        <f t="shared" si="6"/>
        <v/>
      </c>
      <c r="M124" s="56" t="s">
        <v>31</v>
      </c>
      <c r="N124" s="56"/>
      <c r="O124" s="56" t="s">
        <v>24</v>
      </c>
      <c r="P124" s="56"/>
      <c r="Q124" s="59"/>
      <c r="R124" s="59"/>
      <c r="S124" s="66"/>
      <c r="T124" s="69"/>
      <c r="U124" s="17" t="s">
        <v>668</v>
      </c>
      <c r="V124" s="17" t="s">
        <v>669</v>
      </c>
      <c r="W124" s="47"/>
      <c r="X124" s="47"/>
      <c r="Y124" s="47"/>
      <c r="Z124" s="47"/>
      <c r="AA124" s="47"/>
      <c r="AB124" s="47"/>
    </row>
    <row r="125" spans="1:28" ht="19.05" customHeight="1">
      <c r="A125" s="43"/>
      <c r="B125" s="43"/>
      <c r="C125" s="13" t="s">
        <v>670</v>
      </c>
      <c r="D125" s="51"/>
      <c r="E125" s="56"/>
      <c r="F125" s="56" t="str">
        <f t="shared" si="12"/>
        <v/>
      </c>
      <c r="G125" s="56"/>
      <c r="H125" s="56" t="str">
        <f t="shared" si="10"/>
        <v/>
      </c>
      <c r="I125" s="56"/>
      <c r="J125" s="56" t="str">
        <f t="shared" si="11"/>
        <v/>
      </c>
      <c r="K125" s="56"/>
      <c r="L125" s="56" t="str">
        <f t="shared" si="6"/>
        <v/>
      </c>
      <c r="M125" s="56" t="s">
        <v>31</v>
      </c>
      <c r="N125" s="56"/>
      <c r="O125" s="56" t="s">
        <v>24</v>
      </c>
      <c r="P125" s="56"/>
      <c r="Q125" s="59"/>
      <c r="R125" s="59"/>
      <c r="S125" s="66"/>
      <c r="T125" s="69"/>
      <c r="U125" s="17" t="s">
        <v>671</v>
      </c>
      <c r="V125" s="17" t="s">
        <v>672</v>
      </c>
      <c r="W125" s="47"/>
      <c r="X125" s="47"/>
      <c r="Y125" s="47"/>
      <c r="Z125" s="47"/>
      <c r="AA125" s="47"/>
      <c r="AB125" s="47"/>
    </row>
    <row r="126" spans="1:28" ht="19.05" customHeight="1">
      <c r="A126" s="43"/>
      <c r="B126" s="43"/>
      <c r="C126" s="13" t="s">
        <v>673</v>
      </c>
      <c r="D126" s="51"/>
      <c r="E126" s="56"/>
      <c r="F126" s="56" t="str">
        <f t="shared" si="12"/>
        <v/>
      </c>
      <c r="G126" s="56"/>
      <c r="H126" s="56" t="str">
        <f t="shared" si="10"/>
        <v/>
      </c>
      <c r="I126" s="56"/>
      <c r="J126" s="56" t="str">
        <f t="shared" si="11"/>
        <v/>
      </c>
      <c r="K126" s="56"/>
      <c r="L126" s="56" t="str">
        <f t="shared" si="6"/>
        <v/>
      </c>
      <c r="M126" s="56" t="s">
        <v>31</v>
      </c>
      <c r="N126" s="56"/>
      <c r="O126" s="56" t="s">
        <v>24</v>
      </c>
      <c r="P126" s="56"/>
      <c r="Q126" s="59"/>
      <c r="R126" s="59"/>
      <c r="S126" s="66"/>
      <c r="T126" s="69"/>
      <c r="U126" s="17" t="s">
        <v>674</v>
      </c>
      <c r="V126" s="17" t="s">
        <v>675</v>
      </c>
      <c r="W126" s="47"/>
      <c r="X126" s="47"/>
      <c r="Y126" s="47"/>
      <c r="Z126" s="47"/>
      <c r="AA126" s="47"/>
      <c r="AB126" s="47"/>
    </row>
    <row r="127" spans="1:28" ht="19.05" customHeight="1">
      <c r="A127" s="43"/>
      <c r="B127" s="43"/>
      <c r="C127" s="13" t="s">
        <v>676</v>
      </c>
      <c r="D127" s="51"/>
      <c r="E127" s="57"/>
      <c r="F127" s="57" t="str">
        <f t="shared" si="12"/>
        <v/>
      </c>
      <c r="G127" s="57"/>
      <c r="H127" s="57" t="str">
        <f t="shared" si="10"/>
        <v/>
      </c>
      <c r="I127" s="57"/>
      <c r="J127" s="57" t="str">
        <f t="shared" si="11"/>
        <v/>
      </c>
      <c r="K127" s="57"/>
      <c r="L127" s="57" t="str">
        <f t="shared" si="6"/>
        <v/>
      </c>
      <c r="M127" s="57" t="s">
        <v>31</v>
      </c>
      <c r="N127" s="57"/>
      <c r="O127" s="57" t="s">
        <v>24</v>
      </c>
      <c r="P127" s="57"/>
      <c r="Q127" s="60"/>
      <c r="R127" s="60"/>
      <c r="S127" s="67"/>
      <c r="T127" s="70"/>
      <c r="U127" s="17" t="s">
        <v>677</v>
      </c>
      <c r="V127" s="17" t="s">
        <v>678</v>
      </c>
      <c r="W127" s="47"/>
      <c r="X127" s="47"/>
      <c r="Y127" s="47"/>
      <c r="Z127" s="47"/>
      <c r="AA127" s="47"/>
      <c r="AB127" s="47"/>
    </row>
    <row r="128" spans="1:28" ht="34.049999999999997" customHeight="1">
      <c r="A128" s="43"/>
      <c r="B128" s="43"/>
      <c r="C128" s="13" t="s">
        <v>679</v>
      </c>
      <c r="D128" s="51"/>
      <c r="E128" s="14" t="s">
        <v>24</v>
      </c>
      <c r="F128" s="21">
        <f t="shared" si="12"/>
        <v>3</v>
      </c>
      <c r="G128" s="14" t="s">
        <v>31</v>
      </c>
      <c r="H128" s="21">
        <f t="shared" si="10"/>
        <v>1</v>
      </c>
      <c r="I128" s="14" t="s">
        <v>24</v>
      </c>
      <c r="J128" s="21">
        <f t="shared" si="11"/>
        <v>3</v>
      </c>
      <c r="K128" s="14" t="s">
        <v>24</v>
      </c>
      <c r="L128" s="21">
        <f t="shared" si="6"/>
        <v>3</v>
      </c>
      <c r="M128" s="15" t="s">
        <v>24</v>
      </c>
      <c r="N128" s="21">
        <f t="shared" ref="N128:N191" si="13">IF(M128="C",3,IF(M128="PC",1,IF(M128="NC",0,"")))</f>
        <v>3</v>
      </c>
      <c r="O128" s="15" t="s">
        <v>24</v>
      </c>
      <c r="P128" s="21">
        <f t="shared" ref="P128:P191" si="14">IF(O128="C",3,IF(O128="PC",1,IF(O128="NC",0,"")))</f>
        <v>3</v>
      </c>
      <c r="Q128" s="16" t="s">
        <v>680</v>
      </c>
      <c r="R128" s="16" t="s">
        <v>681</v>
      </c>
      <c r="S128" s="16" t="s">
        <v>83</v>
      </c>
      <c r="T128" s="16" t="s">
        <v>217</v>
      </c>
      <c r="U128" s="17" t="s">
        <v>682</v>
      </c>
      <c r="V128" s="17" t="s">
        <v>683</v>
      </c>
      <c r="W128" s="47"/>
      <c r="X128" s="47"/>
      <c r="Y128" s="47"/>
      <c r="Z128" s="47"/>
      <c r="AA128" s="47"/>
      <c r="AB128" s="47"/>
    </row>
    <row r="129" spans="1:28" ht="32.25" customHeight="1">
      <c r="A129" s="43"/>
      <c r="B129" s="43"/>
      <c r="C129" s="13" t="s">
        <v>684</v>
      </c>
      <c r="D129" s="51"/>
      <c r="E129" s="14" t="s">
        <v>24</v>
      </c>
      <c r="F129" s="21">
        <f t="shared" si="12"/>
        <v>3</v>
      </c>
      <c r="G129" s="14" t="s">
        <v>24</v>
      </c>
      <c r="H129" s="21">
        <f t="shared" si="10"/>
        <v>3</v>
      </c>
      <c r="I129" s="14" t="s">
        <v>24</v>
      </c>
      <c r="J129" s="21">
        <f t="shared" si="11"/>
        <v>3</v>
      </c>
      <c r="K129" s="14" t="s">
        <v>31</v>
      </c>
      <c r="L129" s="21">
        <f t="shared" si="6"/>
        <v>1</v>
      </c>
      <c r="M129" s="15" t="s">
        <v>24</v>
      </c>
      <c r="N129" s="21">
        <f t="shared" si="13"/>
        <v>3</v>
      </c>
      <c r="O129" s="15" t="s">
        <v>24</v>
      </c>
      <c r="P129" s="21">
        <f t="shared" si="14"/>
        <v>3</v>
      </c>
      <c r="Q129" s="16" t="s">
        <v>685</v>
      </c>
      <c r="R129" s="16" t="s">
        <v>686</v>
      </c>
      <c r="S129" s="16" t="s">
        <v>83</v>
      </c>
      <c r="T129" s="16" t="s">
        <v>249</v>
      </c>
      <c r="U129" s="17" t="s">
        <v>687</v>
      </c>
      <c r="V129" s="17" t="s">
        <v>688</v>
      </c>
      <c r="W129" s="47"/>
      <c r="X129" s="47"/>
      <c r="Y129" s="47"/>
      <c r="Z129" s="47"/>
      <c r="AA129" s="47"/>
      <c r="AB129" s="47"/>
    </row>
    <row r="130" spans="1:28" ht="34.049999999999997" customHeight="1">
      <c r="A130" s="43"/>
      <c r="B130" s="43"/>
      <c r="C130" s="13" t="s">
        <v>689</v>
      </c>
      <c r="D130" s="51"/>
      <c r="E130" s="14" t="s">
        <v>24</v>
      </c>
      <c r="F130" s="21">
        <f t="shared" si="12"/>
        <v>3</v>
      </c>
      <c r="G130" s="14" t="s">
        <v>24</v>
      </c>
      <c r="H130" s="21">
        <f t="shared" si="10"/>
        <v>3</v>
      </c>
      <c r="I130" s="14" t="s">
        <v>148</v>
      </c>
      <c r="J130" s="21">
        <f t="shared" si="11"/>
        <v>0</v>
      </c>
      <c r="K130" s="14" t="s">
        <v>31</v>
      </c>
      <c r="L130" s="21">
        <f t="shared" si="6"/>
        <v>1</v>
      </c>
      <c r="M130" s="15" t="s">
        <v>24</v>
      </c>
      <c r="N130" s="21">
        <f t="shared" si="13"/>
        <v>3</v>
      </c>
      <c r="O130" s="15" t="s">
        <v>24</v>
      </c>
      <c r="P130" s="21">
        <f t="shared" si="14"/>
        <v>3</v>
      </c>
      <c r="Q130" s="16" t="s">
        <v>690</v>
      </c>
      <c r="R130" s="16" t="s">
        <v>691</v>
      </c>
      <c r="S130" s="22"/>
      <c r="T130" s="16" t="s">
        <v>692</v>
      </c>
      <c r="U130" s="17" t="s">
        <v>693</v>
      </c>
      <c r="V130" s="17" t="s">
        <v>694</v>
      </c>
      <c r="W130" s="47"/>
      <c r="X130" s="47"/>
      <c r="Y130" s="47"/>
      <c r="Z130" s="47"/>
      <c r="AA130" s="47"/>
      <c r="AB130" s="47"/>
    </row>
    <row r="131" spans="1:28" ht="19.05" customHeight="1">
      <c r="A131" s="43"/>
      <c r="B131" s="43"/>
      <c r="C131" s="13" t="s">
        <v>695</v>
      </c>
      <c r="D131" s="51"/>
      <c r="E131" s="14" t="s">
        <v>24</v>
      </c>
      <c r="F131" s="21">
        <f t="shared" si="12"/>
        <v>3</v>
      </c>
      <c r="G131" s="14" t="s">
        <v>31</v>
      </c>
      <c r="H131" s="21">
        <f t="shared" si="10"/>
        <v>1</v>
      </c>
      <c r="I131" s="14" t="s">
        <v>31</v>
      </c>
      <c r="J131" s="21">
        <f t="shared" si="11"/>
        <v>1</v>
      </c>
      <c r="K131" s="14" t="s">
        <v>24</v>
      </c>
      <c r="L131" s="21">
        <f t="shared" ref="L131:L194" si="15">IF(K131="C",3,IF(K131="PC",1,IF(K131="NC",0,"")))</f>
        <v>3</v>
      </c>
      <c r="M131" s="15" t="s">
        <v>24</v>
      </c>
      <c r="N131" s="21">
        <f t="shared" si="13"/>
        <v>3</v>
      </c>
      <c r="O131" s="15" t="s">
        <v>24</v>
      </c>
      <c r="P131" s="21">
        <f t="shared" si="14"/>
        <v>3</v>
      </c>
      <c r="Q131" s="16" t="s">
        <v>696</v>
      </c>
      <c r="R131" s="16" t="s">
        <v>697</v>
      </c>
      <c r="S131" s="16" t="s">
        <v>83</v>
      </c>
      <c r="T131" s="16" t="s">
        <v>295</v>
      </c>
      <c r="U131" s="17" t="s">
        <v>698</v>
      </c>
      <c r="V131" s="17" t="s">
        <v>698</v>
      </c>
      <c r="W131" s="47"/>
      <c r="X131" s="47"/>
      <c r="Y131" s="47"/>
      <c r="Z131" s="47"/>
      <c r="AA131" s="47"/>
      <c r="AB131" s="47"/>
    </row>
    <row r="132" spans="1:28" ht="19.05" customHeight="1">
      <c r="A132" s="43"/>
      <c r="B132" s="43"/>
      <c r="C132" s="13" t="s">
        <v>699</v>
      </c>
      <c r="D132" s="51"/>
      <c r="E132" s="14" t="s">
        <v>24</v>
      </c>
      <c r="F132" s="21">
        <f t="shared" si="12"/>
        <v>3</v>
      </c>
      <c r="G132" s="14" t="s">
        <v>31</v>
      </c>
      <c r="H132" s="21">
        <f t="shared" ref="H132:H195" si="16">IF(G132="C",3,IF(G132="PC",1,IF(G132="NC",0,"")))</f>
        <v>1</v>
      </c>
      <c r="I132" s="14" t="s">
        <v>24</v>
      </c>
      <c r="J132" s="21">
        <f t="shared" ref="J132:J195" si="17">IF(I132="C",3,IF(I132="PC",1,IF(I132="NC",0,"")))</f>
        <v>3</v>
      </c>
      <c r="K132" s="14" t="s">
        <v>31</v>
      </c>
      <c r="L132" s="21">
        <f t="shared" si="15"/>
        <v>1</v>
      </c>
      <c r="M132" s="15" t="s">
        <v>24</v>
      </c>
      <c r="N132" s="21">
        <f t="shared" si="13"/>
        <v>3</v>
      </c>
      <c r="O132" s="15" t="s">
        <v>24</v>
      </c>
      <c r="P132" s="21">
        <f t="shared" si="14"/>
        <v>3</v>
      </c>
      <c r="Q132" s="16" t="s">
        <v>700</v>
      </c>
      <c r="R132" s="16" t="s">
        <v>701</v>
      </c>
      <c r="S132" s="22"/>
      <c r="T132" s="16" t="s">
        <v>702</v>
      </c>
      <c r="U132" s="17" t="s">
        <v>703</v>
      </c>
      <c r="V132" s="17" t="s">
        <v>703</v>
      </c>
      <c r="W132" s="47"/>
      <c r="X132" s="47"/>
      <c r="Y132" s="47"/>
      <c r="Z132" s="47"/>
      <c r="AA132" s="47"/>
      <c r="AB132" s="47"/>
    </row>
    <row r="133" spans="1:28" ht="34.049999999999997" customHeight="1">
      <c r="A133" s="43"/>
      <c r="B133" s="43"/>
      <c r="C133" s="13" t="s">
        <v>704</v>
      </c>
      <c r="D133" s="51"/>
      <c r="E133" s="14" t="s">
        <v>148</v>
      </c>
      <c r="F133" s="21">
        <f t="shared" si="12"/>
        <v>0</v>
      </c>
      <c r="G133" s="14" t="s">
        <v>31</v>
      </c>
      <c r="H133" s="21">
        <f t="shared" si="16"/>
        <v>1</v>
      </c>
      <c r="I133" s="14" t="s">
        <v>148</v>
      </c>
      <c r="J133" s="21">
        <f t="shared" si="17"/>
        <v>0</v>
      </c>
      <c r="K133" s="14" t="s">
        <v>148</v>
      </c>
      <c r="L133" s="21">
        <f t="shared" si="15"/>
        <v>0</v>
      </c>
      <c r="M133" s="15" t="s">
        <v>24</v>
      </c>
      <c r="N133" s="21">
        <f t="shared" si="13"/>
        <v>3</v>
      </c>
      <c r="O133" s="15" t="s">
        <v>24</v>
      </c>
      <c r="P133" s="21">
        <f t="shared" si="14"/>
        <v>3</v>
      </c>
      <c r="Q133" s="16" t="s">
        <v>705</v>
      </c>
      <c r="R133" s="16" t="s">
        <v>706</v>
      </c>
      <c r="S133" s="22"/>
      <c r="T133" s="16" t="s">
        <v>707</v>
      </c>
      <c r="U133" s="17" t="s">
        <v>708</v>
      </c>
      <c r="V133" s="17" t="s">
        <v>709</v>
      </c>
      <c r="W133" s="47"/>
      <c r="X133" s="47"/>
      <c r="Y133" s="47"/>
      <c r="Z133" s="47"/>
      <c r="AA133" s="47"/>
      <c r="AB133" s="47"/>
    </row>
    <row r="134" spans="1:28" ht="34.049999999999997" customHeight="1">
      <c r="A134" s="43"/>
      <c r="B134" s="43"/>
      <c r="C134" s="13" t="s">
        <v>710</v>
      </c>
      <c r="D134" s="51"/>
      <c r="E134" s="14" t="s">
        <v>24</v>
      </c>
      <c r="F134" s="21">
        <f t="shared" si="12"/>
        <v>3</v>
      </c>
      <c r="G134" s="14" t="s">
        <v>148</v>
      </c>
      <c r="H134" s="21">
        <f t="shared" si="16"/>
        <v>0</v>
      </c>
      <c r="I134" s="14" t="s">
        <v>24</v>
      </c>
      <c r="J134" s="21">
        <f t="shared" si="17"/>
        <v>3</v>
      </c>
      <c r="K134" s="14" t="s">
        <v>148</v>
      </c>
      <c r="L134" s="21">
        <f t="shared" si="15"/>
        <v>0</v>
      </c>
      <c r="M134" s="15" t="s">
        <v>24</v>
      </c>
      <c r="N134" s="21">
        <f t="shared" si="13"/>
        <v>3</v>
      </c>
      <c r="O134" s="15" t="s">
        <v>24</v>
      </c>
      <c r="P134" s="21">
        <f t="shared" si="14"/>
        <v>3</v>
      </c>
      <c r="Q134" s="16" t="s">
        <v>711</v>
      </c>
      <c r="R134" s="16" t="s">
        <v>712</v>
      </c>
      <c r="S134" s="22"/>
      <c r="T134" s="16" t="s">
        <v>713</v>
      </c>
      <c r="U134" s="17" t="s">
        <v>714</v>
      </c>
      <c r="V134" s="17" t="s">
        <v>715</v>
      </c>
      <c r="W134" s="47"/>
      <c r="X134" s="47"/>
      <c r="Y134" s="47"/>
      <c r="Z134" s="47"/>
      <c r="AA134" s="47"/>
      <c r="AB134" s="47"/>
    </row>
    <row r="135" spans="1:28" ht="34.049999999999997" customHeight="1">
      <c r="A135" s="43"/>
      <c r="B135" s="43"/>
      <c r="C135" s="13" t="s">
        <v>716</v>
      </c>
      <c r="D135" s="51"/>
      <c r="E135" s="14" t="s">
        <v>24</v>
      </c>
      <c r="F135" s="21">
        <f t="shared" si="12"/>
        <v>3</v>
      </c>
      <c r="G135" s="14" t="s">
        <v>31</v>
      </c>
      <c r="H135" s="21">
        <f t="shared" si="16"/>
        <v>1</v>
      </c>
      <c r="I135" s="14" t="s">
        <v>31</v>
      </c>
      <c r="J135" s="21">
        <f t="shared" si="17"/>
        <v>1</v>
      </c>
      <c r="K135" s="14" t="s">
        <v>24</v>
      </c>
      <c r="L135" s="21">
        <f t="shared" si="15"/>
        <v>3</v>
      </c>
      <c r="M135" s="15" t="s">
        <v>24</v>
      </c>
      <c r="N135" s="21">
        <f t="shared" si="13"/>
        <v>3</v>
      </c>
      <c r="O135" s="15" t="s">
        <v>24</v>
      </c>
      <c r="P135" s="21">
        <f t="shared" si="14"/>
        <v>3</v>
      </c>
      <c r="Q135" s="16" t="s">
        <v>717</v>
      </c>
      <c r="R135" s="16" t="s">
        <v>718</v>
      </c>
      <c r="S135" s="22"/>
      <c r="T135" s="16" t="s">
        <v>719</v>
      </c>
      <c r="U135" s="17" t="s">
        <v>720</v>
      </c>
      <c r="V135" s="17" t="s">
        <v>721</v>
      </c>
      <c r="W135" s="47"/>
      <c r="X135" s="47"/>
      <c r="Y135" s="47"/>
      <c r="Z135" s="47"/>
      <c r="AA135" s="47"/>
      <c r="AB135" s="47"/>
    </row>
    <row r="136" spans="1:28" ht="45">
      <c r="A136" s="43"/>
      <c r="B136" s="43"/>
      <c r="C136" s="13" t="s">
        <v>722</v>
      </c>
      <c r="D136" s="51"/>
      <c r="E136" s="14" t="s">
        <v>31</v>
      </c>
      <c r="F136" s="21">
        <f t="shared" si="12"/>
        <v>1</v>
      </c>
      <c r="G136" s="14" t="s">
        <v>148</v>
      </c>
      <c r="H136" s="21">
        <f t="shared" si="16"/>
        <v>0</v>
      </c>
      <c r="I136" s="14" t="s">
        <v>148</v>
      </c>
      <c r="J136" s="21">
        <f t="shared" si="17"/>
        <v>0</v>
      </c>
      <c r="K136" s="14" t="s">
        <v>31</v>
      </c>
      <c r="L136" s="21">
        <f t="shared" si="15"/>
        <v>1</v>
      </c>
      <c r="M136" s="15" t="s">
        <v>24</v>
      </c>
      <c r="N136" s="21">
        <f t="shared" si="13"/>
        <v>3</v>
      </c>
      <c r="O136" s="15" t="s">
        <v>24</v>
      </c>
      <c r="P136" s="21">
        <f t="shared" si="14"/>
        <v>3</v>
      </c>
      <c r="Q136" s="16" t="s">
        <v>723</v>
      </c>
      <c r="R136" s="16" t="s">
        <v>724</v>
      </c>
      <c r="S136" s="22" t="s">
        <v>725</v>
      </c>
      <c r="T136" s="16" t="s">
        <v>726</v>
      </c>
      <c r="U136" s="17" t="s">
        <v>727</v>
      </c>
      <c r="V136" s="17" t="s">
        <v>728</v>
      </c>
      <c r="W136" s="47"/>
      <c r="X136" s="47"/>
      <c r="Y136" s="47"/>
      <c r="Z136" s="47"/>
      <c r="AA136" s="47"/>
      <c r="AB136" s="47"/>
    </row>
    <row r="137" spans="1:28" ht="64.05" customHeight="1">
      <c r="A137" s="43"/>
      <c r="B137" s="43"/>
      <c r="C137" s="13" t="s">
        <v>729</v>
      </c>
      <c r="D137" s="51"/>
      <c r="E137" s="14" t="s">
        <v>31</v>
      </c>
      <c r="F137" s="21">
        <f t="shared" si="12"/>
        <v>1</v>
      </c>
      <c r="G137" s="14" t="s">
        <v>148</v>
      </c>
      <c r="H137" s="21">
        <f t="shared" si="16"/>
        <v>0</v>
      </c>
      <c r="I137" s="14" t="s">
        <v>148</v>
      </c>
      <c r="J137" s="21">
        <f t="shared" si="17"/>
        <v>0</v>
      </c>
      <c r="K137" s="14" t="s">
        <v>31</v>
      </c>
      <c r="L137" s="21">
        <f t="shared" si="15"/>
        <v>1</v>
      </c>
      <c r="M137" s="15" t="s">
        <v>24</v>
      </c>
      <c r="N137" s="21">
        <f t="shared" si="13"/>
        <v>3</v>
      </c>
      <c r="O137" s="15" t="s">
        <v>24</v>
      </c>
      <c r="P137" s="21">
        <f t="shared" si="14"/>
        <v>3</v>
      </c>
      <c r="Q137" s="16" t="s">
        <v>730</v>
      </c>
      <c r="R137" s="16" t="s">
        <v>731</v>
      </c>
      <c r="S137" s="22" t="s">
        <v>725</v>
      </c>
      <c r="T137" s="16" t="s">
        <v>732</v>
      </c>
      <c r="U137" s="17" t="s">
        <v>733</v>
      </c>
      <c r="V137" s="17" t="s">
        <v>734</v>
      </c>
      <c r="W137" s="47"/>
      <c r="X137" s="47"/>
      <c r="Y137" s="47"/>
      <c r="Z137" s="47"/>
      <c r="AA137" s="47"/>
      <c r="AB137" s="47"/>
    </row>
    <row r="138" spans="1:28" ht="45">
      <c r="A138" s="43"/>
      <c r="B138" s="43"/>
      <c r="C138" s="13" t="s">
        <v>735</v>
      </c>
      <c r="D138" s="51"/>
      <c r="E138" s="14" t="s">
        <v>24</v>
      </c>
      <c r="F138" s="21">
        <f t="shared" si="12"/>
        <v>3</v>
      </c>
      <c r="G138" s="14" t="s">
        <v>31</v>
      </c>
      <c r="H138" s="21">
        <f t="shared" si="16"/>
        <v>1</v>
      </c>
      <c r="I138" s="14" t="s">
        <v>24</v>
      </c>
      <c r="J138" s="21">
        <f t="shared" si="17"/>
        <v>3</v>
      </c>
      <c r="K138" s="14" t="s">
        <v>31</v>
      </c>
      <c r="L138" s="21">
        <f t="shared" si="15"/>
        <v>1</v>
      </c>
      <c r="M138" s="15" t="s">
        <v>24</v>
      </c>
      <c r="N138" s="21">
        <f t="shared" si="13"/>
        <v>3</v>
      </c>
      <c r="O138" s="15" t="s">
        <v>24</v>
      </c>
      <c r="P138" s="21">
        <f t="shared" si="14"/>
        <v>3</v>
      </c>
      <c r="Q138" s="16" t="s">
        <v>736</v>
      </c>
      <c r="R138" s="16" t="s">
        <v>737</v>
      </c>
      <c r="S138" s="16" t="s">
        <v>83</v>
      </c>
      <c r="T138" s="16" t="s">
        <v>738</v>
      </c>
      <c r="U138" s="17" t="s">
        <v>739</v>
      </c>
      <c r="V138" s="17" t="s">
        <v>740</v>
      </c>
      <c r="W138" s="47"/>
      <c r="X138" s="47"/>
      <c r="Y138" s="47"/>
      <c r="Z138" s="47"/>
      <c r="AA138" s="47"/>
      <c r="AB138" s="47"/>
    </row>
    <row r="139" spans="1:28" ht="60">
      <c r="A139" s="44"/>
      <c r="B139" s="44"/>
      <c r="C139" s="13" t="s">
        <v>741</v>
      </c>
      <c r="D139" s="51"/>
      <c r="E139" s="14" t="s">
        <v>31</v>
      </c>
      <c r="F139" s="21">
        <f t="shared" si="12"/>
        <v>1</v>
      </c>
      <c r="G139" s="14" t="s">
        <v>31</v>
      </c>
      <c r="H139" s="21">
        <f t="shared" si="16"/>
        <v>1</v>
      </c>
      <c r="I139" s="14" t="s">
        <v>31</v>
      </c>
      <c r="J139" s="21">
        <f t="shared" si="17"/>
        <v>1</v>
      </c>
      <c r="K139" s="14" t="s">
        <v>24</v>
      </c>
      <c r="L139" s="21">
        <f t="shared" si="15"/>
        <v>3</v>
      </c>
      <c r="M139" s="15" t="s">
        <v>24</v>
      </c>
      <c r="N139" s="21">
        <f t="shared" si="13"/>
        <v>3</v>
      </c>
      <c r="O139" s="15" t="s">
        <v>24</v>
      </c>
      <c r="P139" s="21">
        <f t="shared" si="14"/>
        <v>3</v>
      </c>
      <c r="Q139" s="16" t="s">
        <v>742</v>
      </c>
      <c r="R139" s="16" t="s">
        <v>743</v>
      </c>
      <c r="S139" s="22"/>
      <c r="T139" s="16" t="s">
        <v>744</v>
      </c>
      <c r="U139" s="17" t="s">
        <v>745</v>
      </c>
      <c r="V139" s="17" t="s">
        <v>746</v>
      </c>
      <c r="W139" s="48"/>
      <c r="X139" s="48"/>
      <c r="Y139" s="48"/>
      <c r="Z139" s="48"/>
      <c r="AA139" s="48"/>
      <c r="AB139" s="48"/>
    </row>
    <row r="140" spans="1:28" ht="32.25" customHeight="1">
      <c r="A140" s="42">
        <v>10</v>
      </c>
      <c r="B140" s="45" t="s">
        <v>747</v>
      </c>
      <c r="C140" s="13" t="s">
        <v>748</v>
      </c>
      <c r="D140" s="51">
        <v>0.06</v>
      </c>
      <c r="E140" s="20" t="s">
        <v>31</v>
      </c>
      <c r="F140" s="21">
        <f t="shared" si="12"/>
        <v>1</v>
      </c>
      <c r="G140" s="14" t="s">
        <v>24</v>
      </c>
      <c r="H140" s="21">
        <f t="shared" si="16"/>
        <v>3</v>
      </c>
      <c r="I140" s="14" t="s">
        <v>24</v>
      </c>
      <c r="J140" s="21">
        <f t="shared" si="17"/>
        <v>3</v>
      </c>
      <c r="K140" s="14" t="s">
        <v>31</v>
      </c>
      <c r="L140" s="21">
        <f t="shared" si="15"/>
        <v>1</v>
      </c>
      <c r="M140" s="15" t="s">
        <v>24</v>
      </c>
      <c r="N140" s="21">
        <f t="shared" si="13"/>
        <v>3</v>
      </c>
      <c r="O140" s="15" t="s">
        <v>24</v>
      </c>
      <c r="P140" s="21">
        <f t="shared" si="14"/>
        <v>3</v>
      </c>
      <c r="Q140" s="16" t="s">
        <v>749</v>
      </c>
      <c r="R140" s="16" t="s">
        <v>750</v>
      </c>
      <c r="S140" s="16" t="s">
        <v>83</v>
      </c>
      <c r="T140" s="16" t="s">
        <v>295</v>
      </c>
      <c r="U140" s="17" t="s">
        <v>751</v>
      </c>
      <c r="V140" s="17" t="s">
        <v>752</v>
      </c>
      <c r="W140" s="51">
        <f>AVERAGE(F140:F157)*$D140/3</f>
        <v>4.1111111111111105E-2</v>
      </c>
      <c r="X140" s="51">
        <f>AVERAGE(H140:H157)*$D140/3</f>
        <v>5.7777777777777768E-2</v>
      </c>
      <c r="Y140" s="51">
        <f>AVERAGE(J140:J157)*$D140/3</f>
        <v>3.4444444444444444E-2</v>
      </c>
      <c r="Z140" s="51">
        <f>AVERAGE(L140:L157)*$D140/3</f>
        <v>4.4444444444444444E-3</v>
      </c>
      <c r="AA140" s="51">
        <f>AVERAGE(N140:N157)*$D140/3</f>
        <v>0.06</v>
      </c>
      <c r="AB140" s="51">
        <f>AVERAGE(P140:P157)*$D140/3</f>
        <v>5.7777777777777768E-2</v>
      </c>
    </row>
    <row r="141" spans="1:28" ht="34.049999999999997" customHeight="1">
      <c r="A141" s="43"/>
      <c r="B141" s="43"/>
      <c r="C141" s="13" t="s">
        <v>753</v>
      </c>
      <c r="D141" s="51"/>
      <c r="E141" s="14" t="s">
        <v>24</v>
      </c>
      <c r="F141" s="21">
        <f t="shared" si="12"/>
        <v>3</v>
      </c>
      <c r="G141" s="14" t="s">
        <v>24</v>
      </c>
      <c r="H141" s="21">
        <f t="shared" si="16"/>
        <v>3</v>
      </c>
      <c r="I141" s="14" t="s">
        <v>24</v>
      </c>
      <c r="J141" s="21">
        <f t="shared" si="17"/>
        <v>3</v>
      </c>
      <c r="K141" s="14" t="s">
        <v>148</v>
      </c>
      <c r="L141" s="21">
        <f t="shared" si="15"/>
        <v>0</v>
      </c>
      <c r="M141" s="15" t="s">
        <v>24</v>
      </c>
      <c r="N141" s="21">
        <f t="shared" si="13"/>
        <v>3</v>
      </c>
      <c r="O141" s="15" t="s">
        <v>24</v>
      </c>
      <c r="P141" s="21">
        <f t="shared" si="14"/>
        <v>3</v>
      </c>
      <c r="Q141" s="16" t="s">
        <v>754</v>
      </c>
      <c r="R141" s="16" t="s">
        <v>755</v>
      </c>
      <c r="S141" s="22"/>
      <c r="T141" s="16" t="s">
        <v>756</v>
      </c>
      <c r="U141" s="17" t="s">
        <v>757</v>
      </c>
      <c r="V141" s="17" t="s">
        <v>758</v>
      </c>
      <c r="W141" s="47"/>
      <c r="X141" s="47"/>
      <c r="Y141" s="47"/>
      <c r="Z141" s="47"/>
      <c r="AA141" s="47"/>
      <c r="AB141" s="47"/>
    </row>
    <row r="142" spans="1:28" ht="32.25" customHeight="1">
      <c r="A142" s="43"/>
      <c r="B142" s="43"/>
      <c r="C142" s="13" t="s">
        <v>759</v>
      </c>
      <c r="D142" s="51"/>
      <c r="E142" s="14" t="s">
        <v>24</v>
      </c>
      <c r="F142" s="21">
        <f t="shared" si="12"/>
        <v>3</v>
      </c>
      <c r="G142" s="14" t="s">
        <v>24</v>
      </c>
      <c r="H142" s="21">
        <f t="shared" si="16"/>
        <v>3</v>
      </c>
      <c r="I142" s="14" t="s">
        <v>24</v>
      </c>
      <c r="J142" s="21">
        <f t="shared" si="17"/>
        <v>3</v>
      </c>
      <c r="K142" s="14" t="s">
        <v>148</v>
      </c>
      <c r="L142" s="21">
        <f t="shared" si="15"/>
        <v>0</v>
      </c>
      <c r="M142" s="15" t="s">
        <v>24</v>
      </c>
      <c r="N142" s="21">
        <f t="shared" si="13"/>
        <v>3</v>
      </c>
      <c r="O142" s="15" t="s">
        <v>24</v>
      </c>
      <c r="P142" s="21">
        <f t="shared" si="14"/>
        <v>3</v>
      </c>
      <c r="Q142" s="16" t="s">
        <v>760</v>
      </c>
      <c r="R142" s="16" t="s">
        <v>761</v>
      </c>
      <c r="S142" s="22"/>
      <c r="T142" s="16" t="s">
        <v>762</v>
      </c>
      <c r="U142" s="17" t="s">
        <v>763</v>
      </c>
      <c r="V142" s="17" t="s">
        <v>764</v>
      </c>
      <c r="W142" s="47"/>
      <c r="X142" s="47"/>
      <c r="Y142" s="47"/>
      <c r="Z142" s="47"/>
      <c r="AA142" s="47"/>
      <c r="AB142" s="47"/>
    </row>
    <row r="143" spans="1:28" ht="19.05" customHeight="1">
      <c r="A143" s="43"/>
      <c r="B143" s="43"/>
      <c r="C143" s="13" t="s">
        <v>765</v>
      </c>
      <c r="D143" s="51"/>
      <c r="E143" s="14" t="s">
        <v>24</v>
      </c>
      <c r="F143" s="21">
        <f t="shared" si="12"/>
        <v>3</v>
      </c>
      <c r="G143" s="14" t="s">
        <v>24</v>
      </c>
      <c r="H143" s="21">
        <f t="shared" si="16"/>
        <v>3</v>
      </c>
      <c r="I143" s="14" t="s">
        <v>24</v>
      </c>
      <c r="J143" s="21">
        <f t="shared" si="17"/>
        <v>3</v>
      </c>
      <c r="K143" s="14" t="s">
        <v>148</v>
      </c>
      <c r="L143" s="21">
        <f t="shared" si="15"/>
        <v>0</v>
      </c>
      <c r="M143" s="15" t="s">
        <v>24</v>
      </c>
      <c r="N143" s="21">
        <f t="shared" si="13"/>
        <v>3</v>
      </c>
      <c r="O143" s="15" t="s">
        <v>24</v>
      </c>
      <c r="P143" s="21">
        <f t="shared" si="14"/>
        <v>3</v>
      </c>
      <c r="Q143" s="16" t="s">
        <v>766</v>
      </c>
      <c r="R143" s="16" t="s">
        <v>767</v>
      </c>
      <c r="S143" s="22"/>
      <c r="T143" s="16" t="s">
        <v>768</v>
      </c>
      <c r="U143" s="17" t="s">
        <v>769</v>
      </c>
      <c r="V143" s="17" t="s">
        <v>770</v>
      </c>
      <c r="W143" s="47"/>
      <c r="X143" s="47"/>
      <c r="Y143" s="47"/>
      <c r="Z143" s="47"/>
      <c r="AA143" s="47"/>
      <c r="AB143" s="47"/>
    </row>
    <row r="144" spans="1:28" ht="34.049999999999997" customHeight="1">
      <c r="A144" s="43"/>
      <c r="B144" s="43"/>
      <c r="C144" s="13" t="s">
        <v>771</v>
      </c>
      <c r="D144" s="51"/>
      <c r="E144" s="14" t="s">
        <v>148</v>
      </c>
      <c r="F144" s="21">
        <f t="shared" si="12"/>
        <v>0</v>
      </c>
      <c r="G144" s="14" t="s">
        <v>24</v>
      </c>
      <c r="H144" s="21">
        <f t="shared" si="16"/>
        <v>3</v>
      </c>
      <c r="I144" s="14" t="s">
        <v>148</v>
      </c>
      <c r="J144" s="21">
        <f t="shared" si="17"/>
        <v>0</v>
      </c>
      <c r="K144" s="14" t="s">
        <v>148</v>
      </c>
      <c r="L144" s="21">
        <f t="shared" si="15"/>
        <v>0</v>
      </c>
      <c r="M144" s="15" t="s">
        <v>24</v>
      </c>
      <c r="N144" s="21">
        <f t="shared" si="13"/>
        <v>3</v>
      </c>
      <c r="O144" s="15" t="s">
        <v>24</v>
      </c>
      <c r="P144" s="21">
        <f t="shared" si="14"/>
        <v>3</v>
      </c>
      <c r="Q144" s="16" t="s">
        <v>772</v>
      </c>
      <c r="R144" s="16" t="s">
        <v>773</v>
      </c>
      <c r="S144" s="22"/>
      <c r="T144" s="16" t="s">
        <v>774</v>
      </c>
      <c r="U144" s="17" t="s">
        <v>775</v>
      </c>
      <c r="V144" s="17" t="s">
        <v>776</v>
      </c>
      <c r="W144" s="47"/>
      <c r="X144" s="47"/>
      <c r="Y144" s="47"/>
      <c r="Z144" s="47"/>
      <c r="AA144" s="47"/>
      <c r="AB144" s="47"/>
    </row>
    <row r="145" spans="1:28" ht="43.2">
      <c r="A145" s="43"/>
      <c r="B145" s="43"/>
      <c r="C145" s="13" t="s">
        <v>777</v>
      </c>
      <c r="D145" s="51"/>
      <c r="E145" s="14" t="s">
        <v>31</v>
      </c>
      <c r="F145" s="21">
        <f t="shared" si="12"/>
        <v>1</v>
      </c>
      <c r="G145" s="14" t="s">
        <v>24</v>
      </c>
      <c r="H145" s="21">
        <f t="shared" si="16"/>
        <v>3</v>
      </c>
      <c r="I145" s="14" t="s">
        <v>31</v>
      </c>
      <c r="J145" s="21">
        <f t="shared" si="17"/>
        <v>1</v>
      </c>
      <c r="K145" s="14" t="s">
        <v>31</v>
      </c>
      <c r="L145" s="21">
        <f t="shared" si="15"/>
        <v>1</v>
      </c>
      <c r="M145" s="15" t="s">
        <v>24</v>
      </c>
      <c r="N145" s="21">
        <f t="shared" si="13"/>
        <v>3</v>
      </c>
      <c r="O145" s="15" t="s">
        <v>24</v>
      </c>
      <c r="P145" s="21">
        <f t="shared" si="14"/>
        <v>3</v>
      </c>
      <c r="Q145" s="16" t="s">
        <v>778</v>
      </c>
      <c r="R145" s="16" t="s">
        <v>779</v>
      </c>
      <c r="S145" s="16" t="s">
        <v>83</v>
      </c>
      <c r="T145" s="16" t="s">
        <v>157</v>
      </c>
      <c r="U145" s="17" t="s">
        <v>780</v>
      </c>
      <c r="V145" s="17" t="s">
        <v>781</v>
      </c>
      <c r="W145" s="47"/>
      <c r="X145" s="47"/>
      <c r="Y145" s="47"/>
      <c r="Z145" s="47"/>
      <c r="AA145" s="47"/>
      <c r="AB145" s="47"/>
    </row>
    <row r="146" spans="1:28" ht="32.25" customHeight="1">
      <c r="A146" s="43"/>
      <c r="B146" s="43"/>
      <c r="C146" s="13" t="s">
        <v>782</v>
      </c>
      <c r="D146" s="51"/>
      <c r="E146" s="14" t="s">
        <v>24</v>
      </c>
      <c r="F146" s="21">
        <f t="shared" si="12"/>
        <v>3</v>
      </c>
      <c r="G146" s="14" t="s">
        <v>24</v>
      </c>
      <c r="H146" s="21">
        <f t="shared" si="16"/>
        <v>3</v>
      </c>
      <c r="I146" s="14" t="s">
        <v>31</v>
      </c>
      <c r="J146" s="21">
        <f t="shared" si="17"/>
        <v>1</v>
      </c>
      <c r="K146" s="14" t="s">
        <v>31</v>
      </c>
      <c r="L146" s="21">
        <f t="shared" si="15"/>
        <v>1</v>
      </c>
      <c r="M146" s="15" t="s">
        <v>24</v>
      </c>
      <c r="N146" s="21">
        <f t="shared" si="13"/>
        <v>3</v>
      </c>
      <c r="O146" s="15" t="s">
        <v>24</v>
      </c>
      <c r="P146" s="21">
        <f t="shared" si="14"/>
        <v>3</v>
      </c>
      <c r="Q146" s="16" t="s">
        <v>783</v>
      </c>
      <c r="R146" s="16" t="s">
        <v>784</v>
      </c>
      <c r="S146" s="16" t="s">
        <v>83</v>
      </c>
      <c r="T146" s="16" t="s">
        <v>295</v>
      </c>
      <c r="U146" s="17" t="s">
        <v>785</v>
      </c>
      <c r="V146" s="17" t="s">
        <v>786</v>
      </c>
      <c r="W146" s="47"/>
      <c r="X146" s="47"/>
      <c r="Y146" s="47"/>
      <c r="Z146" s="47"/>
      <c r="AA146" s="47"/>
      <c r="AB146" s="47"/>
    </row>
    <row r="147" spans="1:28" ht="34.049999999999997" customHeight="1">
      <c r="A147" s="43"/>
      <c r="B147" s="43"/>
      <c r="C147" s="13" t="s">
        <v>787</v>
      </c>
      <c r="D147" s="51"/>
      <c r="E147" s="14" t="s">
        <v>24</v>
      </c>
      <c r="F147" s="21">
        <f t="shared" si="12"/>
        <v>3</v>
      </c>
      <c r="G147" s="14" t="s">
        <v>24</v>
      </c>
      <c r="H147" s="21">
        <f t="shared" si="16"/>
        <v>3</v>
      </c>
      <c r="I147" s="14" t="s">
        <v>24</v>
      </c>
      <c r="J147" s="21">
        <f t="shared" si="17"/>
        <v>3</v>
      </c>
      <c r="K147" s="14" t="s">
        <v>148</v>
      </c>
      <c r="L147" s="21">
        <f t="shared" si="15"/>
        <v>0</v>
      </c>
      <c r="M147" s="15" t="s">
        <v>24</v>
      </c>
      <c r="N147" s="21">
        <f t="shared" si="13"/>
        <v>3</v>
      </c>
      <c r="O147" s="15" t="s">
        <v>24</v>
      </c>
      <c r="P147" s="21">
        <f t="shared" si="14"/>
        <v>3</v>
      </c>
      <c r="Q147" s="16" t="s">
        <v>788</v>
      </c>
      <c r="R147" s="16" t="s">
        <v>789</v>
      </c>
      <c r="S147" s="22"/>
      <c r="T147" s="16" t="s">
        <v>790</v>
      </c>
      <c r="U147" s="17" t="s">
        <v>791</v>
      </c>
      <c r="V147" s="17" t="s">
        <v>792</v>
      </c>
      <c r="W147" s="47"/>
      <c r="X147" s="47"/>
      <c r="Y147" s="47"/>
      <c r="Z147" s="47"/>
      <c r="AA147" s="47"/>
      <c r="AB147" s="47"/>
    </row>
    <row r="148" spans="1:28" ht="32.25" customHeight="1">
      <c r="A148" s="43"/>
      <c r="B148" s="43"/>
      <c r="C148" s="13" t="s">
        <v>793</v>
      </c>
      <c r="D148" s="51"/>
      <c r="E148" s="14" t="s">
        <v>31</v>
      </c>
      <c r="F148" s="21">
        <f t="shared" si="12"/>
        <v>1</v>
      </c>
      <c r="G148" s="14" t="s">
        <v>24</v>
      </c>
      <c r="H148" s="21">
        <f t="shared" si="16"/>
        <v>3</v>
      </c>
      <c r="I148" s="14" t="s">
        <v>31</v>
      </c>
      <c r="J148" s="21">
        <f t="shared" si="17"/>
        <v>1</v>
      </c>
      <c r="K148" s="14" t="s">
        <v>148</v>
      </c>
      <c r="L148" s="21">
        <f t="shared" si="15"/>
        <v>0</v>
      </c>
      <c r="M148" s="15" t="s">
        <v>24</v>
      </c>
      <c r="N148" s="21">
        <f t="shared" si="13"/>
        <v>3</v>
      </c>
      <c r="O148" s="15" t="s">
        <v>24</v>
      </c>
      <c r="P148" s="21">
        <f t="shared" si="14"/>
        <v>3</v>
      </c>
      <c r="Q148" s="16" t="s">
        <v>794</v>
      </c>
      <c r="R148" s="16" t="s">
        <v>795</v>
      </c>
      <c r="S148" s="22"/>
      <c r="T148" s="16" t="s">
        <v>796</v>
      </c>
      <c r="U148" s="17" t="s">
        <v>797</v>
      </c>
      <c r="V148" s="17" t="s">
        <v>798</v>
      </c>
      <c r="W148" s="47"/>
      <c r="X148" s="47"/>
      <c r="Y148" s="47"/>
      <c r="Z148" s="47"/>
      <c r="AA148" s="47"/>
      <c r="AB148" s="47"/>
    </row>
    <row r="149" spans="1:28" ht="32.25" customHeight="1">
      <c r="A149" s="43"/>
      <c r="B149" s="43"/>
      <c r="C149" s="13" t="s">
        <v>799</v>
      </c>
      <c r="D149" s="51"/>
      <c r="E149" s="14" t="s">
        <v>24</v>
      </c>
      <c r="F149" s="21">
        <f t="shared" si="12"/>
        <v>3</v>
      </c>
      <c r="G149" s="14" t="s">
        <v>24</v>
      </c>
      <c r="H149" s="21">
        <f t="shared" si="16"/>
        <v>3</v>
      </c>
      <c r="I149" s="14" t="s">
        <v>31</v>
      </c>
      <c r="J149" s="21">
        <f t="shared" si="17"/>
        <v>1</v>
      </c>
      <c r="K149" s="14" t="s">
        <v>148</v>
      </c>
      <c r="L149" s="21">
        <f t="shared" si="15"/>
        <v>0</v>
      </c>
      <c r="M149" s="15" t="s">
        <v>24</v>
      </c>
      <c r="N149" s="21">
        <f t="shared" si="13"/>
        <v>3</v>
      </c>
      <c r="O149" s="15" t="s">
        <v>24</v>
      </c>
      <c r="P149" s="21">
        <f t="shared" si="14"/>
        <v>3</v>
      </c>
      <c r="Q149" s="16" t="s">
        <v>800</v>
      </c>
      <c r="R149" s="16" t="s">
        <v>801</v>
      </c>
      <c r="S149" s="22"/>
      <c r="T149" s="16" t="s">
        <v>802</v>
      </c>
      <c r="U149" s="17" t="s">
        <v>803</v>
      </c>
      <c r="V149" s="17" t="s">
        <v>804</v>
      </c>
      <c r="W149" s="47"/>
      <c r="X149" s="47"/>
      <c r="Y149" s="47"/>
      <c r="Z149" s="47"/>
      <c r="AA149" s="47"/>
      <c r="AB149" s="47"/>
    </row>
    <row r="150" spans="1:28" ht="43.2">
      <c r="A150" s="43"/>
      <c r="B150" s="43"/>
      <c r="C150" s="13" t="s">
        <v>805</v>
      </c>
      <c r="D150" s="51"/>
      <c r="E150" s="14" t="s">
        <v>148</v>
      </c>
      <c r="F150" s="21">
        <f t="shared" si="12"/>
        <v>0</v>
      </c>
      <c r="G150" s="14" t="s">
        <v>31</v>
      </c>
      <c r="H150" s="21">
        <f t="shared" si="16"/>
        <v>1</v>
      </c>
      <c r="I150" s="14" t="s">
        <v>148</v>
      </c>
      <c r="J150" s="21">
        <f t="shared" si="17"/>
        <v>0</v>
      </c>
      <c r="K150" s="14" t="s">
        <v>148</v>
      </c>
      <c r="L150" s="21">
        <f t="shared" si="15"/>
        <v>0</v>
      </c>
      <c r="M150" s="15" t="s">
        <v>24</v>
      </c>
      <c r="N150" s="21">
        <f t="shared" si="13"/>
        <v>3</v>
      </c>
      <c r="O150" s="15" t="s">
        <v>24</v>
      </c>
      <c r="P150" s="21">
        <f t="shared" si="14"/>
        <v>3</v>
      </c>
      <c r="Q150" s="16" t="s">
        <v>806</v>
      </c>
      <c r="R150" s="16" t="s">
        <v>807</v>
      </c>
      <c r="S150" s="22"/>
      <c r="T150" s="16" t="s">
        <v>808</v>
      </c>
      <c r="U150" s="17" t="s">
        <v>809</v>
      </c>
      <c r="V150" s="17" t="s">
        <v>810</v>
      </c>
      <c r="W150" s="47"/>
      <c r="X150" s="47"/>
      <c r="Y150" s="47"/>
      <c r="Z150" s="47"/>
      <c r="AA150" s="47"/>
      <c r="AB150" s="47"/>
    </row>
    <row r="151" spans="1:28" ht="32.25" customHeight="1">
      <c r="A151" s="43"/>
      <c r="B151" s="43"/>
      <c r="C151" s="13" t="s">
        <v>811</v>
      </c>
      <c r="D151" s="51"/>
      <c r="E151" s="14" t="s">
        <v>24</v>
      </c>
      <c r="F151" s="21">
        <f t="shared" si="12"/>
        <v>3</v>
      </c>
      <c r="G151" s="14" t="s">
        <v>24</v>
      </c>
      <c r="H151" s="21">
        <f t="shared" si="16"/>
        <v>3</v>
      </c>
      <c r="I151" s="14" t="s">
        <v>148</v>
      </c>
      <c r="J151" s="21">
        <f t="shared" si="17"/>
        <v>0</v>
      </c>
      <c r="K151" s="14" t="s">
        <v>148</v>
      </c>
      <c r="L151" s="21">
        <f t="shared" si="15"/>
        <v>0</v>
      </c>
      <c r="M151" s="15" t="s">
        <v>24</v>
      </c>
      <c r="N151" s="21">
        <f t="shared" si="13"/>
        <v>3</v>
      </c>
      <c r="O151" s="15" t="s">
        <v>24</v>
      </c>
      <c r="P151" s="21">
        <f t="shared" si="14"/>
        <v>3</v>
      </c>
      <c r="Q151" s="16" t="s">
        <v>812</v>
      </c>
      <c r="R151" s="16" t="s">
        <v>813</v>
      </c>
      <c r="S151" s="22"/>
      <c r="T151" s="16" t="s">
        <v>814</v>
      </c>
      <c r="U151" s="17" t="s">
        <v>815</v>
      </c>
      <c r="V151" s="17" t="s">
        <v>816</v>
      </c>
      <c r="W151" s="47"/>
      <c r="X151" s="47"/>
      <c r="Y151" s="47"/>
      <c r="Z151" s="47"/>
      <c r="AA151" s="47"/>
      <c r="AB151" s="47"/>
    </row>
    <row r="152" spans="1:28" ht="34.049999999999997" customHeight="1">
      <c r="A152" s="43"/>
      <c r="B152" s="43"/>
      <c r="C152" s="13" t="s">
        <v>817</v>
      </c>
      <c r="D152" s="51"/>
      <c r="E152" s="14" t="s">
        <v>24</v>
      </c>
      <c r="F152" s="21">
        <f t="shared" si="12"/>
        <v>3</v>
      </c>
      <c r="G152" s="14" t="s">
        <v>24</v>
      </c>
      <c r="H152" s="21">
        <f t="shared" si="16"/>
        <v>3</v>
      </c>
      <c r="I152" s="14" t="s">
        <v>24</v>
      </c>
      <c r="J152" s="21">
        <f t="shared" si="17"/>
        <v>3</v>
      </c>
      <c r="K152" s="14" t="s">
        <v>148</v>
      </c>
      <c r="L152" s="21">
        <f t="shared" si="15"/>
        <v>0</v>
      </c>
      <c r="M152" s="15" t="s">
        <v>24</v>
      </c>
      <c r="N152" s="21">
        <f t="shared" si="13"/>
        <v>3</v>
      </c>
      <c r="O152" s="15" t="s">
        <v>31</v>
      </c>
      <c r="P152" s="21">
        <f t="shared" si="14"/>
        <v>1</v>
      </c>
      <c r="Q152" s="16" t="s">
        <v>818</v>
      </c>
      <c r="R152" s="16" t="s">
        <v>819</v>
      </c>
      <c r="S152" s="22"/>
      <c r="T152" s="16" t="s">
        <v>820</v>
      </c>
      <c r="U152" s="17" t="s">
        <v>821</v>
      </c>
      <c r="V152" s="17" t="s">
        <v>822</v>
      </c>
      <c r="W152" s="47"/>
      <c r="X152" s="47"/>
      <c r="Y152" s="47"/>
      <c r="Z152" s="47"/>
      <c r="AA152" s="47"/>
      <c r="AB152" s="47"/>
    </row>
    <row r="153" spans="1:28" ht="32.25" customHeight="1">
      <c r="A153" s="43"/>
      <c r="B153" s="43"/>
      <c r="C153" s="13" t="s">
        <v>823</v>
      </c>
      <c r="D153" s="51"/>
      <c r="E153" s="14" t="s">
        <v>24</v>
      </c>
      <c r="F153" s="21">
        <f t="shared" si="12"/>
        <v>3</v>
      </c>
      <c r="G153" s="14" t="s">
        <v>24</v>
      </c>
      <c r="H153" s="21">
        <f t="shared" si="16"/>
        <v>3</v>
      </c>
      <c r="I153" s="14" t="s">
        <v>24</v>
      </c>
      <c r="J153" s="21">
        <f t="shared" si="17"/>
        <v>3</v>
      </c>
      <c r="K153" s="14" t="s">
        <v>31</v>
      </c>
      <c r="L153" s="21">
        <f t="shared" si="15"/>
        <v>1</v>
      </c>
      <c r="M153" s="15" t="s">
        <v>24</v>
      </c>
      <c r="N153" s="21">
        <f t="shared" si="13"/>
        <v>3</v>
      </c>
      <c r="O153" s="15" t="s">
        <v>24</v>
      </c>
      <c r="P153" s="21">
        <f t="shared" si="14"/>
        <v>3</v>
      </c>
      <c r="Q153" s="16" t="s">
        <v>824</v>
      </c>
      <c r="R153" s="16" t="s">
        <v>825</v>
      </c>
      <c r="S153" s="16" t="s">
        <v>83</v>
      </c>
      <c r="T153" s="16" t="s">
        <v>738</v>
      </c>
      <c r="U153" s="17" t="s">
        <v>826</v>
      </c>
      <c r="V153" s="17" t="s">
        <v>827</v>
      </c>
      <c r="W153" s="47"/>
      <c r="X153" s="47"/>
      <c r="Y153" s="47"/>
      <c r="Z153" s="47"/>
      <c r="AA153" s="47"/>
      <c r="AB153" s="47"/>
    </row>
    <row r="154" spans="1:28" ht="34.049999999999997" customHeight="1">
      <c r="A154" s="43"/>
      <c r="B154" s="43"/>
      <c r="C154" s="13" t="s">
        <v>828</v>
      </c>
      <c r="D154" s="51"/>
      <c r="E154" s="14" t="s">
        <v>31</v>
      </c>
      <c r="F154" s="21">
        <f t="shared" si="12"/>
        <v>1</v>
      </c>
      <c r="G154" s="14" t="s">
        <v>24</v>
      </c>
      <c r="H154" s="21">
        <f t="shared" si="16"/>
        <v>3</v>
      </c>
      <c r="I154" s="14" t="s">
        <v>31</v>
      </c>
      <c r="J154" s="21">
        <f t="shared" si="17"/>
        <v>1</v>
      </c>
      <c r="K154" s="14" t="s">
        <v>148</v>
      </c>
      <c r="L154" s="21">
        <f t="shared" si="15"/>
        <v>0</v>
      </c>
      <c r="M154" s="15" t="s">
        <v>24</v>
      </c>
      <c r="N154" s="21">
        <f t="shared" si="13"/>
        <v>3</v>
      </c>
      <c r="O154" s="15" t="s">
        <v>24</v>
      </c>
      <c r="P154" s="21">
        <f t="shared" si="14"/>
        <v>3</v>
      </c>
      <c r="Q154" s="16" t="s">
        <v>829</v>
      </c>
      <c r="R154" s="16" t="s">
        <v>830</v>
      </c>
      <c r="S154" s="22"/>
      <c r="T154" s="16" t="s">
        <v>831</v>
      </c>
      <c r="U154" s="17" t="s">
        <v>832</v>
      </c>
      <c r="V154" s="17" t="s">
        <v>833</v>
      </c>
      <c r="W154" s="47"/>
      <c r="X154" s="47"/>
      <c r="Y154" s="47"/>
      <c r="Z154" s="47"/>
      <c r="AA154" s="47"/>
      <c r="AB154" s="47"/>
    </row>
    <row r="155" spans="1:28" ht="34.049999999999997" customHeight="1">
      <c r="A155" s="43"/>
      <c r="B155" s="43"/>
      <c r="C155" s="13" t="s">
        <v>834</v>
      </c>
      <c r="D155" s="51"/>
      <c r="E155" s="14" t="s">
        <v>24</v>
      </c>
      <c r="F155" s="21">
        <f t="shared" si="12"/>
        <v>3</v>
      </c>
      <c r="G155" s="14" t="s">
        <v>24</v>
      </c>
      <c r="H155" s="21">
        <f t="shared" si="16"/>
        <v>3</v>
      </c>
      <c r="I155" s="14" t="s">
        <v>31</v>
      </c>
      <c r="J155" s="21">
        <f t="shared" si="17"/>
        <v>1</v>
      </c>
      <c r="K155" s="14" t="s">
        <v>148</v>
      </c>
      <c r="L155" s="21">
        <f t="shared" si="15"/>
        <v>0</v>
      </c>
      <c r="M155" s="15" t="s">
        <v>24</v>
      </c>
      <c r="N155" s="21">
        <f t="shared" si="13"/>
        <v>3</v>
      </c>
      <c r="O155" s="15" t="s">
        <v>24</v>
      </c>
      <c r="P155" s="21">
        <f t="shared" si="14"/>
        <v>3</v>
      </c>
      <c r="Q155" s="16" t="s">
        <v>835</v>
      </c>
      <c r="R155" s="16" t="s">
        <v>836</v>
      </c>
      <c r="S155" s="22"/>
      <c r="T155" s="16" t="s">
        <v>837</v>
      </c>
      <c r="U155" s="17" t="s">
        <v>838</v>
      </c>
      <c r="V155" s="17" t="s">
        <v>839</v>
      </c>
      <c r="W155" s="47"/>
      <c r="X155" s="47"/>
      <c r="Y155" s="47"/>
      <c r="Z155" s="47"/>
      <c r="AA155" s="47"/>
      <c r="AB155" s="47"/>
    </row>
    <row r="156" spans="1:28" ht="43.2">
      <c r="A156" s="43"/>
      <c r="B156" s="43"/>
      <c r="C156" s="13" t="s">
        <v>840</v>
      </c>
      <c r="D156" s="51"/>
      <c r="E156" s="14" t="s">
        <v>148</v>
      </c>
      <c r="F156" s="21">
        <f t="shared" si="12"/>
        <v>0</v>
      </c>
      <c r="G156" s="14" t="s">
        <v>24</v>
      </c>
      <c r="H156" s="21">
        <f t="shared" si="16"/>
        <v>3</v>
      </c>
      <c r="I156" s="14" t="s">
        <v>31</v>
      </c>
      <c r="J156" s="21">
        <f t="shared" si="17"/>
        <v>1</v>
      </c>
      <c r="K156" s="14" t="s">
        <v>148</v>
      </c>
      <c r="L156" s="21">
        <f t="shared" si="15"/>
        <v>0</v>
      </c>
      <c r="M156" s="15" t="s">
        <v>24</v>
      </c>
      <c r="N156" s="21">
        <f t="shared" si="13"/>
        <v>3</v>
      </c>
      <c r="O156" s="15" t="s">
        <v>24</v>
      </c>
      <c r="P156" s="21">
        <f t="shared" si="14"/>
        <v>3</v>
      </c>
      <c r="Q156" s="16" t="s">
        <v>841</v>
      </c>
      <c r="R156" s="16" t="s">
        <v>842</v>
      </c>
      <c r="S156" s="16" t="s">
        <v>83</v>
      </c>
      <c r="T156" s="16" t="s">
        <v>843</v>
      </c>
      <c r="U156" s="17" t="s">
        <v>844</v>
      </c>
      <c r="V156" s="17" t="s">
        <v>845</v>
      </c>
      <c r="W156" s="47"/>
      <c r="X156" s="47"/>
      <c r="Y156" s="47"/>
      <c r="Z156" s="47"/>
      <c r="AA156" s="47"/>
      <c r="AB156" s="47"/>
    </row>
    <row r="157" spans="1:28" ht="34.049999999999997" customHeight="1">
      <c r="A157" s="44"/>
      <c r="B157" s="44"/>
      <c r="C157" s="13" t="s">
        <v>846</v>
      </c>
      <c r="D157" s="51"/>
      <c r="E157" s="14" t="s">
        <v>24</v>
      </c>
      <c r="F157" s="21">
        <f t="shared" si="12"/>
        <v>3</v>
      </c>
      <c r="G157" s="14" t="s">
        <v>24</v>
      </c>
      <c r="H157" s="21">
        <f t="shared" si="16"/>
        <v>3</v>
      </c>
      <c r="I157" s="14" t="s">
        <v>24</v>
      </c>
      <c r="J157" s="21">
        <f t="shared" si="17"/>
        <v>3</v>
      </c>
      <c r="K157" s="14" t="s">
        <v>148</v>
      </c>
      <c r="L157" s="21">
        <f t="shared" si="15"/>
        <v>0</v>
      </c>
      <c r="M157" s="15" t="s">
        <v>24</v>
      </c>
      <c r="N157" s="21">
        <f t="shared" si="13"/>
        <v>3</v>
      </c>
      <c r="O157" s="15" t="s">
        <v>24</v>
      </c>
      <c r="P157" s="21">
        <f t="shared" si="14"/>
        <v>3</v>
      </c>
      <c r="Q157" s="16" t="s">
        <v>847</v>
      </c>
      <c r="R157" s="16" t="s">
        <v>848</v>
      </c>
      <c r="S157" s="22"/>
      <c r="T157" s="16" t="s">
        <v>849</v>
      </c>
      <c r="U157" s="17" t="s">
        <v>850</v>
      </c>
      <c r="V157" s="17" t="s">
        <v>851</v>
      </c>
      <c r="W157" s="48"/>
      <c r="X157" s="48"/>
      <c r="Y157" s="48"/>
      <c r="Z157" s="48"/>
      <c r="AA157" s="48"/>
      <c r="AB157" s="48"/>
    </row>
    <row r="158" spans="1:28" ht="32.25" customHeight="1">
      <c r="A158" s="42">
        <v>11</v>
      </c>
      <c r="B158" s="71" t="s">
        <v>852</v>
      </c>
      <c r="C158" s="13" t="s">
        <v>853</v>
      </c>
      <c r="D158" s="51">
        <v>0.03</v>
      </c>
      <c r="E158" s="20" t="s">
        <v>31</v>
      </c>
      <c r="F158" s="21">
        <f t="shared" si="12"/>
        <v>1</v>
      </c>
      <c r="G158" s="14" t="s">
        <v>24</v>
      </c>
      <c r="H158" s="21">
        <f t="shared" si="16"/>
        <v>3</v>
      </c>
      <c r="I158" s="14" t="s">
        <v>24</v>
      </c>
      <c r="J158" s="21">
        <f t="shared" si="17"/>
        <v>3</v>
      </c>
      <c r="K158" s="14" t="s">
        <v>148</v>
      </c>
      <c r="L158" s="21">
        <f t="shared" si="15"/>
        <v>0</v>
      </c>
      <c r="M158" s="15" t="s">
        <v>24</v>
      </c>
      <c r="N158" s="21">
        <f t="shared" si="13"/>
        <v>3</v>
      </c>
      <c r="O158" s="15" t="s">
        <v>24</v>
      </c>
      <c r="P158" s="21">
        <f t="shared" si="14"/>
        <v>3</v>
      </c>
      <c r="Q158" s="16" t="s">
        <v>854</v>
      </c>
      <c r="R158" s="16" t="s">
        <v>855</v>
      </c>
      <c r="S158" s="22"/>
      <c r="T158" s="16" t="s">
        <v>856</v>
      </c>
      <c r="U158" s="17" t="s">
        <v>857</v>
      </c>
      <c r="V158" s="17" t="s">
        <v>858</v>
      </c>
      <c r="W158" s="51">
        <f>AVERAGE(F158:F173)*$D158/3</f>
        <v>1.6874999999999998E-2</v>
      </c>
      <c r="X158" s="51">
        <f>AVERAGE(H158:H173)*$D158/3</f>
        <v>0.03</v>
      </c>
      <c r="Y158" s="51">
        <f>AVERAGE(J158:J173)*$D158/3</f>
        <v>1.8124999999999999E-2</v>
      </c>
      <c r="Z158" s="51">
        <f>AVERAGE(L158:L173)*$D158/3</f>
        <v>4.3749999999999995E-3</v>
      </c>
      <c r="AA158" s="51">
        <f>AVERAGE(N158:N173)*$D158/3</f>
        <v>0.03</v>
      </c>
      <c r="AB158" s="51">
        <f>AVERAGE(P158:P173)*$D158/3</f>
        <v>2.8749999999999998E-2</v>
      </c>
    </row>
    <row r="159" spans="1:28" ht="19.05" customHeight="1">
      <c r="A159" s="43"/>
      <c r="B159" s="43"/>
      <c r="C159" s="13" t="s">
        <v>859</v>
      </c>
      <c r="D159" s="51"/>
      <c r="E159" s="14" t="s">
        <v>24</v>
      </c>
      <c r="F159" s="21">
        <f t="shared" si="12"/>
        <v>3</v>
      </c>
      <c r="G159" s="14" t="s">
        <v>24</v>
      </c>
      <c r="H159" s="21">
        <f t="shared" si="16"/>
        <v>3</v>
      </c>
      <c r="I159" s="14" t="s">
        <v>24</v>
      </c>
      <c r="J159" s="21">
        <f t="shared" si="17"/>
        <v>3</v>
      </c>
      <c r="K159" s="14" t="s">
        <v>148</v>
      </c>
      <c r="L159" s="21">
        <f t="shared" si="15"/>
        <v>0</v>
      </c>
      <c r="M159" s="15" t="s">
        <v>24</v>
      </c>
      <c r="N159" s="21">
        <f t="shared" si="13"/>
        <v>3</v>
      </c>
      <c r="O159" s="15" t="s">
        <v>31</v>
      </c>
      <c r="P159" s="21">
        <f t="shared" si="14"/>
        <v>1</v>
      </c>
      <c r="Q159" s="16" t="s">
        <v>860</v>
      </c>
      <c r="R159" s="16" t="s">
        <v>861</v>
      </c>
      <c r="S159" s="22"/>
      <c r="T159" s="16" t="s">
        <v>862</v>
      </c>
      <c r="U159" s="17" t="s">
        <v>863</v>
      </c>
      <c r="V159" s="17" t="s">
        <v>864</v>
      </c>
      <c r="W159" s="47"/>
      <c r="X159" s="47"/>
      <c r="Y159" s="47"/>
      <c r="Z159" s="47"/>
      <c r="AA159" s="47"/>
      <c r="AB159" s="47"/>
    </row>
    <row r="160" spans="1:28" ht="43.2">
      <c r="A160" s="43"/>
      <c r="B160" s="43"/>
      <c r="C160" s="13" t="s">
        <v>865</v>
      </c>
      <c r="D160" s="51"/>
      <c r="E160" s="14" t="s">
        <v>148</v>
      </c>
      <c r="F160" s="21">
        <f t="shared" si="12"/>
        <v>0</v>
      </c>
      <c r="G160" s="14" t="s">
        <v>24</v>
      </c>
      <c r="H160" s="21">
        <f t="shared" si="16"/>
        <v>3</v>
      </c>
      <c r="I160" s="14" t="s">
        <v>148</v>
      </c>
      <c r="J160" s="21">
        <f t="shared" si="17"/>
        <v>0</v>
      </c>
      <c r="K160" s="14" t="s">
        <v>148</v>
      </c>
      <c r="L160" s="21">
        <f t="shared" si="15"/>
        <v>0</v>
      </c>
      <c r="M160" s="15" t="s">
        <v>24</v>
      </c>
      <c r="N160" s="21">
        <f t="shared" si="13"/>
        <v>3</v>
      </c>
      <c r="O160" s="15" t="s">
        <v>24</v>
      </c>
      <c r="P160" s="21">
        <f t="shared" si="14"/>
        <v>3</v>
      </c>
      <c r="Q160" s="16" t="s">
        <v>866</v>
      </c>
      <c r="R160" s="16" t="s">
        <v>867</v>
      </c>
      <c r="S160" s="22"/>
      <c r="T160" s="16" t="s">
        <v>868</v>
      </c>
      <c r="U160" s="17" t="s">
        <v>869</v>
      </c>
      <c r="V160" s="17" t="s">
        <v>870</v>
      </c>
      <c r="W160" s="47"/>
      <c r="X160" s="47"/>
      <c r="Y160" s="47"/>
      <c r="Z160" s="47"/>
      <c r="AA160" s="47"/>
      <c r="AB160" s="47"/>
    </row>
    <row r="161" spans="1:28" ht="32.25" customHeight="1">
      <c r="A161" s="43"/>
      <c r="B161" s="43"/>
      <c r="C161" s="13" t="s">
        <v>871</v>
      </c>
      <c r="D161" s="51"/>
      <c r="E161" s="14" t="s">
        <v>31</v>
      </c>
      <c r="F161" s="21">
        <f t="shared" si="12"/>
        <v>1</v>
      </c>
      <c r="G161" s="14" t="s">
        <v>24</v>
      </c>
      <c r="H161" s="21">
        <f t="shared" si="16"/>
        <v>3</v>
      </c>
      <c r="I161" s="14" t="s">
        <v>31</v>
      </c>
      <c r="J161" s="21">
        <f t="shared" si="17"/>
        <v>1</v>
      </c>
      <c r="K161" s="14" t="s">
        <v>148</v>
      </c>
      <c r="L161" s="21">
        <f t="shared" si="15"/>
        <v>0</v>
      </c>
      <c r="M161" s="15" t="s">
        <v>24</v>
      </c>
      <c r="N161" s="21">
        <f t="shared" si="13"/>
        <v>3</v>
      </c>
      <c r="O161" s="15" t="s">
        <v>24</v>
      </c>
      <c r="P161" s="21">
        <f t="shared" si="14"/>
        <v>3</v>
      </c>
      <c r="Q161" s="16" t="s">
        <v>872</v>
      </c>
      <c r="R161" s="16" t="s">
        <v>873</v>
      </c>
      <c r="S161" s="22"/>
      <c r="T161" s="16" t="s">
        <v>874</v>
      </c>
      <c r="U161" s="17" t="s">
        <v>875</v>
      </c>
      <c r="V161" s="17" t="s">
        <v>876</v>
      </c>
      <c r="W161" s="47"/>
      <c r="X161" s="47"/>
      <c r="Y161" s="47"/>
      <c r="Z161" s="47"/>
      <c r="AA161" s="47"/>
      <c r="AB161" s="47"/>
    </row>
    <row r="162" spans="1:28" ht="34.049999999999997" customHeight="1">
      <c r="A162" s="43"/>
      <c r="B162" s="43"/>
      <c r="C162" s="13" t="s">
        <v>877</v>
      </c>
      <c r="D162" s="51"/>
      <c r="E162" s="14" t="s">
        <v>24</v>
      </c>
      <c r="F162" s="21">
        <f t="shared" si="12"/>
        <v>3</v>
      </c>
      <c r="G162" s="14" t="s">
        <v>24</v>
      </c>
      <c r="H162" s="21">
        <f t="shared" si="16"/>
        <v>3</v>
      </c>
      <c r="I162" s="14" t="s">
        <v>24</v>
      </c>
      <c r="J162" s="21">
        <f t="shared" si="17"/>
        <v>3</v>
      </c>
      <c r="K162" s="14" t="s">
        <v>31</v>
      </c>
      <c r="L162" s="21">
        <f t="shared" si="15"/>
        <v>1</v>
      </c>
      <c r="M162" s="15" t="s">
        <v>24</v>
      </c>
      <c r="N162" s="21">
        <f t="shared" si="13"/>
        <v>3</v>
      </c>
      <c r="O162" s="15" t="s">
        <v>24</v>
      </c>
      <c r="P162" s="21">
        <f t="shared" si="14"/>
        <v>3</v>
      </c>
      <c r="Q162" s="16" t="s">
        <v>878</v>
      </c>
      <c r="R162" s="16" t="s">
        <v>879</v>
      </c>
      <c r="S162" s="16" t="s">
        <v>83</v>
      </c>
      <c r="T162" s="16" t="s">
        <v>157</v>
      </c>
      <c r="U162" s="17" t="s">
        <v>880</v>
      </c>
      <c r="V162" s="17" t="s">
        <v>881</v>
      </c>
      <c r="W162" s="47"/>
      <c r="X162" s="47"/>
      <c r="Y162" s="47"/>
      <c r="Z162" s="47"/>
      <c r="AA162" s="47"/>
      <c r="AB162" s="47"/>
    </row>
    <row r="163" spans="1:28" ht="34.049999999999997" customHeight="1">
      <c r="A163" s="43"/>
      <c r="B163" s="43"/>
      <c r="C163" s="13" t="s">
        <v>882</v>
      </c>
      <c r="D163" s="51"/>
      <c r="E163" s="14" t="s">
        <v>24</v>
      </c>
      <c r="F163" s="21">
        <f t="shared" si="12"/>
        <v>3</v>
      </c>
      <c r="G163" s="14" t="s">
        <v>24</v>
      </c>
      <c r="H163" s="21">
        <f t="shared" si="16"/>
        <v>3</v>
      </c>
      <c r="I163" s="14" t="s">
        <v>24</v>
      </c>
      <c r="J163" s="21">
        <f t="shared" si="17"/>
        <v>3</v>
      </c>
      <c r="K163" s="14" t="s">
        <v>31</v>
      </c>
      <c r="L163" s="21">
        <f t="shared" si="15"/>
        <v>1</v>
      </c>
      <c r="M163" s="15" t="s">
        <v>24</v>
      </c>
      <c r="N163" s="21">
        <f t="shared" si="13"/>
        <v>3</v>
      </c>
      <c r="O163" s="15" t="s">
        <v>24</v>
      </c>
      <c r="P163" s="21">
        <f t="shared" si="14"/>
        <v>3</v>
      </c>
      <c r="Q163" s="16" t="s">
        <v>883</v>
      </c>
      <c r="R163" s="16" t="s">
        <v>884</v>
      </c>
      <c r="S163" s="16" t="s">
        <v>83</v>
      </c>
      <c r="T163" s="16" t="s">
        <v>217</v>
      </c>
      <c r="U163" s="17" t="s">
        <v>885</v>
      </c>
      <c r="V163" s="17" t="s">
        <v>886</v>
      </c>
      <c r="W163" s="47"/>
      <c r="X163" s="47"/>
      <c r="Y163" s="47"/>
      <c r="Z163" s="47"/>
      <c r="AA163" s="47"/>
      <c r="AB163" s="47"/>
    </row>
    <row r="164" spans="1:28" ht="32.25" customHeight="1">
      <c r="A164" s="43"/>
      <c r="B164" s="43"/>
      <c r="C164" s="13" t="s">
        <v>887</v>
      </c>
      <c r="D164" s="51"/>
      <c r="E164" s="14" t="s">
        <v>24</v>
      </c>
      <c r="F164" s="21">
        <f t="shared" si="12"/>
        <v>3</v>
      </c>
      <c r="G164" s="14" t="s">
        <v>24</v>
      </c>
      <c r="H164" s="21">
        <f t="shared" si="16"/>
        <v>3</v>
      </c>
      <c r="I164" s="14" t="s">
        <v>24</v>
      </c>
      <c r="J164" s="21">
        <f t="shared" si="17"/>
        <v>3</v>
      </c>
      <c r="K164" s="14" t="s">
        <v>31</v>
      </c>
      <c r="L164" s="21">
        <f t="shared" si="15"/>
        <v>1</v>
      </c>
      <c r="M164" s="15" t="s">
        <v>24</v>
      </c>
      <c r="N164" s="21">
        <f t="shared" si="13"/>
        <v>3</v>
      </c>
      <c r="O164" s="15" t="s">
        <v>24</v>
      </c>
      <c r="P164" s="21">
        <f t="shared" si="14"/>
        <v>3</v>
      </c>
      <c r="Q164" s="16" t="s">
        <v>888</v>
      </c>
      <c r="R164" s="16" t="s">
        <v>889</v>
      </c>
      <c r="S164" s="16" t="s">
        <v>83</v>
      </c>
      <c r="T164" s="16" t="s">
        <v>249</v>
      </c>
      <c r="U164" s="17" t="s">
        <v>890</v>
      </c>
      <c r="V164" s="17" t="s">
        <v>891</v>
      </c>
      <c r="W164" s="47"/>
      <c r="X164" s="47"/>
      <c r="Y164" s="47"/>
      <c r="Z164" s="47"/>
      <c r="AA164" s="47"/>
      <c r="AB164" s="47"/>
    </row>
    <row r="165" spans="1:28" ht="32.25" customHeight="1">
      <c r="A165" s="43"/>
      <c r="B165" s="43"/>
      <c r="C165" s="13" t="s">
        <v>892</v>
      </c>
      <c r="D165" s="51"/>
      <c r="E165" s="14" t="s">
        <v>31</v>
      </c>
      <c r="F165" s="21">
        <f t="shared" si="12"/>
        <v>1</v>
      </c>
      <c r="G165" s="14" t="s">
        <v>24</v>
      </c>
      <c r="H165" s="21">
        <f t="shared" si="16"/>
        <v>3</v>
      </c>
      <c r="I165" s="14" t="s">
        <v>31</v>
      </c>
      <c r="J165" s="21">
        <f t="shared" si="17"/>
        <v>1</v>
      </c>
      <c r="K165" s="14" t="s">
        <v>31</v>
      </c>
      <c r="L165" s="21">
        <f t="shared" si="15"/>
        <v>1</v>
      </c>
      <c r="M165" s="15" t="s">
        <v>24</v>
      </c>
      <c r="N165" s="21">
        <f t="shared" si="13"/>
        <v>3</v>
      </c>
      <c r="O165" s="15" t="s">
        <v>24</v>
      </c>
      <c r="P165" s="21">
        <f t="shared" si="14"/>
        <v>3</v>
      </c>
      <c r="Q165" s="16" t="s">
        <v>893</v>
      </c>
      <c r="R165" s="16" t="s">
        <v>894</v>
      </c>
      <c r="S165" s="16" t="s">
        <v>83</v>
      </c>
      <c r="T165" s="16" t="s">
        <v>295</v>
      </c>
      <c r="U165" s="17" t="s">
        <v>895</v>
      </c>
      <c r="V165" s="17" t="s">
        <v>895</v>
      </c>
      <c r="W165" s="47"/>
      <c r="X165" s="47"/>
      <c r="Y165" s="47"/>
      <c r="Z165" s="47"/>
      <c r="AA165" s="47"/>
      <c r="AB165" s="47"/>
    </row>
    <row r="166" spans="1:28" ht="32.25" customHeight="1">
      <c r="A166" s="43"/>
      <c r="B166" s="43"/>
      <c r="C166" s="13" t="s">
        <v>896</v>
      </c>
      <c r="D166" s="51"/>
      <c r="E166" s="14" t="s">
        <v>24</v>
      </c>
      <c r="F166" s="21">
        <f t="shared" si="12"/>
        <v>3</v>
      </c>
      <c r="G166" s="14" t="s">
        <v>24</v>
      </c>
      <c r="H166" s="21">
        <f t="shared" si="16"/>
        <v>3</v>
      </c>
      <c r="I166" s="14" t="s">
        <v>31</v>
      </c>
      <c r="J166" s="21">
        <f t="shared" si="17"/>
        <v>1</v>
      </c>
      <c r="K166" s="14" t="s">
        <v>148</v>
      </c>
      <c r="L166" s="21">
        <f t="shared" si="15"/>
        <v>0</v>
      </c>
      <c r="M166" s="15" t="s">
        <v>24</v>
      </c>
      <c r="N166" s="21">
        <f t="shared" si="13"/>
        <v>3</v>
      </c>
      <c r="O166" s="15" t="s">
        <v>24</v>
      </c>
      <c r="P166" s="21">
        <f t="shared" si="14"/>
        <v>3</v>
      </c>
      <c r="Q166" s="16" t="s">
        <v>897</v>
      </c>
      <c r="R166" s="16" t="s">
        <v>898</v>
      </c>
      <c r="S166" s="22"/>
      <c r="T166" s="16" t="s">
        <v>899</v>
      </c>
      <c r="U166" s="17" t="s">
        <v>900</v>
      </c>
      <c r="V166" s="17" t="s">
        <v>901</v>
      </c>
      <c r="W166" s="47"/>
      <c r="X166" s="47"/>
      <c r="Y166" s="47"/>
      <c r="Z166" s="47"/>
      <c r="AA166" s="47"/>
      <c r="AB166" s="47"/>
    </row>
    <row r="167" spans="1:28" ht="32.25" customHeight="1">
      <c r="A167" s="43"/>
      <c r="B167" s="43"/>
      <c r="C167" s="13" t="s">
        <v>902</v>
      </c>
      <c r="D167" s="51"/>
      <c r="E167" s="14" t="s">
        <v>31</v>
      </c>
      <c r="F167" s="21">
        <f t="shared" si="12"/>
        <v>1</v>
      </c>
      <c r="G167" s="14" t="s">
        <v>24</v>
      </c>
      <c r="H167" s="21">
        <f t="shared" si="16"/>
        <v>3</v>
      </c>
      <c r="I167" s="14" t="s">
        <v>31</v>
      </c>
      <c r="J167" s="21">
        <f t="shared" si="17"/>
        <v>1</v>
      </c>
      <c r="K167" s="14" t="s">
        <v>31</v>
      </c>
      <c r="L167" s="21">
        <f t="shared" si="15"/>
        <v>1</v>
      </c>
      <c r="M167" s="15" t="s">
        <v>24</v>
      </c>
      <c r="N167" s="21">
        <f t="shared" si="13"/>
        <v>3</v>
      </c>
      <c r="O167" s="15" t="s">
        <v>24</v>
      </c>
      <c r="P167" s="21">
        <f t="shared" si="14"/>
        <v>3</v>
      </c>
      <c r="Q167" s="16" t="s">
        <v>903</v>
      </c>
      <c r="R167" s="16" t="s">
        <v>904</v>
      </c>
      <c r="S167" s="16" t="s">
        <v>83</v>
      </c>
      <c r="T167" s="16" t="s">
        <v>194</v>
      </c>
      <c r="U167" s="17" t="s">
        <v>905</v>
      </c>
      <c r="V167" s="17" t="s">
        <v>906</v>
      </c>
      <c r="W167" s="47"/>
      <c r="X167" s="47"/>
      <c r="Y167" s="47"/>
      <c r="Z167" s="47"/>
      <c r="AA167" s="47"/>
      <c r="AB167" s="47"/>
    </row>
    <row r="168" spans="1:28" s="25" customFormat="1" ht="64.05" customHeight="1">
      <c r="A168" s="43"/>
      <c r="B168" s="43"/>
      <c r="C168" s="23" t="s">
        <v>907</v>
      </c>
      <c r="D168" s="51"/>
      <c r="E168" s="20" t="s">
        <v>31</v>
      </c>
      <c r="F168" s="14">
        <f t="shared" si="12"/>
        <v>1</v>
      </c>
      <c r="G168" s="14" t="s">
        <v>24</v>
      </c>
      <c r="H168" s="14">
        <f t="shared" si="16"/>
        <v>3</v>
      </c>
      <c r="I168" s="14" t="s">
        <v>31</v>
      </c>
      <c r="J168" s="14">
        <f t="shared" si="17"/>
        <v>1</v>
      </c>
      <c r="K168" s="14" t="s">
        <v>31</v>
      </c>
      <c r="L168" s="14">
        <f t="shared" si="15"/>
        <v>1</v>
      </c>
      <c r="M168" s="15" t="s">
        <v>24</v>
      </c>
      <c r="N168" s="14">
        <f t="shared" si="13"/>
        <v>3</v>
      </c>
      <c r="O168" s="15" t="s">
        <v>24</v>
      </c>
      <c r="P168" s="14">
        <f t="shared" si="14"/>
        <v>3</v>
      </c>
      <c r="Q168" s="24" t="s">
        <v>908</v>
      </c>
      <c r="R168" s="24" t="s">
        <v>909</v>
      </c>
      <c r="S168" s="24" t="s">
        <v>83</v>
      </c>
      <c r="T168" s="24" t="s">
        <v>295</v>
      </c>
      <c r="U168" s="15" t="s">
        <v>910</v>
      </c>
      <c r="V168" s="15" t="s">
        <v>911</v>
      </c>
      <c r="W168" s="47"/>
      <c r="X168" s="47"/>
      <c r="Y168" s="47"/>
      <c r="Z168" s="47"/>
      <c r="AA168" s="47"/>
      <c r="AB168" s="47"/>
    </row>
    <row r="169" spans="1:28" ht="19.05" customHeight="1">
      <c r="A169" s="43"/>
      <c r="B169" s="43"/>
      <c r="C169" s="13" t="s">
        <v>912</v>
      </c>
      <c r="D169" s="51"/>
      <c r="E169" s="14" t="s">
        <v>31</v>
      </c>
      <c r="F169" s="21">
        <f t="shared" si="12"/>
        <v>1</v>
      </c>
      <c r="G169" s="14" t="s">
        <v>24</v>
      </c>
      <c r="H169" s="21">
        <f t="shared" si="16"/>
        <v>3</v>
      </c>
      <c r="I169" s="14" t="s">
        <v>31</v>
      </c>
      <c r="J169" s="21">
        <f t="shared" si="17"/>
        <v>1</v>
      </c>
      <c r="K169" s="14" t="s">
        <v>148</v>
      </c>
      <c r="L169" s="21">
        <f t="shared" si="15"/>
        <v>0</v>
      </c>
      <c r="M169" s="15" t="s">
        <v>24</v>
      </c>
      <c r="N169" s="21">
        <f t="shared" si="13"/>
        <v>3</v>
      </c>
      <c r="O169" s="15" t="s">
        <v>24</v>
      </c>
      <c r="P169" s="21">
        <f t="shared" si="14"/>
        <v>3</v>
      </c>
      <c r="Q169" s="16" t="s">
        <v>913</v>
      </c>
      <c r="R169" s="16" t="s">
        <v>914</v>
      </c>
      <c r="S169" s="22"/>
      <c r="T169" s="16" t="s">
        <v>915</v>
      </c>
      <c r="U169" s="17" t="s">
        <v>916</v>
      </c>
      <c r="V169" s="17" t="s">
        <v>916</v>
      </c>
      <c r="W169" s="47"/>
      <c r="X169" s="47"/>
      <c r="Y169" s="47"/>
      <c r="Z169" s="47"/>
      <c r="AA169" s="47"/>
      <c r="AB169" s="47"/>
    </row>
    <row r="170" spans="1:28" ht="19.05" customHeight="1">
      <c r="A170" s="43"/>
      <c r="B170" s="43"/>
      <c r="C170" s="13" t="s">
        <v>917</v>
      </c>
      <c r="D170" s="51"/>
      <c r="E170" s="14" t="s">
        <v>24</v>
      </c>
      <c r="F170" s="21">
        <f t="shared" si="12"/>
        <v>3</v>
      </c>
      <c r="G170" s="14" t="s">
        <v>24</v>
      </c>
      <c r="H170" s="21">
        <f t="shared" si="16"/>
        <v>3</v>
      </c>
      <c r="I170" s="14" t="s">
        <v>24</v>
      </c>
      <c r="J170" s="21">
        <f t="shared" si="17"/>
        <v>3</v>
      </c>
      <c r="K170" s="14" t="s">
        <v>31</v>
      </c>
      <c r="L170" s="21">
        <f t="shared" si="15"/>
        <v>1</v>
      </c>
      <c r="M170" s="15" t="s">
        <v>24</v>
      </c>
      <c r="N170" s="21">
        <f t="shared" si="13"/>
        <v>3</v>
      </c>
      <c r="O170" s="15" t="s">
        <v>24</v>
      </c>
      <c r="P170" s="21">
        <f t="shared" si="14"/>
        <v>3</v>
      </c>
      <c r="Q170" s="16" t="s">
        <v>918</v>
      </c>
      <c r="R170" s="16" t="s">
        <v>919</v>
      </c>
      <c r="S170" s="16" t="s">
        <v>83</v>
      </c>
      <c r="T170" s="16" t="s">
        <v>157</v>
      </c>
      <c r="U170" s="17" t="s">
        <v>920</v>
      </c>
      <c r="V170" s="17" t="s">
        <v>920</v>
      </c>
      <c r="W170" s="47"/>
      <c r="X170" s="47"/>
      <c r="Y170" s="47"/>
      <c r="Z170" s="47"/>
      <c r="AA170" s="47"/>
      <c r="AB170" s="47"/>
    </row>
    <row r="171" spans="1:28" ht="32.25" customHeight="1">
      <c r="A171" s="43"/>
      <c r="B171" s="43"/>
      <c r="C171" s="13" t="s">
        <v>921</v>
      </c>
      <c r="D171" s="51"/>
      <c r="E171" s="14" t="s">
        <v>31</v>
      </c>
      <c r="F171" s="21">
        <f t="shared" si="12"/>
        <v>1</v>
      </c>
      <c r="G171" s="14" t="s">
        <v>24</v>
      </c>
      <c r="H171" s="21">
        <f t="shared" si="16"/>
        <v>3</v>
      </c>
      <c r="I171" s="14" t="s">
        <v>24</v>
      </c>
      <c r="J171" s="21">
        <f t="shared" si="17"/>
        <v>3</v>
      </c>
      <c r="K171" s="14" t="s">
        <v>148</v>
      </c>
      <c r="L171" s="21">
        <f t="shared" si="15"/>
        <v>0</v>
      </c>
      <c r="M171" s="15" t="s">
        <v>24</v>
      </c>
      <c r="N171" s="21">
        <f t="shared" si="13"/>
        <v>3</v>
      </c>
      <c r="O171" s="15" t="s">
        <v>24</v>
      </c>
      <c r="P171" s="21">
        <f t="shared" si="14"/>
        <v>3</v>
      </c>
      <c r="Q171" s="16" t="s">
        <v>922</v>
      </c>
      <c r="R171" s="16" t="s">
        <v>923</v>
      </c>
      <c r="S171" s="22"/>
      <c r="T171" s="16" t="s">
        <v>924</v>
      </c>
      <c r="U171" s="17" t="s">
        <v>925</v>
      </c>
      <c r="V171" s="17" t="s">
        <v>926</v>
      </c>
      <c r="W171" s="47"/>
      <c r="X171" s="47"/>
      <c r="Y171" s="47"/>
      <c r="Z171" s="47"/>
      <c r="AA171" s="47"/>
      <c r="AB171" s="47"/>
    </row>
    <row r="172" spans="1:28" ht="43.2">
      <c r="A172" s="43"/>
      <c r="B172" s="43"/>
      <c r="C172" s="13" t="s">
        <v>927</v>
      </c>
      <c r="D172" s="51"/>
      <c r="E172" s="14" t="s">
        <v>31</v>
      </c>
      <c r="F172" s="21">
        <f t="shared" si="12"/>
        <v>1</v>
      </c>
      <c r="G172" s="14" t="s">
        <v>24</v>
      </c>
      <c r="H172" s="21">
        <f t="shared" si="16"/>
        <v>3</v>
      </c>
      <c r="I172" s="14" t="s">
        <v>31</v>
      </c>
      <c r="J172" s="21">
        <f t="shared" si="17"/>
        <v>1</v>
      </c>
      <c r="K172" s="14" t="s">
        <v>148</v>
      </c>
      <c r="L172" s="21">
        <f t="shared" si="15"/>
        <v>0</v>
      </c>
      <c r="M172" s="15" t="s">
        <v>24</v>
      </c>
      <c r="N172" s="21">
        <f t="shared" si="13"/>
        <v>3</v>
      </c>
      <c r="O172" s="15" t="s">
        <v>24</v>
      </c>
      <c r="P172" s="21">
        <f t="shared" si="14"/>
        <v>3</v>
      </c>
      <c r="Q172" s="16" t="s">
        <v>928</v>
      </c>
      <c r="R172" s="16" t="s">
        <v>929</v>
      </c>
      <c r="S172" s="16" t="s">
        <v>83</v>
      </c>
      <c r="T172" s="16" t="s">
        <v>295</v>
      </c>
      <c r="U172" s="17" t="s">
        <v>930</v>
      </c>
      <c r="V172" s="17" t="s">
        <v>931</v>
      </c>
      <c r="W172" s="47"/>
      <c r="X172" s="47"/>
      <c r="Y172" s="47"/>
      <c r="Z172" s="47"/>
      <c r="AA172" s="47"/>
      <c r="AB172" s="47"/>
    </row>
    <row r="173" spans="1:28" ht="32.25" customHeight="1">
      <c r="A173" s="44"/>
      <c r="B173" s="44"/>
      <c r="C173" s="13" t="s">
        <v>932</v>
      </c>
      <c r="D173" s="51"/>
      <c r="E173" s="14" t="s">
        <v>31</v>
      </c>
      <c r="F173" s="21">
        <f t="shared" si="12"/>
        <v>1</v>
      </c>
      <c r="G173" s="14" t="s">
        <v>24</v>
      </c>
      <c r="H173" s="21">
        <f t="shared" si="16"/>
        <v>3</v>
      </c>
      <c r="I173" s="14" t="s">
        <v>31</v>
      </c>
      <c r="J173" s="21">
        <f t="shared" si="17"/>
        <v>1</v>
      </c>
      <c r="K173" s="14" t="s">
        <v>148</v>
      </c>
      <c r="L173" s="21">
        <f t="shared" si="15"/>
        <v>0</v>
      </c>
      <c r="M173" s="15" t="s">
        <v>24</v>
      </c>
      <c r="N173" s="21">
        <f t="shared" si="13"/>
        <v>3</v>
      </c>
      <c r="O173" s="15" t="s">
        <v>24</v>
      </c>
      <c r="P173" s="21">
        <f t="shared" si="14"/>
        <v>3</v>
      </c>
      <c r="Q173" s="16" t="s">
        <v>933</v>
      </c>
      <c r="R173" s="16" t="s">
        <v>934</v>
      </c>
      <c r="S173" s="22" t="s">
        <v>935</v>
      </c>
      <c r="T173" s="16" t="s">
        <v>936</v>
      </c>
      <c r="U173" s="17" t="s">
        <v>937</v>
      </c>
      <c r="V173" s="17" t="s">
        <v>938</v>
      </c>
      <c r="W173" s="48"/>
      <c r="X173" s="48"/>
      <c r="Y173" s="48"/>
      <c r="Z173" s="48"/>
      <c r="AA173" s="48"/>
      <c r="AB173" s="48"/>
    </row>
    <row r="174" spans="1:28" ht="32.25" customHeight="1">
      <c r="A174" s="42">
        <v>12</v>
      </c>
      <c r="B174" s="45" t="s">
        <v>939</v>
      </c>
      <c r="C174" s="13" t="s">
        <v>940</v>
      </c>
      <c r="D174" s="46">
        <v>0.04</v>
      </c>
      <c r="E174" s="14" t="s">
        <v>24</v>
      </c>
      <c r="F174" s="21">
        <f t="shared" si="12"/>
        <v>3</v>
      </c>
      <c r="G174" s="14" t="s">
        <v>24</v>
      </c>
      <c r="H174" s="21">
        <f t="shared" si="16"/>
        <v>3</v>
      </c>
      <c r="I174" s="14" t="s">
        <v>24</v>
      </c>
      <c r="J174" s="21">
        <f t="shared" si="17"/>
        <v>3</v>
      </c>
      <c r="K174" s="14" t="s">
        <v>31</v>
      </c>
      <c r="L174" s="21">
        <f t="shared" si="15"/>
        <v>1</v>
      </c>
      <c r="M174" s="15" t="s">
        <v>24</v>
      </c>
      <c r="N174" s="21">
        <f t="shared" si="13"/>
        <v>3</v>
      </c>
      <c r="O174" s="15" t="s">
        <v>24</v>
      </c>
      <c r="P174" s="21">
        <f t="shared" si="14"/>
        <v>3</v>
      </c>
      <c r="Q174" s="16" t="s">
        <v>941</v>
      </c>
      <c r="R174" s="16" t="s">
        <v>942</v>
      </c>
      <c r="S174" s="16" t="s">
        <v>83</v>
      </c>
      <c r="T174" s="16" t="s">
        <v>295</v>
      </c>
      <c r="U174" s="17" t="s">
        <v>943</v>
      </c>
      <c r="V174" s="17" t="s">
        <v>944</v>
      </c>
      <c r="W174" s="46">
        <f>AVERAGE(F174:F188)*$D174/3</f>
        <v>3.1111111111111114E-2</v>
      </c>
      <c r="X174" s="46">
        <f>AVERAGE(H174:H188)*$D174/3</f>
        <v>2.6666666666666668E-2</v>
      </c>
      <c r="Y174" s="46">
        <f>AVERAGE(J174:J188)*$D174/3</f>
        <v>3.1111111111111114E-2</v>
      </c>
      <c r="Z174" s="46">
        <f>AVERAGE(L174:L188)*$D174/3</f>
        <v>1.511111111111111E-2</v>
      </c>
      <c r="AA174" s="46">
        <f>AVERAGE(N174:N188)*$D174/3</f>
        <v>0.04</v>
      </c>
      <c r="AB174" s="46">
        <f>AVERAGE(P174:P188)*$D174/3</f>
        <v>0.04</v>
      </c>
    </row>
    <row r="175" spans="1:28" ht="46.8">
      <c r="A175" s="43"/>
      <c r="B175" s="43"/>
      <c r="C175" s="13" t="s">
        <v>945</v>
      </c>
      <c r="D175" s="46"/>
      <c r="E175" s="14" t="s">
        <v>24</v>
      </c>
      <c r="F175" s="21">
        <f t="shared" si="12"/>
        <v>3</v>
      </c>
      <c r="G175" s="14" t="s">
        <v>24</v>
      </c>
      <c r="H175" s="21">
        <f t="shared" si="16"/>
        <v>3</v>
      </c>
      <c r="I175" s="14" t="s">
        <v>24</v>
      </c>
      <c r="J175" s="21">
        <f t="shared" si="17"/>
        <v>3</v>
      </c>
      <c r="K175" s="14" t="s">
        <v>31</v>
      </c>
      <c r="L175" s="21">
        <f t="shared" si="15"/>
        <v>1</v>
      </c>
      <c r="M175" s="15" t="s">
        <v>24</v>
      </c>
      <c r="N175" s="21">
        <f t="shared" si="13"/>
        <v>3</v>
      </c>
      <c r="O175" s="15" t="s">
        <v>24</v>
      </c>
      <c r="P175" s="21">
        <f t="shared" si="14"/>
        <v>3</v>
      </c>
      <c r="Q175" s="16" t="s">
        <v>946</v>
      </c>
      <c r="R175" s="16" t="s">
        <v>947</v>
      </c>
      <c r="S175" s="16" t="s">
        <v>83</v>
      </c>
      <c r="T175" s="16" t="s">
        <v>249</v>
      </c>
      <c r="U175" s="17" t="s">
        <v>948</v>
      </c>
      <c r="V175" s="17" t="s">
        <v>949</v>
      </c>
      <c r="W175" s="47"/>
      <c r="X175" s="47"/>
      <c r="Y175" s="47"/>
      <c r="Z175" s="47"/>
      <c r="AA175" s="47"/>
      <c r="AB175" s="47"/>
    </row>
    <row r="176" spans="1:28" ht="32.25" customHeight="1">
      <c r="A176" s="43"/>
      <c r="B176" s="43"/>
      <c r="C176" s="13" t="s">
        <v>950</v>
      </c>
      <c r="D176" s="46"/>
      <c r="E176" s="14" t="s">
        <v>24</v>
      </c>
      <c r="F176" s="21">
        <f t="shared" si="12"/>
        <v>3</v>
      </c>
      <c r="G176" s="14" t="s">
        <v>24</v>
      </c>
      <c r="H176" s="21">
        <f t="shared" si="16"/>
        <v>3</v>
      </c>
      <c r="I176" s="14" t="s">
        <v>24</v>
      </c>
      <c r="J176" s="21">
        <f t="shared" si="17"/>
        <v>3</v>
      </c>
      <c r="K176" s="14" t="s">
        <v>24</v>
      </c>
      <c r="L176" s="21">
        <f t="shared" si="15"/>
        <v>3</v>
      </c>
      <c r="M176" s="15" t="s">
        <v>24</v>
      </c>
      <c r="N176" s="21">
        <f t="shared" si="13"/>
        <v>3</v>
      </c>
      <c r="O176" s="15" t="s">
        <v>24</v>
      </c>
      <c r="P176" s="21">
        <f t="shared" si="14"/>
        <v>3</v>
      </c>
      <c r="Q176" s="16" t="s">
        <v>951</v>
      </c>
      <c r="R176" s="16" t="s">
        <v>952</v>
      </c>
      <c r="S176" s="16" t="s">
        <v>83</v>
      </c>
      <c r="T176" s="16" t="s">
        <v>194</v>
      </c>
      <c r="U176" s="17" t="s">
        <v>953</v>
      </c>
      <c r="V176" s="17" t="s">
        <v>954</v>
      </c>
      <c r="W176" s="47"/>
      <c r="X176" s="47"/>
      <c r="Y176" s="47"/>
      <c r="Z176" s="47"/>
      <c r="AA176" s="47"/>
      <c r="AB176" s="47"/>
    </row>
    <row r="177" spans="1:28" ht="32.25" customHeight="1">
      <c r="A177" s="43"/>
      <c r="B177" s="43"/>
      <c r="C177" s="13" t="s">
        <v>955</v>
      </c>
      <c r="D177" s="46"/>
      <c r="E177" s="14" t="s">
        <v>24</v>
      </c>
      <c r="F177" s="21">
        <f t="shared" si="12"/>
        <v>3</v>
      </c>
      <c r="G177" s="14" t="s">
        <v>31</v>
      </c>
      <c r="H177" s="21">
        <f t="shared" si="16"/>
        <v>1</v>
      </c>
      <c r="I177" s="14" t="s">
        <v>24</v>
      </c>
      <c r="J177" s="21">
        <f t="shared" si="17"/>
        <v>3</v>
      </c>
      <c r="K177" s="14" t="s">
        <v>31</v>
      </c>
      <c r="L177" s="21">
        <f t="shared" si="15"/>
        <v>1</v>
      </c>
      <c r="M177" s="15" t="s">
        <v>24</v>
      </c>
      <c r="N177" s="21">
        <f t="shared" si="13"/>
        <v>3</v>
      </c>
      <c r="O177" s="15" t="s">
        <v>24</v>
      </c>
      <c r="P177" s="21">
        <f t="shared" si="14"/>
        <v>3</v>
      </c>
      <c r="Q177" s="16" t="s">
        <v>956</v>
      </c>
      <c r="R177" s="16" t="s">
        <v>957</v>
      </c>
      <c r="S177" s="16" t="s">
        <v>83</v>
      </c>
      <c r="T177" s="16" t="s">
        <v>181</v>
      </c>
      <c r="U177" s="17" t="s">
        <v>958</v>
      </c>
      <c r="V177" s="17" t="s">
        <v>959</v>
      </c>
      <c r="W177" s="47"/>
      <c r="X177" s="47"/>
      <c r="Y177" s="47"/>
      <c r="Z177" s="47"/>
      <c r="AA177" s="47"/>
      <c r="AB177" s="47"/>
    </row>
    <row r="178" spans="1:28" ht="32.25" customHeight="1">
      <c r="A178" s="43"/>
      <c r="B178" s="43"/>
      <c r="C178" s="13" t="s">
        <v>960</v>
      </c>
      <c r="D178" s="46"/>
      <c r="E178" s="14" t="s">
        <v>24</v>
      </c>
      <c r="F178" s="21">
        <f t="shared" si="12"/>
        <v>3</v>
      </c>
      <c r="G178" s="14" t="s">
        <v>24</v>
      </c>
      <c r="H178" s="21">
        <f t="shared" si="16"/>
        <v>3</v>
      </c>
      <c r="I178" s="14" t="s">
        <v>24</v>
      </c>
      <c r="J178" s="21">
        <f t="shared" si="17"/>
        <v>3</v>
      </c>
      <c r="K178" s="14" t="s">
        <v>31</v>
      </c>
      <c r="L178" s="21">
        <f t="shared" si="15"/>
        <v>1</v>
      </c>
      <c r="M178" s="15" t="s">
        <v>24</v>
      </c>
      <c r="N178" s="21">
        <f t="shared" si="13"/>
        <v>3</v>
      </c>
      <c r="O178" s="15" t="s">
        <v>24</v>
      </c>
      <c r="P178" s="21">
        <f t="shared" si="14"/>
        <v>3</v>
      </c>
      <c r="Q178" s="16" t="s">
        <v>961</v>
      </c>
      <c r="R178" s="16" t="s">
        <v>962</v>
      </c>
      <c r="S178" s="16" t="s">
        <v>83</v>
      </c>
      <c r="T178" s="16" t="s">
        <v>295</v>
      </c>
      <c r="U178" s="17" t="s">
        <v>963</v>
      </c>
      <c r="V178" s="17" t="s">
        <v>964</v>
      </c>
      <c r="W178" s="47"/>
      <c r="X178" s="47"/>
      <c r="Y178" s="47"/>
      <c r="Z178" s="47"/>
      <c r="AA178" s="47"/>
      <c r="AB178" s="47"/>
    </row>
    <row r="179" spans="1:28" ht="43.2">
      <c r="A179" s="43"/>
      <c r="B179" s="43"/>
      <c r="C179" s="13" t="s">
        <v>965</v>
      </c>
      <c r="D179" s="46"/>
      <c r="E179" s="14" t="s">
        <v>24</v>
      </c>
      <c r="F179" s="21">
        <f t="shared" ref="F179:F220" si="18">IF(E179="C",3,IF(E179="PC",1,IF(E179="NC",0,"")))</f>
        <v>3</v>
      </c>
      <c r="G179" s="14" t="s">
        <v>31</v>
      </c>
      <c r="H179" s="21">
        <f t="shared" si="16"/>
        <v>1</v>
      </c>
      <c r="I179" s="14" t="s">
        <v>24</v>
      </c>
      <c r="J179" s="21">
        <f t="shared" si="17"/>
        <v>3</v>
      </c>
      <c r="K179" s="14" t="s">
        <v>31</v>
      </c>
      <c r="L179" s="21">
        <f t="shared" si="15"/>
        <v>1</v>
      </c>
      <c r="M179" s="15" t="s">
        <v>24</v>
      </c>
      <c r="N179" s="21">
        <f t="shared" si="13"/>
        <v>3</v>
      </c>
      <c r="O179" s="15" t="s">
        <v>24</v>
      </c>
      <c r="P179" s="21">
        <f t="shared" si="14"/>
        <v>3</v>
      </c>
      <c r="Q179" s="16" t="s">
        <v>966</v>
      </c>
      <c r="R179" s="16" t="s">
        <v>967</v>
      </c>
      <c r="S179" s="16" t="s">
        <v>83</v>
      </c>
      <c r="T179" s="16" t="s">
        <v>194</v>
      </c>
      <c r="U179" s="17" t="s">
        <v>968</v>
      </c>
      <c r="V179" s="17" t="s">
        <v>969</v>
      </c>
      <c r="W179" s="47"/>
      <c r="X179" s="47"/>
      <c r="Y179" s="47"/>
      <c r="Z179" s="47"/>
      <c r="AA179" s="47"/>
      <c r="AB179" s="47"/>
    </row>
    <row r="180" spans="1:28" s="29" customFormat="1" ht="43.2">
      <c r="A180" s="43"/>
      <c r="B180" s="43"/>
      <c r="C180" s="26" t="s">
        <v>970</v>
      </c>
      <c r="D180" s="46"/>
      <c r="E180" s="14" t="s">
        <v>31</v>
      </c>
      <c r="F180" s="14">
        <f t="shared" si="18"/>
        <v>1</v>
      </c>
      <c r="G180" s="14" t="s">
        <v>24</v>
      </c>
      <c r="H180" s="14">
        <f t="shared" si="16"/>
        <v>3</v>
      </c>
      <c r="I180" s="14" t="s">
        <v>31</v>
      </c>
      <c r="J180" s="14">
        <f t="shared" si="17"/>
        <v>1</v>
      </c>
      <c r="K180" s="14" t="s">
        <v>31</v>
      </c>
      <c r="L180" s="14">
        <f t="shared" si="15"/>
        <v>1</v>
      </c>
      <c r="M180" s="15" t="s">
        <v>24</v>
      </c>
      <c r="N180" s="14">
        <f t="shared" si="13"/>
        <v>3</v>
      </c>
      <c r="O180" s="15" t="s">
        <v>24</v>
      </c>
      <c r="P180" s="14">
        <f t="shared" si="14"/>
        <v>3</v>
      </c>
      <c r="Q180" s="27" t="s">
        <v>971</v>
      </c>
      <c r="R180" s="27" t="s">
        <v>972</v>
      </c>
      <c r="S180" s="28"/>
      <c r="T180" s="27" t="s">
        <v>973</v>
      </c>
      <c r="U180" s="17" t="s">
        <v>974</v>
      </c>
      <c r="V180" s="17" t="s">
        <v>975</v>
      </c>
      <c r="W180" s="47"/>
      <c r="X180" s="47"/>
      <c r="Y180" s="47"/>
      <c r="Z180" s="47"/>
      <c r="AA180" s="47"/>
      <c r="AB180" s="47"/>
    </row>
    <row r="181" spans="1:28" ht="34.049999999999997" customHeight="1">
      <c r="A181" s="43"/>
      <c r="B181" s="43"/>
      <c r="C181" s="13" t="s">
        <v>976</v>
      </c>
      <c r="D181" s="46"/>
      <c r="E181" s="14" t="s">
        <v>31</v>
      </c>
      <c r="F181" s="21">
        <f t="shared" si="18"/>
        <v>1</v>
      </c>
      <c r="G181" s="14" t="s">
        <v>24</v>
      </c>
      <c r="H181" s="21">
        <f t="shared" si="16"/>
        <v>3</v>
      </c>
      <c r="I181" s="14" t="s">
        <v>31</v>
      </c>
      <c r="J181" s="21">
        <f t="shared" si="17"/>
        <v>1</v>
      </c>
      <c r="K181" s="14" t="s">
        <v>148</v>
      </c>
      <c r="L181" s="21">
        <f t="shared" si="15"/>
        <v>0</v>
      </c>
      <c r="M181" s="15" t="s">
        <v>24</v>
      </c>
      <c r="N181" s="21">
        <f t="shared" si="13"/>
        <v>3</v>
      </c>
      <c r="O181" s="15" t="s">
        <v>24</v>
      </c>
      <c r="P181" s="21">
        <f t="shared" si="14"/>
        <v>3</v>
      </c>
      <c r="Q181" s="16" t="s">
        <v>977</v>
      </c>
      <c r="R181" s="16" t="s">
        <v>978</v>
      </c>
      <c r="S181" s="22"/>
      <c r="T181" s="16" t="s">
        <v>979</v>
      </c>
      <c r="U181" s="17" t="s">
        <v>980</v>
      </c>
      <c r="V181" s="17" t="s">
        <v>981</v>
      </c>
      <c r="W181" s="47"/>
      <c r="X181" s="47"/>
      <c r="Y181" s="47"/>
      <c r="Z181" s="47"/>
      <c r="AA181" s="47"/>
      <c r="AB181" s="47"/>
    </row>
    <row r="182" spans="1:28" ht="32.25" customHeight="1">
      <c r="A182" s="43"/>
      <c r="B182" s="43"/>
      <c r="C182" s="13" t="s">
        <v>982</v>
      </c>
      <c r="D182" s="46"/>
      <c r="E182" s="14" t="s">
        <v>24</v>
      </c>
      <c r="F182" s="21">
        <f t="shared" si="18"/>
        <v>3</v>
      </c>
      <c r="G182" s="14" t="s">
        <v>24</v>
      </c>
      <c r="H182" s="21">
        <f t="shared" si="16"/>
        <v>3</v>
      </c>
      <c r="I182" s="14" t="s">
        <v>24</v>
      </c>
      <c r="J182" s="21">
        <f t="shared" si="17"/>
        <v>3</v>
      </c>
      <c r="K182" s="14" t="s">
        <v>24</v>
      </c>
      <c r="L182" s="21">
        <f t="shared" si="15"/>
        <v>3</v>
      </c>
      <c r="M182" s="15" t="s">
        <v>24</v>
      </c>
      <c r="N182" s="21">
        <f t="shared" si="13"/>
        <v>3</v>
      </c>
      <c r="O182" s="15" t="s">
        <v>24</v>
      </c>
      <c r="P182" s="21">
        <f t="shared" si="14"/>
        <v>3</v>
      </c>
      <c r="Q182" s="16" t="s">
        <v>983</v>
      </c>
      <c r="R182" s="16" t="s">
        <v>984</v>
      </c>
      <c r="S182" s="16" t="s">
        <v>83</v>
      </c>
      <c r="T182" s="16" t="s">
        <v>295</v>
      </c>
      <c r="U182" s="17" t="s">
        <v>985</v>
      </c>
      <c r="V182" s="17" t="s">
        <v>985</v>
      </c>
      <c r="W182" s="47"/>
      <c r="X182" s="47"/>
      <c r="Y182" s="47"/>
      <c r="Z182" s="47"/>
      <c r="AA182" s="47"/>
      <c r="AB182" s="47"/>
    </row>
    <row r="183" spans="1:28" ht="46.8">
      <c r="A183" s="43"/>
      <c r="B183" s="43"/>
      <c r="C183" s="13" t="s">
        <v>986</v>
      </c>
      <c r="D183" s="46"/>
      <c r="E183" s="14" t="s">
        <v>24</v>
      </c>
      <c r="F183" s="21">
        <f t="shared" si="18"/>
        <v>3</v>
      </c>
      <c r="G183" s="14" t="s">
        <v>31</v>
      </c>
      <c r="H183" s="21">
        <f t="shared" si="16"/>
        <v>1</v>
      </c>
      <c r="I183" s="14" t="s">
        <v>24</v>
      </c>
      <c r="J183" s="21">
        <f t="shared" si="17"/>
        <v>3</v>
      </c>
      <c r="K183" s="14" t="s">
        <v>31</v>
      </c>
      <c r="L183" s="21">
        <f t="shared" si="15"/>
        <v>1</v>
      </c>
      <c r="M183" s="15" t="s">
        <v>24</v>
      </c>
      <c r="N183" s="21">
        <f t="shared" si="13"/>
        <v>3</v>
      </c>
      <c r="O183" s="15" t="s">
        <v>24</v>
      </c>
      <c r="P183" s="21">
        <f t="shared" si="14"/>
        <v>3</v>
      </c>
      <c r="Q183" s="16" t="s">
        <v>987</v>
      </c>
      <c r="R183" s="16" t="s">
        <v>988</v>
      </c>
      <c r="S183" s="22"/>
      <c r="T183" s="16" t="s">
        <v>989</v>
      </c>
      <c r="U183" s="17" t="s">
        <v>990</v>
      </c>
      <c r="V183" s="17" t="s">
        <v>990</v>
      </c>
      <c r="W183" s="47"/>
      <c r="X183" s="47"/>
      <c r="Y183" s="47"/>
      <c r="Z183" s="47"/>
      <c r="AA183" s="47"/>
      <c r="AB183" s="47"/>
    </row>
    <row r="184" spans="1:28" ht="32.25" customHeight="1">
      <c r="A184" s="43"/>
      <c r="B184" s="43"/>
      <c r="C184" s="13" t="s">
        <v>991</v>
      </c>
      <c r="D184" s="46"/>
      <c r="E184" s="14" t="s">
        <v>24</v>
      </c>
      <c r="F184" s="21">
        <f t="shared" si="18"/>
        <v>3</v>
      </c>
      <c r="G184" s="14" t="s">
        <v>31</v>
      </c>
      <c r="H184" s="21">
        <f t="shared" si="16"/>
        <v>1</v>
      </c>
      <c r="I184" s="14" t="s">
        <v>24</v>
      </c>
      <c r="J184" s="21">
        <f t="shared" si="17"/>
        <v>3</v>
      </c>
      <c r="K184" s="14" t="s">
        <v>31</v>
      </c>
      <c r="L184" s="21">
        <f t="shared" si="15"/>
        <v>1</v>
      </c>
      <c r="M184" s="15" t="s">
        <v>24</v>
      </c>
      <c r="N184" s="21">
        <f t="shared" si="13"/>
        <v>3</v>
      </c>
      <c r="O184" s="15" t="s">
        <v>24</v>
      </c>
      <c r="P184" s="21">
        <f t="shared" si="14"/>
        <v>3</v>
      </c>
      <c r="Q184" s="16" t="s">
        <v>992</v>
      </c>
      <c r="R184" s="16" t="s">
        <v>993</v>
      </c>
      <c r="S184" s="16" t="s">
        <v>83</v>
      </c>
      <c r="T184" s="16" t="s">
        <v>194</v>
      </c>
      <c r="U184" s="17" t="s">
        <v>994</v>
      </c>
      <c r="V184" s="17" t="s">
        <v>995</v>
      </c>
      <c r="W184" s="47"/>
      <c r="X184" s="47"/>
      <c r="Y184" s="47"/>
      <c r="Z184" s="47"/>
      <c r="AA184" s="47"/>
      <c r="AB184" s="47"/>
    </row>
    <row r="185" spans="1:28" ht="32.25" customHeight="1">
      <c r="A185" s="43"/>
      <c r="B185" s="43"/>
      <c r="C185" s="13" t="s">
        <v>996</v>
      </c>
      <c r="D185" s="46"/>
      <c r="E185" s="14" t="s">
        <v>31</v>
      </c>
      <c r="F185" s="21">
        <f t="shared" si="18"/>
        <v>1</v>
      </c>
      <c r="G185" s="14" t="s">
        <v>31</v>
      </c>
      <c r="H185" s="21">
        <f t="shared" si="16"/>
        <v>1</v>
      </c>
      <c r="I185" s="14" t="s">
        <v>31</v>
      </c>
      <c r="J185" s="21">
        <f t="shared" si="17"/>
        <v>1</v>
      </c>
      <c r="K185" s="14" t="s">
        <v>148</v>
      </c>
      <c r="L185" s="21">
        <f t="shared" si="15"/>
        <v>0</v>
      </c>
      <c r="M185" s="15" t="s">
        <v>24</v>
      </c>
      <c r="N185" s="21">
        <f t="shared" si="13"/>
        <v>3</v>
      </c>
      <c r="O185" s="15" t="s">
        <v>24</v>
      </c>
      <c r="P185" s="21">
        <f t="shared" si="14"/>
        <v>3</v>
      </c>
      <c r="Q185" s="16" t="s">
        <v>997</v>
      </c>
      <c r="R185" s="16" t="s">
        <v>998</v>
      </c>
      <c r="S185" s="22"/>
      <c r="T185" s="16" t="s">
        <v>999</v>
      </c>
      <c r="U185" s="17" t="s">
        <v>1000</v>
      </c>
      <c r="V185" s="30" t="s">
        <v>1001</v>
      </c>
      <c r="W185" s="47"/>
      <c r="X185" s="47"/>
      <c r="Y185" s="47"/>
      <c r="Z185" s="47"/>
      <c r="AA185" s="47"/>
      <c r="AB185" s="47"/>
    </row>
    <row r="186" spans="1:28" ht="32.25" customHeight="1">
      <c r="A186" s="43"/>
      <c r="B186" s="43"/>
      <c r="C186" s="13" t="s">
        <v>1002</v>
      </c>
      <c r="D186" s="46"/>
      <c r="E186" s="14" t="s">
        <v>24</v>
      </c>
      <c r="F186" s="21">
        <f t="shared" si="18"/>
        <v>3</v>
      </c>
      <c r="G186" s="14" t="s">
        <v>24</v>
      </c>
      <c r="H186" s="21">
        <f t="shared" si="16"/>
        <v>3</v>
      </c>
      <c r="I186" s="14" t="s">
        <v>24</v>
      </c>
      <c r="J186" s="21">
        <f t="shared" si="17"/>
        <v>3</v>
      </c>
      <c r="K186" s="14" t="s">
        <v>31</v>
      </c>
      <c r="L186" s="21">
        <f t="shared" si="15"/>
        <v>1</v>
      </c>
      <c r="M186" s="15" t="s">
        <v>24</v>
      </c>
      <c r="N186" s="21">
        <f t="shared" si="13"/>
        <v>3</v>
      </c>
      <c r="O186" s="15" t="s">
        <v>24</v>
      </c>
      <c r="P186" s="21">
        <f t="shared" si="14"/>
        <v>3</v>
      </c>
      <c r="Q186" s="16" t="s">
        <v>1003</v>
      </c>
      <c r="R186" s="16" t="s">
        <v>1004</v>
      </c>
      <c r="S186" s="16" t="s">
        <v>83</v>
      </c>
      <c r="T186" s="16" t="s">
        <v>295</v>
      </c>
      <c r="U186" s="17" t="s">
        <v>1005</v>
      </c>
      <c r="V186" s="17" t="s">
        <v>1005</v>
      </c>
      <c r="W186" s="47"/>
      <c r="X186" s="47"/>
      <c r="Y186" s="47"/>
      <c r="Z186" s="47"/>
      <c r="AA186" s="47"/>
      <c r="AB186" s="47"/>
    </row>
    <row r="187" spans="1:28" s="29" customFormat="1" ht="43.2">
      <c r="A187" s="43"/>
      <c r="B187" s="43"/>
      <c r="C187" s="26" t="s">
        <v>1006</v>
      </c>
      <c r="D187" s="46"/>
      <c r="E187" s="20" t="s">
        <v>31</v>
      </c>
      <c r="F187" s="14">
        <f t="shared" si="18"/>
        <v>1</v>
      </c>
      <c r="G187" s="14" t="s">
        <v>148</v>
      </c>
      <c r="H187" s="14">
        <f t="shared" si="16"/>
        <v>0</v>
      </c>
      <c r="I187" s="14" t="s">
        <v>31</v>
      </c>
      <c r="J187" s="14">
        <f t="shared" si="17"/>
        <v>1</v>
      </c>
      <c r="K187" s="14" t="s">
        <v>31</v>
      </c>
      <c r="L187" s="14">
        <f t="shared" si="15"/>
        <v>1</v>
      </c>
      <c r="M187" s="15" t="s">
        <v>24</v>
      </c>
      <c r="N187" s="14">
        <f t="shared" si="13"/>
        <v>3</v>
      </c>
      <c r="O187" s="15" t="s">
        <v>24</v>
      </c>
      <c r="P187" s="14">
        <f t="shared" si="14"/>
        <v>3</v>
      </c>
      <c r="Q187" s="27" t="s">
        <v>1007</v>
      </c>
      <c r="R187" s="27" t="s">
        <v>1008</v>
      </c>
      <c r="S187" s="28"/>
      <c r="T187" s="27" t="s">
        <v>1009</v>
      </c>
      <c r="U187" s="17" t="s">
        <v>1010</v>
      </c>
      <c r="V187" s="30" t="s">
        <v>1011</v>
      </c>
      <c r="W187" s="47"/>
      <c r="X187" s="47"/>
      <c r="Y187" s="47"/>
      <c r="Z187" s="47"/>
      <c r="AA187" s="47"/>
      <c r="AB187" s="47"/>
    </row>
    <row r="188" spans="1:28" ht="32.25" customHeight="1">
      <c r="A188" s="44"/>
      <c r="B188" s="44"/>
      <c r="C188" s="13" t="s">
        <v>1012</v>
      </c>
      <c r="D188" s="46"/>
      <c r="E188" s="14" t="s">
        <v>31</v>
      </c>
      <c r="F188" s="21">
        <f t="shared" si="18"/>
        <v>1</v>
      </c>
      <c r="G188" s="14" t="s">
        <v>31</v>
      </c>
      <c r="H188" s="21">
        <f t="shared" si="16"/>
        <v>1</v>
      </c>
      <c r="I188" s="14" t="s">
        <v>31</v>
      </c>
      <c r="J188" s="21">
        <f t="shared" si="17"/>
        <v>1</v>
      </c>
      <c r="K188" s="14" t="s">
        <v>31</v>
      </c>
      <c r="L188" s="21">
        <f t="shared" si="15"/>
        <v>1</v>
      </c>
      <c r="M188" s="15" t="s">
        <v>24</v>
      </c>
      <c r="N188" s="21">
        <f t="shared" si="13"/>
        <v>3</v>
      </c>
      <c r="O188" s="15" t="s">
        <v>24</v>
      </c>
      <c r="P188" s="21">
        <f t="shared" si="14"/>
        <v>3</v>
      </c>
      <c r="Q188" s="16" t="s">
        <v>1013</v>
      </c>
      <c r="R188" s="16" t="s">
        <v>1014</v>
      </c>
      <c r="S188" s="16" t="s">
        <v>83</v>
      </c>
      <c r="T188" s="16" t="s">
        <v>157</v>
      </c>
      <c r="U188" s="17" t="s">
        <v>1015</v>
      </c>
      <c r="V188" s="17" t="s">
        <v>1016</v>
      </c>
      <c r="W188" s="48"/>
      <c r="X188" s="48"/>
      <c r="Y188" s="48"/>
      <c r="Z188" s="48"/>
      <c r="AA188" s="48"/>
      <c r="AB188" s="48"/>
    </row>
    <row r="189" spans="1:28" ht="19.05" customHeight="1">
      <c r="A189" s="42">
        <v>13</v>
      </c>
      <c r="B189" s="45" t="s">
        <v>1017</v>
      </c>
      <c r="C189" s="13" t="s">
        <v>1018</v>
      </c>
      <c r="D189" s="46">
        <v>0.02</v>
      </c>
      <c r="E189" s="14" t="s">
        <v>24</v>
      </c>
      <c r="F189" s="21">
        <f t="shared" si="18"/>
        <v>3</v>
      </c>
      <c r="G189" s="14" t="s">
        <v>24</v>
      </c>
      <c r="H189" s="21">
        <f t="shared" si="16"/>
        <v>3</v>
      </c>
      <c r="I189" s="14" t="s">
        <v>24</v>
      </c>
      <c r="J189" s="21">
        <f t="shared" si="17"/>
        <v>3</v>
      </c>
      <c r="K189" s="14" t="s">
        <v>24</v>
      </c>
      <c r="L189" s="21">
        <f t="shared" si="15"/>
        <v>3</v>
      </c>
      <c r="M189" s="15" t="s">
        <v>24</v>
      </c>
      <c r="N189" s="21">
        <f t="shared" si="13"/>
        <v>3</v>
      </c>
      <c r="O189" s="15" t="s">
        <v>24</v>
      </c>
      <c r="P189" s="21">
        <f t="shared" si="14"/>
        <v>3</v>
      </c>
      <c r="Q189" s="16" t="s">
        <v>1019</v>
      </c>
      <c r="R189" s="16" t="s">
        <v>1020</v>
      </c>
      <c r="S189" s="16" t="s">
        <v>83</v>
      </c>
      <c r="T189" s="16" t="s">
        <v>738</v>
      </c>
      <c r="U189" s="17" t="s">
        <v>1021</v>
      </c>
      <c r="V189" s="17" t="s">
        <v>1022</v>
      </c>
      <c r="W189" s="46">
        <f>AVERAGE(F189:F204)*$D189/3</f>
        <v>1.8333333333333333E-2</v>
      </c>
      <c r="X189" s="46">
        <f>AVERAGE(H189:H204)*$D189/3</f>
        <v>1.7499999999999998E-2</v>
      </c>
      <c r="Y189" s="46">
        <f>AVERAGE(J189:J204)*$D189/3</f>
        <v>1.8333333333333333E-2</v>
      </c>
      <c r="Z189" s="46">
        <f>AVERAGE(L189:L204)*$D189/3</f>
        <v>1.3333333333333334E-2</v>
      </c>
      <c r="AA189" s="46">
        <f>AVERAGE(N189:N204)*$D189/3</f>
        <v>0.02</v>
      </c>
      <c r="AB189" s="46">
        <f>AVERAGE(P189:P204)*$D189/3</f>
        <v>0.02</v>
      </c>
    </row>
    <row r="190" spans="1:28" ht="32.25" customHeight="1">
      <c r="A190" s="43"/>
      <c r="B190" s="43"/>
      <c r="C190" s="13" t="s">
        <v>1023</v>
      </c>
      <c r="D190" s="46"/>
      <c r="E190" s="14" t="s">
        <v>24</v>
      </c>
      <c r="F190" s="21">
        <f t="shared" si="18"/>
        <v>3</v>
      </c>
      <c r="G190" s="14" t="s">
        <v>24</v>
      </c>
      <c r="H190" s="21">
        <f t="shared" si="16"/>
        <v>3</v>
      </c>
      <c r="I190" s="14" t="s">
        <v>24</v>
      </c>
      <c r="J190" s="21">
        <f t="shared" si="17"/>
        <v>3</v>
      </c>
      <c r="K190" s="14" t="s">
        <v>31</v>
      </c>
      <c r="L190" s="21">
        <f t="shared" si="15"/>
        <v>1</v>
      </c>
      <c r="M190" s="15" t="s">
        <v>24</v>
      </c>
      <c r="N190" s="21">
        <f t="shared" si="13"/>
        <v>3</v>
      </c>
      <c r="O190" s="15" t="s">
        <v>24</v>
      </c>
      <c r="P190" s="21">
        <f t="shared" si="14"/>
        <v>3</v>
      </c>
      <c r="Q190" s="16" t="s">
        <v>1024</v>
      </c>
      <c r="R190" s="16" t="s">
        <v>1025</v>
      </c>
      <c r="S190" s="16" t="s">
        <v>83</v>
      </c>
      <c r="T190" s="16" t="s">
        <v>295</v>
      </c>
      <c r="U190" s="17" t="s">
        <v>1026</v>
      </c>
      <c r="V190" s="17" t="s">
        <v>1026</v>
      </c>
      <c r="W190" s="47"/>
      <c r="X190" s="47"/>
      <c r="Y190" s="47"/>
      <c r="Z190" s="47"/>
      <c r="AA190" s="47"/>
      <c r="AB190" s="47"/>
    </row>
    <row r="191" spans="1:28" ht="32.25" customHeight="1">
      <c r="A191" s="43"/>
      <c r="B191" s="43"/>
      <c r="C191" s="13" t="s">
        <v>1027</v>
      </c>
      <c r="D191" s="46"/>
      <c r="E191" s="14" t="s">
        <v>24</v>
      </c>
      <c r="F191" s="21">
        <f t="shared" si="18"/>
        <v>3</v>
      </c>
      <c r="G191" s="14" t="s">
        <v>24</v>
      </c>
      <c r="H191" s="21">
        <f t="shared" si="16"/>
        <v>3</v>
      </c>
      <c r="I191" s="14" t="s">
        <v>24</v>
      </c>
      <c r="J191" s="21">
        <f t="shared" si="17"/>
        <v>3</v>
      </c>
      <c r="K191" s="14" t="s">
        <v>31</v>
      </c>
      <c r="L191" s="21">
        <f t="shared" si="15"/>
        <v>1</v>
      </c>
      <c r="M191" s="15" t="s">
        <v>24</v>
      </c>
      <c r="N191" s="21">
        <f t="shared" si="13"/>
        <v>3</v>
      </c>
      <c r="O191" s="15" t="s">
        <v>24</v>
      </c>
      <c r="P191" s="21">
        <f t="shared" si="14"/>
        <v>3</v>
      </c>
      <c r="Q191" s="16" t="s">
        <v>1028</v>
      </c>
      <c r="R191" s="16" t="s">
        <v>1029</v>
      </c>
      <c r="S191" s="16" t="s">
        <v>83</v>
      </c>
      <c r="T191" s="16" t="s">
        <v>249</v>
      </c>
      <c r="U191" s="17" t="s">
        <v>1030</v>
      </c>
      <c r="V191" s="17" t="s">
        <v>1030</v>
      </c>
      <c r="W191" s="47"/>
      <c r="X191" s="47"/>
      <c r="Y191" s="47"/>
      <c r="Z191" s="47"/>
      <c r="AA191" s="47"/>
      <c r="AB191" s="47"/>
    </row>
    <row r="192" spans="1:28" ht="32.25" customHeight="1">
      <c r="A192" s="43"/>
      <c r="B192" s="43"/>
      <c r="C192" s="13" t="s">
        <v>1031</v>
      </c>
      <c r="D192" s="46"/>
      <c r="E192" s="14" t="s">
        <v>24</v>
      </c>
      <c r="F192" s="21">
        <f t="shared" si="18"/>
        <v>3</v>
      </c>
      <c r="G192" s="14" t="s">
        <v>24</v>
      </c>
      <c r="H192" s="21">
        <f t="shared" si="16"/>
        <v>3</v>
      </c>
      <c r="I192" s="14" t="s">
        <v>24</v>
      </c>
      <c r="J192" s="21">
        <f t="shared" si="17"/>
        <v>3</v>
      </c>
      <c r="K192" s="14" t="s">
        <v>24</v>
      </c>
      <c r="L192" s="21">
        <f t="shared" si="15"/>
        <v>3</v>
      </c>
      <c r="M192" s="15" t="s">
        <v>24</v>
      </c>
      <c r="N192" s="21">
        <f t="shared" ref="N192:N220" si="19">IF(M192="C",3,IF(M192="PC",1,IF(M192="NC",0,"")))</f>
        <v>3</v>
      </c>
      <c r="O192" s="15" t="s">
        <v>24</v>
      </c>
      <c r="P192" s="21">
        <f t="shared" ref="P192:P220" si="20">IF(O192="C",3,IF(O192="PC",1,IF(O192="NC",0,"")))</f>
        <v>3</v>
      </c>
      <c r="Q192" s="16" t="s">
        <v>1032</v>
      </c>
      <c r="R192" s="16" t="s">
        <v>1033</v>
      </c>
      <c r="S192" s="16" t="s">
        <v>83</v>
      </c>
      <c r="T192" s="16" t="s">
        <v>194</v>
      </c>
      <c r="U192" s="17" t="s">
        <v>1034</v>
      </c>
      <c r="V192" s="17" t="s">
        <v>1034</v>
      </c>
      <c r="W192" s="47"/>
      <c r="X192" s="47"/>
      <c r="Y192" s="47"/>
      <c r="Z192" s="47"/>
      <c r="AA192" s="47"/>
      <c r="AB192" s="47"/>
    </row>
    <row r="193" spans="1:28" ht="32.25" customHeight="1">
      <c r="A193" s="43"/>
      <c r="B193" s="43"/>
      <c r="C193" s="13" t="s">
        <v>1035</v>
      </c>
      <c r="D193" s="46"/>
      <c r="E193" s="14" t="s">
        <v>24</v>
      </c>
      <c r="F193" s="21">
        <f t="shared" si="18"/>
        <v>3</v>
      </c>
      <c r="G193" s="14" t="s">
        <v>31</v>
      </c>
      <c r="H193" s="21">
        <f t="shared" si="16"/>
        <v>1</v>
      </c>
      <c r="I193" s="14" t="s">
        <v>24</v>
      </c>
      <c r="J193" s="21">
        <f t="shared" si="17"/>
        <v>3</v>
      </c>
      <c r="K193" s="14" t="s">
        <v>31</v>
      </c>
      <c r="L193" s="21">
        <f t="shared" si="15"/>
        <v>1</v>
      </c>
      <c r="M193" s="15" t="s">
        <v>24</v>
      </c>
      <c r="N193" s="21">
        <f t="shared" si="19"/>
        <v>3</v>
      </c>
      <c r="O193" s="15" t="s">
        <v>24</v>
      </c>
      <c r="P193" s="21">
        <f t="shared" si="20"/>
        <v>3</v>
      </c>
      <c r="Q193" s="16" t="s">
        <v>1036</v>
      </c>
      <c r="R193" s="16" t="s">
        <v>1037</v>
      </c>
      <c r="S193" s="22"/>
      <c r="T193" s="16" t="s">
        <v>1038</v>
      </c>
      <c r="U193" s="17" t="s">
        <v>1039</v>
      </c>
      <c r="V193" s="17" t="s">
        <v>1039</v>
      </c>
      <c r="W193" s="47"/>
      <c r="X193" s="47"/>
      <c r="Y193" s="47"/>
      <c r="Z193" s="47"/>
      <c r="AA193" s="47"/>
      <c r="AB193" s="47"/>
    </row>
    <row r="194" spans="1:28" ht="19.05" customHeight="1">
      <c r="A194" s="43"/>
      <c r="B194" s="43"/>
      <c r="C194" s="13" t="s">
        <v>1040</v>
      </c>
      <c r="D194" s="46"/>
      <c r="E194" s="14" t="s">
        <v>24</v>
      </c>
      <c r="F194" s="21">
        <f t="shared" si="18"/>
        <v>3</v>
      </c>
      <c r="G194" s="14" t="s">
        <v>24</v>
      </c>
      <c r="H194" s="21">
        <f t="shared" si="16"/>
        <v>3</v>
      </c>
      <c r="I194" s="14" t="s">
        <v>24</v>
      </c>
      <c r="J194" s="21">
        <f t="shared" si="17"/>
        <v>3</v>
      </c>
      <c r="K194" s="14" t="s">
        <v>24</v>
      </c>
      <c r="L194" s="21">
        <f t="shared" si="15"/>
        <v>3</v>
      </c>
      <c r="M194" s="15" t="s">
        <v>24</v>
      </c>
      <c r="N194" s="21">
        <f t="shared" si="19"/>
        <v>3</v>
      </c>
      <c r="O194" s="15" t="s">
        <v>24</v>
      </c>
      <c r="P194" s="21">
        <f t="shared" si="20"/>
        <v>3</v>
      </c>
      <c r="Q194" s="16" t="s">
        <v>1041</v>
      </c>
      <c r="R194" s="16" t="s">
        <v>1042</v>
      </c>
      <c r="S194" s="16" t="s">
        <v>83</v>
      </c>
      <c r="T194" s="16" t="s">
        <v>295</v>
      </c>
      <c r="U194" s="17" t="s">
        <v>1043</v>
      </c>
      <c r="V194" s="17" t="s">
        <v>1044</v>
      </c>
      <c r="W194" s="47"/>
      <c r="X194" s="47"/>
      <c r="Y194" s="47"/>
      <c r="Z194" s="47"/>
      <c r="AA194" s="47"/>
      <c r="AB194" s="47"/>
    </row>
    <row r="195" spans="1:28" ht="32.25" customHeight="1">
      <c r="A195" s="43"/>
      <c r="B195" s="43"/>
      <c r="C195" s="13" t="s">
        <v>1045</v>
      </c>
      <c r="D195" s="46"/>
      <c r="E195" s="14" t="s">
        <v>24</v>
      </c>
      <c r="F195" s="21">
        <f t="shared" si="18"/>
        <v>3</v>
      </c>
      <c r="G195" s="14" t="s">
        <v>24</v>
      </c>
      <c r="H195" s="21">
        <f t="shared" si="16"/>
        <v>3</v>
      </c>
      <c r="I195" s="14" t="s">
        <v>24</v>
      </c>
      <c r="J195" s="21">
        <f t="shared" si="17"/>
        <v>3</v>
      </c>
      <c r="K195" s="14" t="s">
        <v>24</v>
      </c>
      <c r="L195" s="21">
        <f t="shared" ref="L195:L220" si="21">IF(K195="C",3,IF(K195="PC",1,IF(K195="NC",0,"")))</f>
        <v>3</v>
      </c>
      <c r="M195" s="15" t="s">
        <v>24</v>
      </c>
      <c r="N195" s="21">
        <f t="shared" si="19"/>
        <v>3</v>
      </c>
      <c r="O195" s="15" t="s">
        <v>24</v>
      </c>
      <c r="P195" s="21">
        <f t="shared" si="20"/>
        <v>3</v>
      </c>
      <c r="Q195" s="16" t="s">
        <v>1046</v>
      </c>
      <c r="R195" s="16" t="s">
        <v>1047</v>
      </c>
      <c r="S195" s="16" t="s">
        <v>83</v>
      </c>
      <c r="T195" s="16" t="s">
        <v>200</v>
      </c>
      <c r="U195" s="17" t="s">
        <v>1048</v>
      </c>
      <c r="V195" s="17" t="s">
        <v>1049</v>
      </c>
      <c r="W195" s="47"/>
      <c r="X195" s="47"/>
      <c r="Y195" s="47"/>
      <c r="Z195" s="47"/>
      <c r="AA195" s="47"/>
      <c r="AB195" s="47"/>
    </row>
    <row r="196" spans="1:28" ht="19.05" customHeight="1">
      <c r="A196" s="43"/>
      <c r="B196" s="43"/>
      <c r="C196" s="13" t="s">
        <v>1050</v>
      </c>
      <c r="D196" s="46"/>
      <c r="E196" s="14" t="s">
        <v>24</v>
      </c>
      <c r="F196" s="21">
        <f t="shared" si="18"/>
        <v>3</v>
      </c>
      <c r="G196" s="14" t="s">
        <v>24</v>
      </c>
      <c r="H196" s="21">
        <f t="shared" ref="H196:H220" si="22">IF(G196="C",3,IF(G196="PC",1,IF(G196="NC",0,"")))</f>
        <v>3</v>
      </c>
      <c r="I196" s="14" t="s">
        <v>24</v>
      </c>
      <c r="J196" s="21">
        <f t="shared" ref="J196:J220" si="23">IF(I196="C",3,IF(I196="PC",1,IF(I196="NC",0,"")))</f>
        <v>3</v>
      </c>
      <c r="K196" s="14" t="s">
        <v>24</v>
      </c>
      <c r="L196" s="21">
        <f t="shared" si="21"/>
        <v>3</v>
      </c>
      <c r="M196" s="15" t="s">
        <v>24</v>
      </c>
      <c r="N196" s="21">
        <f t="shared" si="19"/>
        <v>3</v>
      </c>
      <c r="O196" s="15" t="s">
        <v>24</v>
      </c>
      <c r="P196" s="21">
        <f t="shared" si="20"/>
        <v>3</v>
      </c>
      <c r="Q196" s="16" t="s">
        <v>1051</v>
      </c>
      <c r="R196" s="16" t="s">
        <v>1052</v>
      </c>
      <c r="S196" s="16" t="s">
        <v>83</v>
      </c>
      <c r="T196" s="16" t="s">
        <v>295</v>
      </c>
      <c r="U196" s="17" t="s">
        <v>1053</v>
      </c>
      <c r="V196" s="17" t="s">
        <v>1054</v>
      </c>
      <c r="W196" s="47"/>
      <c r="X196" s="47"/>
      <c r="Y196" s="47"/>
      <c r="Z196" s="47"/>
      <c r="AA196" s="47"/>
      <c r="AB196" s="47"/>
    </row>
    <row r="197" spans="1:28" ht="19.05" customHeight="1">
      <c r="A197" s="43"/>
      <c r="B197" s="43"/>
      <c r="C197" s="13" t="s">
        <v>1055</v>
      </c>
      <c r="D197" s="46"/>
      <c r="E197" s="14" t="s">
        <v>24</v>
      </c>
      <c r="F197" s="21">
        <f t="shared" si="18"/>
        <v>3</v>
      </c>
      <c r="G197" s="14" t="s">
        <v>24</v>
      </c>
      <c r="H197" s="21">
        <f t="shared" si="22"/>
        <v>3</v>
      </c>
      <c r="I197" s="14" t="s">
        <v>24</v>
      </c>
      <c r="J197" s="21">
        <f t="shared" si="23"/>
        <v>3</v>
      </c>
      <c r="K197" s="14" t="s">
        <v>24</v>
      </c>
      <c r="L197" s="21">
        <f t="shared" si="21"/>
        <v>3</v>
      </c>
      <c r="M197" s="15" t="s">
        <v>24</v>
      </c>
      <c r="N197" s="21">
        <f t="shared" si="19"/>
        <v>3</v>
      </c>
      <c r="O197" s="15" t="s">
        <v>24</v>
      </c>
      <c r="P197" s="21">
        <f t="shared" si="20"/>
        <v>3</v>
      </c>
      <c r="Q197" s="16" t="s">
        <v>1056</v>
      </c>
      <c r="R197" s="16" t="s">
        <v>1057</v>
      </c>
      <c r="S197" s="16" t="s">
        <v>83</v>
      </c>
      <c r="T197" s="16" t="s">
        <v>194</v>
      </c>
      <c r="U197" s="17" t="s">
        <v>1058</v>
      </c>
      <c r="V197" s="17" t="s">
        <v>1059</v>
      </c>
      <c r="W197" s="47"/>
      <c r="X197" s="47"/>
      <c r="Y197" s="47"/>
      <c r="Z197" s="47"/>
      <c r="AA197" s="47"/>
      <c r="AB197" s="47"/>
    </row>
    <row r="198" spans="1:28" ht="32.25" customHeight="1">
      <c r="A198" s="43"/>
      <c r="B198" s="43"/>
      <c r="C198" s="13" t="s">
        <v>1060</v>
      </c>
      <c r="D198" s="46"/>
      <c r="E198" s="14" t="s">
        <v>24</v>
      </c>
      <c r="F198" s="21">
        <f t="shared" si="18"/>
        <v>3</v>
      </c>
      <c r="G198" s="14" t="s">
        <v>24</v>
      </c>
      <c r="H198" s="21">
        <f t="shared" si="22"/>
        <v>3</v>
      </c>
      <c r="I198" s="14" t="s">
        <v>24</v>
      </c>
      <c r="J198" s="21">
        <f t="shared" si="23"/>
        <v>3</v>
      </c>
      <c r="K198" s="14" t="s">
        <v>31</v>
      </c>
      <c r="L198" s="21">
        <f t="shared" si="21"/>
        <v>1</v>
      </c>
      <c r="M198" s="15" t="s">
        <v>24</v>
      </c>
      <c r="N198" s="21">
        <f t="shared" si="19"/>
        <v>3</v>
      </c>
      <c r="O198" s="15" t="s">
        <v>24</v>
      </c>
      <c r="P198" s="21">
        <f t="shared" si="20"/>
        <v>3</v>
      </c>
      <c r="Q198" s="16" t="s">
        <v>1061</v>
      </c>
      <c r="R198" s="16" t="s">
        <v>1062</v>
      </c>
      <c r="S198" s="16" t="s">
        <v>83</v>
      </c>
      <c r="T198" s="16" t="s">
        <v>295</v>
      </c>
      <c r="U198" s="17" t="s">
        <v>1063</v>
      </c>
      <c r="V198" s="17" t="s">
        <v>1064</v>
      </c>
      <c r="W198" s="47"/>
      <c r="X198" s="47"/>
      <c r="Y198" s="47"/>
      <c r="Z198" s="47"/>
      <c r="AA198" s="47"/>
      <c r="AB198" s="47"/>
    </row>
    <row r="199" spans="1:28" ht="32.25" customHeight="1">
      <c r="A199" s="43"/>
      <c r="B199" s="43"/>
      <c r="C199" s="13" t="s">
        <v>1065</v>
      </c>
      <c r="D199" s="46"/>
      <c r="E199" s="14" t="s">
        <v>31</v>
      </c>
      <c r="F199" s="21">
        <f t="shared" si="18"/>
        <v>1</v>
      </c>
      <c r="G199" s="14" t="s">
        <v>31</v>
      </c>
      <c r="H199" s="21">
        <f t="shared" si="22"/>
        <v>1</v>
      </c>
      <c r="I199" s="14" t="s">
        <v>31</v>
      </c>
      <c r="J199" s="21">
        <f t="shared" si="23"/>
        <v>1</v>
      </c>
      <c r="K199" s="14" t="s">
        <v>31</v>
      </c>
      <c r="L199" s="21">
        <f t="shared" si="21"/>
        <v>1</v>
      </c>
      <c r="M199" s="15" t="s">
        <v>24</v>
      </c>
      <c r="N199" s="21">
        <f t="shared" si="19"/>
        <v>3</v>
      </c>
      <c r="O199" s="15" t="s">
        <v>24</v>
      </c>
      <c r="P199" s="21">
        <f t="shared" si="20"/>
        <v>3</v>
      </c>
      <c r="Q199" s="16" t="s">
        <v>1066</v>
      </c>
      <c r="R199" s="16" t="s">
        <v>1067</v>
      </c>
      <c r="S199" s="22"/>
      <c r="T199" s="16" t="s">
        <v>1068</v>
      </c>
      <c r="U199" s="17" t="s">
        <v>1069</v>
      </c>
      <c r="V199" s="30" t="s">
        <v>1070</v>
      </c>
      <c r="W199" s="47"/>
      <c r="X199" s="47"/>
      <c r="Y199" s="47"/>
      <c r="Z199" s="47"/>
      <c r="AA199" s="47"/>
      <c r="AB199" s="47"/>
    </row>
    <row r="200" spans="1:28" ht="32.25" customHeight="1">
      <c r="A200" s="43"/>
      <c r="B200" s="43"/>
      <c r="C200" s="13" t="s">
        <v>1071</v>
      </c>
      <c r="D200" s="46"/>
      <c r="E200" s="14" t="s">
        <v>24</v>
      </c>
      <c r="F200" s="21">
        <f t="shared" si="18"/>
        <v>3</v>
      </c>
      <c r="G200" s="14" t="s">
        <v>24</v>
      </c>
      <c r="H200" s="21">
        <f t="shared" si="22"/>
        <v>3</v>
      </c>
      <c r="I200" s="14" t="s">
        <v>24</v>
      </c>
      <c r="J200" s="21">
        <f t="shared" si="23"/>
        <v>3</v>
      </c>
      <c r="K200" s="14" t="s">
        <v>31</v>
      </c>
      <c r="L200" s="21">
        <f t="shared" si="21"/>
        <v>1</v>
      </c>
      <c r="M200" s="15" t="s">
        <v>24</v>
      </c>
      <c r="N200" s="21">
        <f t="shared" si="19"/>
        <v>3</v>
      </c>
      <c r="O200" s="15" t="s">
        <v>24</v>
      </c>
      <c r="P200" s="21">
        <f t="shared" si="20"/>
        <v>3</v>
      </c>
      <c r="Q200" s="16" t="s">
        <v>1072</v>
      </c>
      <c r="R200" s="16" t="s">
        <v>1073</v>
      </c>
      <c r="S200" s="16" t="s">
        <v>83</v>
      </c>
      <c r="T200" s="16" t="s">
        <v>157</v>
      </c>
      <c r="U200" s="17" t="s">
        <v>1074</v>
      </c>
      <c r="V200" s="17" t="s">
        <v>1075</v>
      </c>
      <c r="W200" s="47"/>
      <c r="X200" s="47"/>
      <c r="Y200" s="47"/>
      <c r="Z200" s="47"/>
      <c r="AA200" s="47"/>
      <c r="AB200" s="47"/>
    </row>
    <row r="201" spans="1:28" ht="19.05" customHeight="1">
      <c r="A201" s="43"/>
      <c r="B201" s="43"/>
      <c r="C201" s="13" t="s">
        <v>1076</v>
      </c>
      <c r="D201" s="46"/>
      <c r="E201" s="14" t="s">
        <v>24</v>
      </c>
      <c r="F201" s="21">
        <f t="shared" si="18"/>
        <v>3</v>
      </c>
      <c r="G201" s="14" t="s">
        <v>24</v>
      </c>
      <c r="H201" s="21">
        <f t="shared" si="22"/>
        <v>3</v>
      </c>
      <c r="I201" s="14" t="s">
        <v>24</v>
      </c>
      <c r="J201" s="21">
        <f t="shared" si="23"/>
        <v>3</v>
      </c>
      <c r="K201" s="14" t="s">
        <v>24</v>
      </c>
      <c r="L201" s="21">
        <f t="shared" si="21"/>
        <v>3</v>
      </c>
      <c r="M201" s="15" t="s">
        <v>24</v>
      </c>
      <c r="N201" s="21">
        <f t="shared" si="19"/>
        <v>3</v>
      </c>
      <c r="O201" s="15" t="s">
        <v>24</v>
      </c>
      <c r="P201" s="21">
        <f t="shared" si="20"/>
        <v>3</v>
      </c>
      <c r="Q201" s="16" t="s">
        <v>1077</v>
      </c>
      <c r="R201" s="16" t="s">
        <v>1078</v>
      </c>
      <c r="S201" s="16" t="s">
        <v>83</v>
      </c>
      <c r="T201" s="16" t="s">
        <v>295</v>
      </c>
      <c r="U201" s="17" t="s">
        <v>1079</v>
      </c>
      <c r="V201" s="17" t="s">
        <v>1079</v>
      </c>
      <c r="W201" s="47"/>
      <c r="X201" s="47"/>
      <c r="Y201" s="47"/>
      <c r="Z201" s="47"/>
      <c r="AA201" s="47"/>
      <c r="AB201" s="47"/>
    </row>
    <row r="202" spans="1:28" ht="19.05" customHeight="1">
      <c r="A202" s="43"/>
      <c r="B202" s="43"/>
      <c r="C202" s="13" t="s">
        <v>1080</v>
      </c>
      <c r="D202" s="46"/>
      <c r="E202" s="14" t="s">
        <v>31</v>
      </c>
      <c r="F202" s="21">
        <f t="shared" si="18"/>
        <v>1</v>
      </c>
      <c r="G202" s="14" t="s">
        <v>31</v>
      </c>
      <c r="H202" s="21">
        <f t="shared" si="22"/>
        <v>1</v>
      </c>
      <c r="I202" s="14" t="s">
        <v>31</v>
      </c>
      <c r="J202" s="21">
        <f t="shared" si="23"/>
        <v>1</v>
      </c>
      <c r="K202" s="14" t="s">
        <v>31</v>
      </c>
      <c r="L202" s="21">
        <f t="shared" si="21"/>
        <v>1</v>
      </c>
      <c r="M202" s="15" t="s">
        <v>24</v>
      </c>
      <c r="N202" s="21">
        <f t="shared" si="19"/>
        <v>3</v>
      </c>
      <c r="O202" s="15" t="s">
        <v>24</v>
      </c>
      <c r="P202" s="21">
        <f t="shared" si="20"/>
        <v>3</v>
      </c>
      <c r="Q202" s="16" t="s">
        <v>1081</v>
      </c>
      <c r="R202" s="16" t="s">
        <v>1082</v>
      </c>
      <c r="S202" s="22"/>
      <c r="T202" s="16" t="s">
        <v>1083</v>
      </c>
      <c r="U202" s="17" t="s">
        <v>1084</v>
      </c>
      <c r="V202" s="17" t="s">
        <v>1084</v>
      </c>
      <c r="W202" s="47"/>
      <c r="X202" s="47"/>
      <c r="Y202" s="47"/>
      <c r="Z202" s="47"/>
      <c r="AA202" s="47"/>
      <c r="AB202" s="47"/>
    </row>
    <row r="203" spans="1:28" ht="34.049999999999997" customHeight="1">
      <c r="A203" s="43"/>
      <c r="B203" s="43"/>
      <c r="C203" s="13" t="s">
        <v>1085</v>
      </c>
      <c r="D203" s="46"/>
      <c r="E203" s="14" t="s">
        <v>24</v>
      </c>
      <c r="F203" s="21">
        <f t="shared" si="18"/>
        <v>3</v>
      </c>
      <c r="G203" s="14" t="s">
        <v>24</v>
      </c>
      <c r="H203" s="21">
        <f t="shared" si="22"/>
        <v>3</v>
      </c>
      <c r="I203" s="14" t="s">
        <v>24</v>
      </c>
      <c r="J203" s="21">
        <f t="shared" si="23"/>
        <v>3</v>
      </c>
      <c r="K203" s="14" t="s">
        <v>31</v>
      </c>
      <c r="L203" s="21">
        <f t="shared" si="21"/>
        <v>1</v>
      </c>
      <c r="M203" s="15" t="s">
        <v>24</v>
      </c>
      <c r="N203" s="21">
        <f t="shared" si="19"/>
        <v>3</v>
      </c>
      <c r="O203" s="15" t="s">
        <v>24</v>
      </c>
      <c r="P203" s="21">
        <f t="shared" si="20"/>
        <v>3</v>
      </c>
      <c r="Q203" s="16" t="s">
        <v>1086</v>
      </c>
      <c r="R203" s="16" t="s">
        <v>1087</v>
      </c>
      <c r="S203" s="16" t="s">
        <v>83</v>
      </c>
      <c r="T203" s="16" t="s">
        <v>217</v>
      </c>
      <c r="U203" s="17" t="s">
        <v>1088</v>
      </c>
      <c r="V203" s="17" t="s">
        <v>1089</v>
      </c>
      <c r="W203" s="47"/>
      <c r="X203" s="47"/>
      <c r="Y203" s="47"/>
      <c r="Z203" s="47"/>
      <c r="AA203" s="47"/>
      <c r="AB203" s="47"/>
    </row>
    <row r="204" spans="1:28" ht="32.25" customHeight="1">
      <c r="A204" s="44"/>
      <c r="B204" s="44"/>
      <c r="C204" s="13" t="s">
        <v>1090</v>
      </c>
      <c r="D204" s="46"/>
      <c r="E204" s="14" t="s">
        <v>24</v>
      </c>
      <c r="F204" s="21">
        <f t="shared" si="18"/>
        <v>3</v>
      </c>
      <c r="G204" s="14" t="s">
        <v>24</v>
      </c>
      <c r="H204" s="21">
        <f t="shared" si="22"/>
        <v>3</v>
      </c>
      <c r="I204" s="14" t="s">
        <v>24</v>
      </c>
      <c r="J204" s="21">
        <f t="shared" si="23"/>
        <v>3</v>
      </c>
      <c r="K204" s="14" t="s">
        <v>24</v>
      </c>
      <c r="L204" s="21">
        <f t="shared" si="21"/>
        <v>3</v>
      </c>
      <c r="M204" s="15" t="s">
        <v>24</v>
      </c>
      <c r="N204" s="21">
        <f t="shared" si="19"/>
        <v>3</v>
      </c>
      <c r="O204" s="15" t="s">
        <v>24</v>
      </c>
      <c r="P204" s="21">
        <f t="shared" si="20"/>
        <v>3</v>
      </c>
      <c r="Q204" s="16" t="s">
        <v>1091</v>
      </c>
      <c r="R204" s="16" t="s">
        <v>1092</v>
      </c>
      <c r="S204" s="16" t="s">
        <v>83</v>
      </c>
      <c r="T204" s="16" t="s">
        <v>295</v>
      </c>
      <c r="U204" s="17" t="s">
        <v>1093</v>
      </c>
      <c r="V204" s="17" t="s">
        <v>1094</v>
      </c>
      <c r="W204" s="48"/>
      <c r="X204" s="48"/>
      <c r="Y204" s="48"/>
      <c r="Z204" s="48"/>
      <c r="AA204" s="48"/>
      <c r="AB204" s="48"/>
    </row>
    <row r="205" spans="1:28" ht="32.25" customHeight="1">
      <c r="A205" s="42">
        <v>14</v>
      </c>
      <c r="B205" s="45" t="s">
        <v>1095</v>
      </c>
      <c r="C205" s="13" t="s">
        <v>1096</v>
      </c>
      <c r="D205" s="46">
        <v>0.03</v>
      </c>
      <c r="E205" s="14" t="s">
        <v>31</v>
      </c>
      <c r="F205" s="21">
        <f t="shared" si="18"/>
        <v>1</v>
      </c>
      <c r="G205" s="14" t="s">
        <v>148</v>
      </c>
      <c r="H205" s="21">
        <f t="shared" si="22"/>
        <v>0</v>
      </c>
      <c r="I205" s="14" t="s">
        <v>31</v>
      </c>
      <c r="J205" s="21">
        <f t="shared" si="23"/>
        <v>1</v>
      </c>
      <c r="K205" s="14" t="s">
        <v>31</v>
      </c>
      <c r="L205" s="21">
        <f t="shared" si="21"/>
        <v>1</v>
      </c>
      <c r="M205" s="15" t="s">
        <v>24</v>
      </c>
      <c r="N205" s="21">
        <f t="shared" si="19"/>
        <v>3</v>
      </c>
      <c r="O205" s="15" t="s">
        <v>24</v>
      </c>
      <c r="P205" s="21">
        <f t="shared" si="20"/>
        <v>3</v>
      </c>
      <c r="Q205" s="16" t="s">
        <v>1097</v>
      </c>
      <c r="R205" s="16" t="s">
        <v>1098</v>
      </c>
      <c r="S205" s="16" t="s">
        <v>83</v>
      </c>
      <c r="T205" s="16" t="s">
        <v>194</v>
      </c>
      <c r="U205" s="17" t="s">
        <v>1099</v>
      </c>
      <c r="V205" s="17" t="s">
        <v>1100</v>
      </c>
      <c r="W205" s="46">
        <f>AVERAGE(F205:F220)*$D205/3</f>
        <v>2.3749999999999997E-2</v>
      </c>
      <c r="X205" s="46">
        <f>AVERAGE(H205:H220)*$D205/3</f>
        <v>1.3125E-2</v>
      </c>
      <c r="Y205" s="46">
        <f>AVERAGE(J205:J220)*$D205/3</f>
        <v>9.3749999999999997E-3</v>
      </c>
      <c r="Z205" s="46">
        <f>AVERAGE(L205:L220)*$D205/3</f>
        <v>0.01</v>
      </c>
      <c r="AA205" s="46">
        <f>AVERAGE(N205:N220)*$D205/3</f>
        <v>0.03</v>
      </c>
      <c r="AB205" s="46">
        <f>AVERAGE(P205:P220)*$D205/3</f>
        <v>0.03</v>
      </c>
    </row>
    <row r="206" spans="1:28" ht="50.25" customHeight="1">
      <c r="A206" s="43"/>
      <c r="B206" s="43"/>
      <c r="C206" s="13" t="s">
        <v>1101</v>
      </c>
      <c r="D206" s="46"/>
      <c r="E206" s="14" t="s">
        <v>24</v>
      </c>
      <c r="F206" s="21">
        <f t="shared" si="18"/>
        <v>3</v>
      </c>
      <c r="G206" s="14" t="s">
        <v>31</v>
      </c>
      <c r="H206" s="21">
        <f t="shared" si="22"/>
        <v>1</v>
      </c>
      <c r="I206" s="14" t="s">
        <v>31</v>
      </c>
      <c r="J206" s="21">
        <f t="shared" si="23"/>
        <v>1</v>
      </c>
      <c r="K206" s="14" t="s">
        <v>31</v>
      </c>
      <c r="L206" s="21">
        <f t="shared" si="21"/>
        <v>1</v>
      </c>
      <c r="M206" s="15" t="s">
        <v>24</v>
      </c>
      <c r="N206" s="21">
        <f t="shared" si="19"/>
        <v>3</v>
      </c>
      <c r="O206" s="15" t="s">
        <v>24</v>
      </c>
      <c r="P206" s="21">
        <f t="shared" si="20"/>
        <v>3</v>
      </c>
      <c r="Q206" s="16" t="s">
        <v>1102</v>
      </c>
      <c r="R206" s="16" t="s">
        <v>1103</v>
      </c>
      <c r="S206" s="22"/>
      <c r="T206" s="16" t="s">
        <v>1104</v>
      </c>
      <c r="U206" s="17" t="s">
        <v>1105</v>
      </c>
      <c r="V206" s="17" t="s">
        <v>1106</v>
      </c>
      <c r="W206" s="47"/>
      <c r="X206" s="47"/>
      <c r="Y206" s="47"/>
      <c r="Z206" s="47"/>
      <c r="AA206" s="47"/>
      <c r="AB206" s="47"/>
    </row>
    <row r="207" spans="1:28" ht="34.049999999999997" customHeight="1">
      <c r="A207" s="43"/>
      <c r="B207" s="43"/>
      <c r="C207" s="13" t="s">
        <v>1107</v>
      </c>
      <c r="D207" s="46"/>
      <c r="E207" s="14" t="s">
        <v>24</v>
      </c>
      <c r="F207" s="21">
        <f t="shared" si="18"/>
        <v>3</v>
      </c>
      <c r="G207" s="14" t="s">
        <v>31</v>
      </c>
      <c r="H207" s="21">
        <f t="shared" si="22"/>
        <v>1</v>
      </c>
      <c r="I207" s="14" t="s">
        <v>31</v>
      </c>
      <c r="J207" s="21">
        <f t="shared" si="23"/>
        <v>1</v>
      </c>
      <c r="K207" s="14" t="s">
        <v>31</v>
      </c>
      <c r="L207" s="21">
        <f t="shared" si="21"/>
        <v>1</v>
      </c>
      <c r="M207" s="15" t="s">
        <v>24</v>
      </c>
      <c r="N207" s="21">
        <f t="shared" si="19"/>
        <v>3</v>
      </c>
      <c r="O207" s="15" t="s">
        <v>24</v>
      </c>
      <c r="P207" s="21">
        <f t="shared" si="20"/>
        <v>3</v>
      </c>
      <c r="Q207" s="16" t="s">
        <v>1108</v>
      </c>
      <c r="R207" s="16" t="s">
        <v>1109</v>
      </c>
      <c r="S207" s="22"/>
      <c r="T207" s="16" t="s">
        <v>1110</v>
      </c>
      <c r="U207" s="17" t="s">
        <v>1111</v>
      </c>
      <c r="V207" s="17" t="s">
        <v>1112</v>
      </c>
      <c r="W207" s="47"/>
      <c r="X207" s="47"/>
      <c r="Y207" s="47"/>
      <c r="Z207" s="47"/>
      <c r="AA207" s="47"/>
      <c r="AB207" s="47"/>
    </row>
    <row r="208" spans="1:28" ht="34.049999999999997" customHeight="1">
      <c r="A208" s="43"/>
      <c r="B208" s="43"/>
      <c r="C208" s="13" t="s">
        <v>1113</v>
      </c>
      <c r="D208" s="46"/>
      <c r="E208" s="14" t="s">
        <v>24</v>
      </c>
      <c r="F208" s="21">
        <f t="shared" si="18"/>
        <v>3</v>
      </c>
      <c r="G208" s="14" t="s">
        <v>31</v>
      </c>
      <c r="H208" s="21">
        <f t="shared" si="22"/>
        <v>1</v>
      </c>
      <c r="I208" s="14" t="s">
        <v>24</v>
      </c>
      <c r="J208" s="21">
        <f t="shared" si="23"/>
        <v>3</v>
      </c>
      <c r="K208" s="14" t="s">
        <v>31</v>
      </c>
      <c r="L208" s="21">
        <f t="shared" si="21"/>
        <v>1</v>
      </c>
      <c r="M208" s="15" t="s">
        <v>24</v>
      </c>
      <c r="N208" s="21">
        <f t="shared" si="19"/>
        <v>3</v>
      </c>
      <c r="O208" s="15" t="s">
        <v>24</v>
      </c>
      <c r="P208" s="21">
        <f t="shared" si="20"/>
        <v>3</v>
      </c>
      <c r="Q208" s="16" t="s">
        <v>1114</v>
      </c>
      <c r="R208" s="16" t="s">
        <v>1115</v>
      </c>
      <c r="S208" s="16" t="s">
        <v>83</v>
      </c>
      <c r="T208" s="16" t="s">
        <v>738</v>
      </c>
      <c r="U208" s="17" t="s">
        <v>1116</v>
      </c>
      <c r="V208" s="17" t="s">
        <v>1117</v>
      </c>
      <c r="W208" s="47"/>
      <c r="X208" s="47"/>
      <c r="Y208" s="47"/>
      <c r="Z208" s="47"/>
      <c r="AA208" s="47"/>
      <c r="AB208" s="47"/>
    </row>
    <row r="209" spans="1:28" ht="32.25" customHeight="1">
      <c r="A209" s="43"/>
      <c r="B209" s="43"/>
      <c r="C209" s="13" t="s">
        <v>1118</v>
      </c>
      <c r="D209" s="46"/>
      <c r="E209" s="14" t="s">
        <v>24</v>
      </c>
      <c r="F209" s="21">
        <f t="shared" si="18"/>
        <v>3</v>
      </c>
      <c r="G209" s="14" t="s">
        <v>24</v>
      </c>
      <c r="H209" s="21">
        <f t="shared" si="22"/>
        <v>3</v>
      </c>
      <c r="I209" s="14" t="s">
        <v>24</v>
      </c>
      <c r="J209" s="21">
        <f t="shared" si="23"/>
        <v>3</v>
      </c>
      <c r="K209" s="14" t="s">
        <v>31</v>
      </c>
      <c r="L209" s="21">
        <f t="shared" si="21"/>
        <v>1</v>
      </c>
      <c r="M209" s="15" t="s">
        <v>24</v>
      </c>
      <c r="N209" s="21">
        <f t="shared" si="19"/>
        <v>3</v>
      </c>
      <c r="O209" s="15" t="s">
        <v>24</v>
      </c>
      <c r="P209" s="21">
        <f t="shared" si="20"/>
        <v>3</v>
      </c>
      <c r="Q209" s="16" t="s">
        <v>1119</v>
      </c>
      <c r="R209" s="16" t="s">
        <v>1120</v>
      </c>
      <c r="S209" s="22" t="s">
        <v>1121</v>
      </c>
      <c r="T209" s="16" t="s">
        <v>295</v>
      </c>
      <c r="U209" s="17" t="s">
        <v>1122</v>
      </c>
      <c r="V209" s="17" t="s">
        <v>1123</v>
      </c>
      <c r="W209" s="47"/>
      <c r="X209" s="47"/>
      <c r="Y209" s="47"/>
      <c r="Z209" s="47"/>
      <c r="AA209" s="47"/>
      <c r="AB209" s="47"/>
    </row>
    <row r="210" spans="1:28" ht="34.049999999999997" customHeight="1">
      <c r="A210" s="43"/>
      <c r="B210" s="43"/>
      <c r="C210" s="13" t="s">
        <v>1124</v>
      </c>
      <c r="D210" s="46"/>
      <c r="E210" s="14" t="s">
        <v>24</v>
      </c>
      <c r="F210" s="21">
        <f t="shared" si="18"/>
        <v>3</v>
      </c>
      <c r="G210" s="14" t="s">
        <v>24</v>
      </c>
      <c r="H210" s="21">
        <f t="shared" si="22"/>
        <v>3</v>
      </c>
      <c r="I210" s="14" t="s">
        <v>148</v>
      </c>
      <c r="J210" s="21">
        <f t="shared" si="23"/>
        <v>0</v>
      </c>
      <c r="K210" s="14" t="s">
        <v>31</v>
      </c>
      <c r="L210" s="21">
        <f t="shared" si="21"/>
        <v>1</v>
      </c>
      <c r="M210" s="15" t="s">
        <v>24</v>
      </c>
      <c r="N210" s="21">
        <f t="shared" si="19"/>
        <v>3</v>
      </c>
      <c r="O210" s="15" t="s">
        <v>24</v>
      </c>
      <c r="P210" s="21">
        <f t="shared" si="20"/>
        <v>3</v>
      </c>
      <c r="Q210" s="16" t="s">
        <v>1125</v>
      </c>
      <c r="R210" s="16" t="s">
        <v>1126</v>
      </c>
      <c r="S210" s="22" t="s">
        <v>1121</v>
      </c>
      <c r="T210" s="16" t="s">
        <v>194</v>
      </c>
      <c r="U210" s="17" t="s">
        <v>1127</v>
      </c>
      <c r="V210" s="17" t="s">
        <v>1128</v>
      </c>
      <c r="W210" s="47"/>
      <c r="X210" s="47"/>
      <c r="Y210" s="47"/>
      <c r="Z210" s="47"/>
      <c r="AA210" s="47"/>
      <c r="AB210" s="47"/>
    </row>
    <row r="211" spans="1:28" s="29" customFormat="1" ht="57.6">
      <c r="A211" s="43"/>
      <c r="B211" s="43"/>
      <c r="C211" s="26" t="s">
        <v>1129</v>
      </c>
      <c r="D211" s="46"/>
      <c r="E211" s="20" t="s">
        <v>31</v>
      </c>
      <c r="F211" s="14">
        <f t="shared" si="18"/>
        <v>1</v>
      </c>
      <c r="G211" s="14" t="s">
        <v>148</v>
      </c>
      <c r="H211" s="14">
        <f t="shared" si="22"/>
        <v>0</v>
      </c>
      <c r="I211" s="14" t="s">
        <v>148</v>
      </c>
      <c r="J211" s="14">
        <f t="shared" si="23"/>
        <v>0</v>
      </c>
      <c r="K211" s="14" t="s">
        <v>148</v>
      </c>
      <c r="L211" s="14">
        <f t="shared" si="21"/>
        <v>0</v>
      </c>
      <c r="M211" s="15" t="s">
        <v>24</v>
      </c>
      <c r="N211" s="14">
        <f t="shared" si="19"/>
        <v>3</v>
      </c>
      <c r="O211" s="15" t="s">
        <v>24</v>
      </c>
      <c r="P211" s="14">
        <f t="shared" si="20"/>
        <v>3</v>
      </c>
      <c r="Q211" s="27" t="s">
        <v>1130</v>
      </c>
      <c r="R211" s="27" t="s">
        <v>1131</v>
      </c>
      <c r="S211" s="28" t="s">
        <v>1121</v>
      </c>
      <c r="T211" s="27" t="s">
        <v>1132</v>
      </c>
      <c r="U211" s="17" t="s">
        <v>1133</v>
      </c>
      <c r="V211" s="17" t="s">
        <v>1134</v>
      </c>
      <c r="W211" s="47"/>
      <c r="X211" s="47"/>
      <c r="Y211" s="47"/>
      <c r="Z211" s="47"/>
      <c r="AA211" s="47"/>
      <c r="AB211" s="47"/>
    </row>
    <row r="212" spans="1:28" ht="32.25" customHeight="1">
      <c r="A212" s="43"/>
      <c r="B212" s="43"/>
      <c r="C212" s="13" t="s">
        <v>1135</v>
      </c>
      <c r="D212" s="46"/>
      <c r="E212" s="14" t="s">
        <v>24</v>
      </c>
      <c r="F212" s="21">
        <f t="shared" si="18"/>
        <v>3</v>
      </c>
      <c r="G212" s="14" t="s">
        <v>31</v>
      </c>
      <c r="H212" s="21">
        <f t="shared" si="22"/>
        <v>1</v>
      </c>
      <c r="I212" s="14" t="s">
        <v>148</v>
      </c>
      <c r="J212" s="21">
        <f t="shared" si="23"/>
        <v>0</v>
      </c>
      <c r="K212" s="14" t="s">
        <v>31</v>
      </c>
      <c r="L212" s="21">
        <f t="shared" si="21"/>
        <v>1</v>
      </c>
      <c r="M212" s="15" t="s">
        <v>24</v>
      </c>
      <c r="N212" s="21">
        <f t="shared" si="19"/>
        <v>3</v>
      </c>
      <c r="O212" s="15" t="s">
        <v>24</v>
      </c>
      <c r="P212" s="21">
        <f t="shared" si="20"/>
        <v>3</v>
      </c>
      <c r="Q212" s="16" t="s">
        <v>1136</v>
      </c>
      <c r="R212" s="16" t="s">
        <v>1137</v>
      </c>
      <c r="S212" s="22" t="s">
        <v>1121</v>
      </c>
      <c r="T212" s="16" t="s">
        <v>295</v>
      </c>
      <c r="U212" s="17" t="s">
        <v>1138</v>
      </c>
      <c r="V212" s="17" t="s">
        <v>1139</v>
      </c>
      <c r="W212" s="47"/>
      <c r="X212" s="47"/>
      <c r="Y212" s="47"/>
      <c r="Z212" s="47"/>
      <c r="AA212" s="47"/>
      <c r="AB212" s="47"/>
    </row>
    <row r="213" spans="1:28" ht="32.25" customHeight="1">
      <c r="A213" s="43"/>
      <c r="B213" s="43"/>
      <c r="C213" s="13" t="s">
        <v>1140</v>
      </c>
      <c r="D213" s="46"/>
      <c r="E213" s="14" t="s">
        <v>24</v>
      </c>
      <c r="F213" s="21">
        <f t="shared" si="18"/>
        <v>3</v>
      </c>
      <c r="G213" s="14" t="s">
        <v>31</v>
      </c>
      <c r="H213" s="21">
        <f t="shared" si="22"/>
        <v>1</v>
      </c>
      <c r="I213" s="14" t="s">
        <v>148</v>
      </c>
      <c r="J213" s="21">
        <f t="shared" si="23"/>
        <v>0</v>
      </c>
      <c r="K213" s="14" t="s">
        <v>31</v>
      </c>
      <c r="L213" s="21">
        <f t="shared" si="21"/>
        <v>1</v>
      </c>
      <c r="M213" s="15" t="s">
        <v>24</v>
      </c>
      <c r="N213" s="21">
        <f t="shared" si="19"/>
        <v>3</v>
      </c>
      <c r="O213" s="15" t="s">
        <v>24</v>
      </c>
      <c r="P213" s="21">
        <f t="shared" si="20"/>
        <v>3</v>
      </c>
      <c r="Q213" s="16" t="s">
        <v>1141</v>
      </c>
      <c r="R213" s="16" t="s">
        <v>1142</v>
      </c>
      <c r="S213" s="22" t="s">
        <v>1121</v>
      </c>
      <c r="T213" s="16" t="s">
        <v>157</v>
      </c>
      <c r="U213" s="17" t="s">
        <v>1143</v>
      </c>
      <c r="V213" s="17" t="s">
        <v>1144</v>
      </c>
      <c r="W213" s="47"/>
      <c r="X213" s="47"/>
      <c r="Y213" s="47"/>
      <c r="Z213" s="47"/>
      <c r="AA213" s="47"/>
      <c r="AB213" s="47"/>
    </row>
    <row r="214" spans="1:28" ht="32.25" customHeight="1">
      <c r="A214" s="43"/>
      <c r="B214" s="43"/>
      <c r="C214" s="13" t="s">
        <v>1145</v>
      </c>
      <c r="D214" s="46"/>
      <c r="E214" s="14" t="s">
        <v>24</v>
      </c>
      <c r="F214" s="21">
        <f t="shared" si="18"/>
        <v>3</v>
      </c>
      <c r="G214" s="14" t="s">
        <v>31</v>
      </c>
      <c r="H214" s="21">
        <f t="shared" si="22"/>
        <v>1</v>
      </c>
      <c r="I214" s="14" t="s">
        <v>148</v>
      </c>
      <c r="J214" s="21">
        <f t="shared" si="23"/>
        <v>0</v>
      </c>
      <c r="K214" s="14" t="s">
        <v>31</v>
      </c>
      <c r="L214" s="21">
        <f t="shared" si="21"/>
        <v>1</v>
      </c>
      <c r="M214" s="15" t="s">
        <v>24</v>
      </c>
      <c r="N214" s="21">
        <f t="shared" si="19"/>
        <v>3</v>
      </c>
      <c r="O214" s="15" t="s">
        <v>24</v>
      </c>
      <c r="P214" s="21">
        <f t="shared" si="20"/>
        <v>3</v>
      </c>
      <c r="Q214" s="16" t="s">
        <v>1146</v>
      </c>
      <c r="R214" s="16" t="s">
        <v>1147</v>
      </c>
      <c r="S214" s="22" t="s">
        <v>1121</v>
      </c>
      <c r="T214" s="16" t="s">
        <v>295</v>
      </c>
      <c r="U214" s="17" t="s">
        <v>1148</v>
      </c>
      <c r="V214" s="17" t="s">
        <v>1149</v>
      </c>
      <c r="W214" s="47"/>
      <c r="X214" s="47"/>
      <c r="Y214" s="47"/>
      <c r="Z214" s="47"/>
      <c r="AA214" s="47"/>
      <c r="AB214" s="47"/>
    </row>
    <row r="215" spans="1:28" ht="19.05" customHeight="1">
      <c r="A215" s="43"/>
      <c r="B215" s="43"/>
      <c r="C215" s="13" t="s">
        <v>1150</v>
      </c>
      <c r="D215" s="46"/>
      <c r="E215" s="14" t="s">
        <v>31</v>
      </c>
      <c r="F215" s="21">
        <f t="shared" si="18"/>
        <v>1</v>
      </c>
      <c r="G215" s="14" t="s">
        <v>31</v>
      </c>
      <c r="H215" s="21">
        <f t="shared" si="22"/>
        <v>1</v>
      </c>
      <c r="I215" s="14" t="s">
        <v>148</v>
      </c>
      <c r="J215" s="21">
        <f t="shared" si="23"/>
        <v>0</v>
      </c>
      <c r="K215" s="14" t="s">
        <v>31</v>
      </c>
      <c r="L215" s="21">
        <f t="shared" si="21"/>
        <v>1</v>
      </c>
      <c r="M215" s="15" t="s">
        <v>24</v>
      </c>
      <c r="N215" s="21">
        <f t="shared" si="19"/>
        <v>3</v>
      </c>
      <c r="O215" s="15" t="s">
        <v>24</v>
      </c>
      <c r="P215" s="21">
        <f t="shared" si="20"/>
        <v>3</v>
      </c>
      <c r="Q215" s="16" t="s">
        <v>1151</v>
      </c>
      <c r="R215" s="16" t="s">
        <v>1152</v>
      </c>
      <c r="S215" s="22" t="s">
        <v>1121</v>
      </c>
      <c r="T215" s="16" t="s">
        <v>217</v>
      </c>
      <c r="U215" s="17" t="s">
        <v>1153</v>
      </c>
      <c r="V215" s="17" t="s">
        <v>1154</v>
      </c>
      <c r="W215" s="47"/>
      <c r="X215" s="47"/>
      <c r="Y215" s="47"/>
      <c r="Z215" s="47"/>
      <c r="AA215" s="47"/>
      <c r="AB215" s="47"/>
    </row>
    <row r="216" spans="1:28" ht="32.25" customHeight="1">
      <c r="A216" s="43"/>
      <c r="B216" s="43"/>
      <c r="C216" s="13" t="s">
        <v>1155</v>
      </c>
      <c r="D216" s="46"/>
      <c r="E216" s="14" t="s">
        <v>24</v>
      </c>
      <c r="F216" s="21">
        <f t="shared" si="18"/>
        <v>3</v>
      </c>
      <c r="G216" s="14" t="s">
        <v>24</v>
      </c>
      <c r="H216" s="21">
        <f t="shared" si="22"/>
        <v>3</v>
      </c>
      <c r="I216" s="14" t="s">
        <v>24</v>
      </c>
      <c r="J216" s="21">
        <f t="shared" si="23"/>
        <v>3</v>
      </c>
      <c r="K216" s="14" t="s">
        <v>24</v>
      </c>
      <c r="L216" s="21">
        <f t="shared" si="21"/>
        <v>3</v>
      </c>
      <c r="M216" s="15" t="s">
        <v>24</v>
      </c>
      <c r="N216" s="21">
        <f t="shared" si="19"/>
        <v>3</v>
      </c>
      <c r="O216" s="15" t="s">
        <v>24</v>
      </c>
      <c r="P216" s="21">
        <f t="shared" si="20"/>
        <v>3</v>
      </c>
      <c r="Q216" s="16" t="s">
        <v>1156</v>
      </c>
      <c r="R216" s="16" t="s">
        <v>1157</v>
      </c>
      <c r="S216" s="22" t="s">
        <v>1121</v>
      </c>
      <c r="T216" s="16" t="s">
        <v>295</v>
      </c>
      <c r="U216" s="17" t="s">
        <v>1158</v>
      </c>
      <c r="V216" s="17" t="s">
        <v>1159</v>
      </c>
      <c r="W216" s="47"/>
      <c r="X216" s="47"/>
      <c r="Y216" s="47"/>
      <c r="Z216" s="47"/>
      <c r="AA216" s="47"/>
      <c r="AB216" s="47"/>
    </row>
    <row r="217" spans="1:28" ht="34.049999999999997" customHeight="1">
      <c r="A217" s="43"/>
      <c r="B217" s="43"/>
      <c r="C217" s="13" t="s">
        <v>1160</v>
      </c>
      <c r="D217" s="46"/>
      <c r="E217" s="14" t="s">
        <v>31</v>
      </c>
      <c r="F217" s="21">
        <f t="shared" si="18"/>
        <v>1</v>
      </c>
      <c r="G217" s="14" t="s">
        <v>31</v>
      </c>
      <c r="H217" s="21">
        <f t="shared" si="22"/>
        <v>1</v>
      </c>
      <c r="I217" s="14" t="s">
        <v>148</v>
      </c>
      <c r="J217" s="21">
        <f t="shared" si="23"/>
        <v>0</v>
      </c>
      <c r="K217" s="14" t="s">
        <v>31</v>
      </c>
      <c r="L217" s="21">
        <f t="shared" si="21"/>
        <v>1</v>
      </c>
      <c r="M217" s="15" t="s">
        <v>24</v>
      </c>
      <c r="N217" s="21">
        <f t="shared" si="19"/>
        <v>3</v>
      </c>
      <c r="O217" s="15" t="s">
        <v>24</v>
      </c>
      <c r="P217" s="21">
        <f t="shared" si="20"/>
        <v>3</v>
      </c>
      <c r="Q217" s="16" t="s">
        <v>1161</v>
      </c>
      <c r="R217" s="16" t="s">
        <v>1162</v>
      </c>
      <c r="S217" s="22"/>
      <c r="T217" s="16" t="s">
        <v>1163</v>
      </c>
      <c r="U217" s="17" t="s">
        <v>1164</v>
      </c>
      <c r="V217" s="17" t="s">
        <v>1165</v>
      </c>
      <c r="W217" s="47"/>
      <c r="X217" s="47"/>
      <c r="Y217" s="47"/>
      <c r="Z217" s="47"/>
      <c r="AA217" s="47"/>
      <c r="AB217" s="47"/>
    </row>
    <row r="218" spans="1:28" ht="32.25" customHeight="1">
      <c r="A218" s="43"/>
      <c r="B218" s="43"/>
      <c r="C218" s="13" t="s">
        <v>1166</v>
      </c>
      <c r="D218" s="46"/>
      <c r="E218" s="14" t="s">
        <v>24</v>
      </c>
      <c r="F218" s="21">
        <f t="shared" si="18"/>
        <v>3</v>
      </c>
      <c r="G218" s="14" t="s">
        <v>31</v>
      </c>
      <c r="H218" s="21">
        <f t="shared" si="22"/>
        <v>1</v>
      </c>
      <c r="I218" s="14" t="s">
        <v>24</v>
      </c>
      <c r="J218" s="21">
        <f t="shared" si="23"/>
        <v>3</v>
      </c>
      <c r="K218" s="14" t="s">
        <v>31</v>
      </c>
      <c r="L218" s="21">
        <f t="shared" si="21"/>
        <v>1</v>
      </c>
      <c r="M218" s="15" t="s">
        <v>24</v>
      </c>
      <c r="N218" s="21">
        <f t="shared" si="19"/>
        <v>3</v>
      </c>
      <c r="O218" s="15" t="s">
        <v>24</v>
      </c>
      <c r="P218" s="21">
        <f t="shared" si="20"/>
        <v>3</v>
      </c>
      <c r="Q218" s="16" t="s">
        <v>1167</v>
      </c>
      <c r="R218" s="16" t="s">
        <v>1168</v>
      </c>
      <c r="S218" s="22" t="s">
        <v>1121</v>
      </c>
      <c r="T218" s="16" t="s">
        <v>1169</v>
      </c>
      <c r="U218" s="17" t="s">
        <v>1170</v>
      </c>
      <c r="V218" s="17" t="s">
        <v>1171</v>
      </c>
      <c r="W218" s="47"/>
      <c r="X218" s="47"/>
      <c r="Y218" s="47"/>
      <c r="Z218" s="47"/>
      <c r="AA218" s="47"/>
      <c r="AB218" s="47"/>
    </row>
    <row r="219" spans="1:28" ht="19.05" customHeight="1">
      <c r="A219" s="43"/>
      <c r="B219" s="43"/>
      <c r="C219" s="13" t="s">
        <v>1172</v>
      </c>
      <c r="D219" s="46"/>
      <c r="E219" s="14" t="s">
        <v>24</v>
      </c>
      <c r="F219" s="21">
        <f t="shared" si="18"/>
        <v>3</v>
      </c>
      <c r="G219" s="14" t="s">
        <v>24</v>
      </c>
      <c r="H219" s="21">
        <f t="shared" si="22"/>
        <v>3</v>
      </c>
      <c r="I219" s="14" t="s">
        <v>148</v>
      </c>
      <c r="J219" s="21">
        <f t="shared" si="23"/>
        <v>0</v>
      </c>
      <c r="K219" s="14" t="s">
        <v>31</v>
      </c>
      <c r="L219" s="21">
        <f t="shared" si="21"/>
        <v>1</v>
      </c>
      <c r="M219" s="15" t="s">
        <v>24</v>
      </c>
      <c r="N219" s="21">
        <f t="shared" si="19"/>
        <v>3</v>
      </c>
      <c r="O219" s="15" t="s">
        <v>24</v>
      </c>
      <c r="P219" s="21">
        <f t="shared" si="20"/>
        <v>3</v>
      </c>
      <c r="Q219" s="16" t="s">
        <v>1173</v>
      </c>
      <c r="R219" s="16" t="s">
        <v>1174</v>
      </c>
      <c r="S219" s="22" t="s">
        <v>1121</v>
      </c>
      <c r="T219" s="16" t="s">
        <v>194</v>
      </c>
      <c r="U219" s="17" t="s">
        <v>1175</v>
      </c>
      <c r="V219" s="17" t="s">
        <v>1176</v>
      </c>
      <c r="W219" s="47"/>
      <c r="X219" s="47"/>
      <c r="Y219" s="47"/>
      <c r="Z219" s="47"/>
      <c r="AA219" s="47"/>
      <c r="AB219" s="47"/>
    </row>
    <row r="220" spans="1:28" ht="32.25" customHeight="1">
      <c r="A220" s="44"/>
      <c r="B220" s="44"/>
      <c r="C220" s="13" t="s">
        <v>1177</v>
      </c>
      <c r="D220" s="46"/>
      <c r="E220" s="14" t="s">
        <v>31</v>
      </c>
      <c r="F220" s="21">
        <f t="shared" si="18"/>
        <v>1</v>
      </c>
      <c r="G220" s="14" t="s">
        <v>148</v>
      </c>
      <c r="H220" s="21">
        <f t="shared" si="22"/>
        <v>0</v>
      </c>
      <c r="I220" s="14" t="s">
        <v>148</v>
      </c>
      <c r="J220" s="21">
        <f t="shared" si="23"/>
        <v>0</v>
      </c>
      <c r="K220" s="14" t="s">
        <v>148</v>
      </c>
      <c r="L220" s="21">
        <f t="shared" si="21"/>
        <v>0</v>
      </c>
      <c r="M220" s="15" t="s">
        <v>24</v>
      </c>
      <c r="N220" s="21">
        <f t="shared" si="19"/>
        <v>3</v>
      </c>
      <c r="O220" s="15" t="s">
        <v>24</v>
      </c>
      <c r="P220" s="21">
        <f t="shared" si="20"/>
        <v>3</v>
      </c>
      <c r="Q220" s="16" t="s">
        <v>1178</v>
      </c>
      <c r="R220" s="16" t="s">
        <v>1179</v>
      </c>
      <c r="S220" s="22"/>
      <c r="T220" s="16" t="s">
        <v>1180</v>
      </c>
      <c r="U220" s="17" t="s">
        <v>1181</v>
      </c>
      <c r="V220" s="17" t="s">
        <v>1182</v>
      </c>
      <c r="W220" s="48"/>
      <c r="X220" s="48"/>
      <c r="Y220" s="48"/>
      <c r="Z220" s="48"/>
      <c r="AA220" s="48"/>
      <c r="AB220" s="48"/>
    </row>
    <row r="221" spans="1:28">
      <c r="D221" s="31">
        <f>SUM(D3:D205)</f>
        <v>1</v>
      </c>
      <c r="W221" s="39">
        <f>SUM(W3:W220)</f>
        <v>0.85567012154512168</v>
      </c>
      <c r="X221" s="39">
        <f t="shared" ref="X221:AB221" si="24">SUM(X3:X220)</f>
        <v>0.66879259166759186</v>
      </c>
      <c r="Y221" s="39">
        <f t="shared" si="24"/>
        <v>0.76335729085729087</v>
      </c>
      <c r="Z221" s="39">
        <f t="shared" si="24"/>
        <v>0.53400279812779805</v>
      </c>
      <c r="AA221" s="39">
        <f t="shared" si="24"/>
        <v>0.96755322455322479</v>
      </c>
      <c r="AB221" s="39">
        <f t="shared" si="24"/>
        <v>0.99282407407407414</v>
      </c>
    </row>
  </sheetData>
  <mergeCells count="166">
    <mergeCell ref="Z205:Z220"/>
    <mergeCell ref="AA205:AA220"/>
    <mergeCell ref="AB205:AB220"/>
    <mergeCell ref="A205:A220"/>
    <mergeCell ref="B205:B220"/>
    <mergeCell ref="D205:D220"/>
    <mergeCell ref="W205:W220"/>
    <mergeCell ref="X205:X220"/>
    <mergeCell ref="Y205:Y220"/>
    <mergeCell ref="A189:A204"/>
    <mergeCell ref="B189:B204"/>
    <mergeCell ref="D189:D204"/>
    <mergeCell ref="W189:W204"/>
    <mergeCell ref="X189:X204"/>
    <mergeCell ref="Y189:Y204"/>
    <mergeCell ref="Z189:Z204"/>
    <mergeCell ref="AA189:AA204"/>
    <mergeCell ref="AB189:AB204"/>
    <mergeCell ref="A174:A188"/>
    <mergeCell ref="B174:B188"/>
    <mergeCell ref="D174:D188"/>
    <mergeCell ref="W174:W188"/>
    <mergeCell ref="X174:X188"/>
    <mergeCell ref="Y174:Y188"/>
    <mergeCell ref="Z174:Z188"/>
    <mergeCell ref="AA174:AA188"/>
    <mergeCell ref="AB174:AB188"/>
    <mergeCell ref="Z140:Z157"/>
    <mergeCell ref="AA140:AA157"/>
    <mergeCell ref="AB140:AB157"/>
    <mergeCell ref="A158:A173"/>
    <mergeCell ref="B158:B173"/>
    <mergeCell ref="D158:D173"/>
    <mergeCell ref="W158:W173"/>
    <mergeCell ref="X158:X173"/>
    <mergeCell ref="Y158:Y173"/>
    <mergeCell ref="Z158:Z173"/>
    <mergeCell ref="A140:A157"/>
    <mergeCell ref="B140:B157"/>
    <mergeCell ref="D140:D157"/>
    <mergeCell ref="W140:W157"/>
    <mergeCell ref="X140:X157"/>
    <mergeCell ref="Y140:Y157"/>
    <mergeCell ref="AA158:AA173"/>
    <mergeCell ref="AB158:AB173"/>
    <mergeCell ref="Z118:Z139"/>
    <mergeCell ref="AA118:AA139"/>
    <mergeCell ref="AB118:AB139"/>
    <mergeCell ref="E120:E127"/>
    <mergeCell ref="F120:F127"/>
    <mergeCell ref="G120:G127"/>
    <mergeCell ref="H120:H127"/>
    <mergeCell ref="I120:I127"/>
    <mergeCell ref="S102:S114"/>
    <mergeCell ref="T102:T114"/>
    <mergeCell ref="AA92:AA117"/>
    <mergeCell ref="AB92:AB117"/>
    <mergeCell ref="N120:N127"/>
    <mergeCell ref="O120:O127"/>
    <mergeCell ref="P120:P127"/>
    <mergeCell ref="R120:R127"/>
    <mergeCell ref="S120:S127"/>
    <mergeCell ref="T120:T127"/>
    <mergeCell ref="Q121:Q127"/>
    <mergeCell ref="X118:X139"/>
    <mergeCell ref="Y118:Y139"/>
    <mergeCell ref="A118:A139"/>
    <mergeCell ref="B118:B139"/>
    <mergeCell ref="D118:D139"/>
    <mergeCell ref="W118:W139"/>
    <mergeCell ref="J120:J127"/>
    <mergeCell ref="K120:K127"/>
    <mergeCell ref="L120:L127"/>
    <mergeCell ref="M120:M127"/>
    <mergeCell ref="M102:M114"/>
    <mergeCell ref="N102:N114"/>
    <mergeCell ref="O102:O114"/>
    <mergeCell ref="P102:P114"/>
    <mergeCell ref="Q102:Q114"/>
    <mergeCell ref="R102:R114"/>
    <mergeCell ref="E102:E114"/>
    <mergeCell ref="F102:F114"/>
    <mergeCell ref="G102:G114"/>
    <mergeCell ref="H102:H114"/>
    <mergeCell ref="I102:I114"/>
    <mergeCell ref="J102:J114"/>
    <mergeCell ref="K102:K114"/>
    <mergeCell ref="L102:L114"/>
    <mergeCell ref="Z76:Z91"/>
    <mergeCell ref="AA76:AA91"/>
    <mergeCell ref="AB76:AB91"/>
    <mergeCell ref="A92:A117"/>
    <mergeCell ref="B92:B117"/>
    <mergeCell ref="D92:D117"/>
    <mergeCell ref="W92:W117"/>
    <mergeCell ref="X92:X117"/>
    <mergeCell ref="Y92:Y117"/>
    <mergeCell ref="Z92:Z117"/>
    <mergeCell ref="A76:A91"/>
    <mergeCell ref="B76:B91"/>
    <mergeCell ref="D76:D91"/>
    <mergeCell ref="W76:W91"/>
    <mergeCell ref="X76:X91"/>
    <mergeCell ref="Y76:Y91"/>
    <mergeCell ref="A58:A75"/>
    <mergeCell ref="B58:B75"/>
    <mergeCell ref="D58:D75"/>
    <mergeCell ref="W58:W75"/>
    <mergeCell ref="X58:X75"/>
    <mergeCell ref="Y58:Y75"/>
    <mergeCell ref="Z58:Z75"/>
    <mergeCell ref="AA58:AA75"/>
    <mergeCell ref="AB58:AB75"/>
    <mergeCell ref="A42:A57"/>
    <mergeCell ref="B42:B57"/>
    <mergeCell ref="D42:D57"/>
    <mergeCell ref="W42:W57"/>
    <mergeCell ref="X42:X57"/>
    <mergeCell ref="Y42:Y57"/>
    <mergeCell ref="Z42:Z57"/>
    <mergeCell ref="AA42:AA57"/>
    <mergeCell ref="AB42:AB57"/>
    <mergeCell ref="Z18:Z28"/>
    <mergeCell ref="AA18:AA28"/>
    <mergeCell ref="AB18:AB28"/>
    <mergeCell ref="A29:A41"/>
    <mergeCell ref="B29:B41"/>
    <mergeCell ref="D29:D41"/>
    <mergeCell ref="W29:W41"/>
    <mergeCell ref="X29:X41"/>
    <mergeCell ref="Y29:Y41"/>
    <mergeCell ref="Z29:Z41"/>
    <mergeCell ref="A18:A28"/>
    <mergeCell ref="B18:B28"/>
    <mergeCell ref="D18:D28"/>
    <mergeCell ref="W18:W28"/>
    <mergeCell ref="X18:X28"/>
    <mergeCell ref="Y18:Y28"/>
    <mergeCell ref="AA29:AA41"/>
    <mergeCell ref="AB29:AB41"/>
    <mergeCell ref="A12:A17"/>
    <mergeCell ref="B12:B17"/>
    <mergeCell ref="D12:D17"/>
    <mergeCell ref="W12:W17"/>
    <mergeCell ref="X12:X17"/>
    <mergeCell ref="Y12:Y17"/>
    <mergeCell ref="Z12:Z17"/>
    <mergeCell ref="AA12:AA17"/>
    <mergeCell ref="AB12:AB17"/>
    <mergeCell ref="Q1:T1"/>
    <mergeCell ref="W1:AB1"/>
    <mergeCell ref="A3:A11"/>
    <mergeCell ref="B3:B11"/>
    <mergeCell ref="D3:D11"/>
    <mergeCell ref="W3:W11"/>
    <mergeCell ref="X3:X11"/>
    <mergeCell ref="Y3:Y11"/>
    <mergeCell ref="Z3:Z11"/>
    <mergeCell ref="AA3:AA11"/>
    <mergeCell ref="E1:F1"/>
    <mergeCell ref="G1:H1"/>
    <mergeCell ref="I1:J1"/>
    <mergeCell ref="K1:L1"/>
    <mergeCell ref="M1:N1"/>
    <mergeCell ref="O1:P1"/>
    <mergeCell ref="AB3:AB1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87228-5D79-4734-BC29-2BB0463EC8DD}">
  <ds:schemaRefs>
    <ds:schemaRef ds:uri="http://schemas.microsoft.com/sharepoint/v3/contenttype/forms"/>
  </ds:schemaRefs>
</ds:datastoreItem>
</file>

<file path=customXml/itemProps2.xml><?xml version="1.0" encoding="utf-8"?>
<ds:datastoreItem xmlns:ds="http://schemas.openxmlformats.org/officeDocument/2006/customXml" ds:itemID="{B5C6B224-4FE2-4F26-9219-4C291AE3D6D7}">
  <ds:schemaRefs>
    <ds:schemaRef ds:uri="http://www.w3.org/XML/1998/namespace"/>
    <ds:schemaRef ds:uri="5add0bd2-c77a-462d-bf1b-4bc5b2b102e1"/>
    <ds:schemaRef ds:uri="http://purl.org/dc/dcmitype/"/>
    <ds:schemaRef ds:uri="http://schemas.microsoft.com/office/2006/metadata/propertie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bf2567e6-16f4-4c6b-b0e9-0ea0396e433b"/>
  </ds:schemaRefs>
</ds:datastoreItem>
</file>

<file path=customXml/itemProps3.xml><?xml version="1.0" encoding="utf-8"?>
<ds:datastoreItem xmlns:ds="http://schemas.openxmlformats.org/officeDocument/2006/customXml" ds:itemID="{3B8776F5-F873-4C36-AA61-3D9462D14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RFP-Enterprise Digital Analytic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2026-10-19T12:25:01Z</dcterms:created>
  <dcterms:modified xsi:type="dcterms:W3CDTF">2026-10-19T12:31:54Z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