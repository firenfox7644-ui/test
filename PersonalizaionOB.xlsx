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indigoin-my.sharepoint.com/personal/rohit_x_agnihotri_goindigo_in/Documents/Desktop/"/>
    </mc:Choice>
  </mc:AlternateContent>
  <xr:revisionPtr revIDLastSave="0" documentId="8_{0DF80564-4B2A-42FE-8229-7BBBE6B0966C}" xr6:coauthVersionLast="36" xr6:coauthVersionMax="36" xr10:uidLastSave="{00000000-0000-0000-0000-000000000000}"/>
  <bookViews>
    <workbookView xWindow="0" yWindow="0" windowWidth="23040" windowHeight="8364" xr2:uid="{D29D8635-7686-42F6-8CA6-69ECB0AF1032}"/>
  </bookViews>
  <sheets>
    <sheet name="RFP-Personalization and Experim" sheetId="1" r:id="rId1"/>
  </sheets>
  <definedNames>
    <definedName name="_xlnm._FilterDatabase" localSheetId="0" hidden="1">'RFP-Personalization and Experim'!$A$2:$T$194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194" i="1" l="1"/>
  <c r="D194" i="1"/>
  <c r="P193" i="1"/>
  <c r="N193" i="1"/>
  <c r="K193" i="1"/>
  <c r="I193" i="1"/>
  <c r="G193" i="1"/>
  <c r="E193" i="1"/>
  <c r="P192" i="1"/>
  <c r="N192" i="1"/>
  <c r="K192" i="1"/>
  <c r="I192" i="1"/>
  <c r="G192" i="1"/>
  <c r="E192" i="1"/>
  <c r="P191" i="1"/>
  <c r="N191" i="1"/>
  <c r="K191" i="1"/>
  <c r="I191" i="1"/>
  <c r="G191" i="1"/>
  <c r="E191" i="1"/>
  <c r="P190" i="1"/>
  <c r="N190" i="1"/>
  <c r="K190" i="1"/>
  <c r="I190" i="1"/>
  <c r="G190" i="1"/>
  <c r="E190" i="1"/>
  <c r="P189" i="1"/>
  <c r="N189" i="1"/>
  <c r="K189" i="1"/>
  <c r="I189" i="1"/>
  <c r="G189" i="1"/>
  <c r="E189" i="1"/>
  <c r="P188" i="1"/>
  <c r="N188" i="1"/>
  <c r="K188" i="1"/>
  <c r="I188" i="1"/>
  <c r="G188" i="1"/>
  <c r="E188" i="1"/>
  <c r="P187" i="1"/>
  <c r="N187" i="1"/>
  <c r="K187" i="1"/>
  <c r="I187" i="1"/>
  <c r="G187" i="1"/>
  <c r="E187" i="1"/>
  <c r="P186" i="1"/>
  <c r="N186" i="1"/>
  <c r="K186" i="1"/>
  <c r="I186" i="1"/>
  <c r="G186" i="1"/>
  <c r="E186" i="1"/>
  <c r="P185" i="1"/>
  <c r="N185" i="1"/>
  <c r="K185" i="1"/>
  <c r="I185" i="1"/>
  <c r="G185" i="1"/>
  <c r="E185" i="1"/>
  <c r="P184" i="1"/>
  <c r="N184" i="1"/>
  <c r="K184" i="1"/>
  <c r="I184" i="1"/>
  <c r="G184" i="1"/>
  <c r="E184" i="1"/>
  <c r="P183" i="1"/>
  <c r="N183" i="1"/>
  <c r="K183" i="1"/>
  <c r="I183" i="1"/>
  <c r="G183" i="1"/>
  <c r="E183" i="1"/>
  <c r="P182" i="1"/>
  <c r="N182" i="1"/>
  <c r="K182" i="1"/>
  <c r="I182" i="1"/>
  <c r="G182" i="1"/>
  <c r="E182" i="1"/>
  <c r="P181" i="1"/>
  <c r="N181" i="1"/>
  <c r="K181" i="1"/>
  <c r="I181" i="1"/>
  <c r="G181" i="1"/>
  <c r="E181" i="1"/>
  <c r="P180" i="1"/>
  <c r="AB179" i="1" s="1"/>
  <c r="N180" i="1"/>
  <c r="AA179" i="1" s="1"/>
  <c r="K180" i="1"/>
  <c r="I180" i="1"/>
  <c r="G180" i="1"/>
  <c r="E180" i="1"/>
  <c r="Z179" i="1"/>
  <c r="Y179" i="1"/>
  <c r="X179" i="1"/>
  <c r="W179" i="1"/>
  <c r="P179" i="1"/>
  <c r="N179" i="1"/>
  <c r="K179" i="1"/>
  <c r="I179" i="1"/>
  <c r="G179" i="1"/>
  <c r="E179" i="1"/>
  <c r="P178" i="1"/>
  <c r="N178" i="1"/>
  <c r="K178" i="1"/>
  <c r="I178" i="1"/>
  <c r="G178" i="1"/>
  <c r="E178" i="1"/>
  <c r="P177" i="1"/>
  <c r="N177" i="1"/>
  <c r="K177" i="1"/>
  <c r="I177" i="1"/>
  <c r="G177" i="1"/>
  <c r="E177" i="1"/>
  <c r="P176" i="1"/>
  <c r="N176" i="1"/>
  <c r="K176" i="1"/>
  <c r="I176" i="1"/>
  <c r="G176" i="1"/>
  <c r="E176" i="1"/>
  <c r="P175" i="1"/>
  <c r="N175" i="1"/>
  <c r="K175" i="1"/>
  <c r="I175" i="1"/>
  <c r="G175" i="1"/>
  <c r="E175" i="1"/>
  <c r="P174" i="1"/>
  <c r="N174" i="1"/>
  <c r="K174" i="1"/>
  <c r="I174" i="1"/>
  <c r="G174" i="1"/>
  <c r="E174" i="1"/>
  <c r="P173" i="1"/>
  <c r="N173" i="1"/>
  <c r="K173" i="1"/>
  <c r="I173" i="1"/>
  <c r="G173" i="1"/>
  <c r="E173" i="1"/>
  <c r="P172" i="1"/>
  <c r="N172" i="1"/>
  <c r="K172" i="1"/>
  <c r="I172" i="1"/>
  <c r="G172" i="1"/>
  <c r="E172" i="1"/>
  <c r="P171" i="1"/>
  <c r="N171" i="1"/>
  <c r="K171" i="1"/>
  <c r="I171" i="1"/>
  <c r="G171" i="1"/>
  <c r="E171" i="1"/>
  <c r="P170" i="1"/>
  <c r="N170" i="1"/>
  <c r="K170" i="1"/>
  <c r="I170" i="1"/>
  <c r="G170" i="1"/>
  <c r="E170" i="1"/>
  <c r="P169" i="1"/>
  <c r="N169" i="1"/>
  <c r="K169" i="1"/>
  <c r="I169" i="1"/>
  <c r="G169" i="1"/>
  <c r="E169" i="1"/>
  <c r="P168" i="1"/>
  <c r="N168" i="1"/>
  <c r="K168" i="1"/>
  <c r="I168" i="1"/>
  <c r="G168" i="1"/>
  <c r="E168" i="1"/>
  <c r="P167" i="1"/>
  <c r="N167" i="1"/>
  <c r="K167" i="1"/>
  <c r="I167" i="1"/>
  <c r="G167" i="1"/>
  <c r="E167" i="1"/>
  <c r="P166" i="1"/>
  <c r="N166" i="1"/>
  <c r="K166" i="1"/>
  <c r="I166" i="1"/>
  <c r="G166" i="1"/>
  <c r="E166" i="1"/>
  <c r="P165" i="1"/>
  <c r="AB164" i="1" s="1"/>
  <c r="N165" i="1"/>
  <c r="AA164" i="1" s="1"/>
  <c r="K165" i="1"/>
  <c r="I165" i="1"/>
  <c r="G165" i="1"/>
  <c r="E165" i="1"/>
  <c r="Z164" i="1"/>
  <c r="Y164" i="1"/>
  <c r="X164" i="1"/>
  <c r="W164" i="1"/>
  <c r="P164" i="1"/>
  <c r="N164" i="1"/>
  <c r="K164" i="1"/>
  <c r="I164" i="1"/>
  <c r="G164" i="1"/>
  <c r="E164" i="1"/>
  <c r="P163" i="1"/>
  <c r="N163" i="1"/>
  <c r="K163" i="1"/>
  <c r="I163" i="1"/>
  <c r="G163" i="1"/>
  <c r="E163" i="1"/>
  <c r="P162" i="1"/>
  <c r="N162" i="1"/>
  <c r="K162" i="1"/>
  <c r="I162" i="1"/>
  <c r="G162" i="1"/>
  <c r="E162" i="1"/>
  <c r="P161" i="1"/>
  <c r="N161" i="1"/>
  <c r="K161" i="1"/>
  <c r="I161" i="1"/>
  <c r="G161" i="1"/>
  <c r="E161" i="1"/>
  <c r="P160" i="1"/>
  <c r="N160" i="1"/>
  <c r="K160" i="1"/>
  <c r="I160" i="1"/>
  <c r="G160" i="1"/>
  <c r="E160" i="1"/>
  <c r="P159" i="1"/>
  <c r="N159" i="1"/>
  <c r="K159" i="1"/>
  <c r="I159" i="1"/>
  <c r="G159" i="1"/>
  <c r="E159" i="1"/>
  <c r="P158" i="1"/>
  <c r="N158" i="1"/>
  <c r="K158" i="1"/>
  <c r="I158" i="1"/>
  <c r="G158" i="1"/>
  <c r="E158" i="1"/>
  <c r="P157" i="1"/>
  <c r="N157" i="1"/>
  <c r="K157" i="1"/>
  <c r="I157" i="1"/>
  <c r="G157" i="1"/>
  <c r="E157" i="1"/>
  <c r="P156" i="1"/>
  <c r="N156" i="1"/>
  <c r="K156" i="1"/>
  <c r="I156" i="1"/>
  <c r="G156" i="1"/>
  <c r="E156" i="1"/>
  <c r="P155" i="1"/>
  <c r="N155" i="1"/>
  <c r="K155" i="1"/>
  <c r="I155" i="1"/>
  <c r="G155" i="1"/>
  <c r="E155" i="1"/>
  <c r="P154" i="1"/>
  <c r="N154" i="1"/>
  <c r="K154" i="1"/>
  <c r="I154" i="1"/>
  <c r="G154" i="1"/>
  <c r="E154" i="1"/>
  <c r="P153" i="1"/>
  <c r="N153" i="1"/>
  <c r="K153" i="1"/>
  <c r="I153" i="1"/>
  <c r="G153" i="1"/>
  <c r="E153" i="1"/>
  <c r="P152" i="1"/>
  <c r="N152" i="1"/>
  <c r="K152" i="1"/>
  <c r="I152" i="1"/>
  <c r="G152" i="1"/>
  <c r="E152" i="1"/>
  <c r="P151" i="1"/>
  <c r="N151" i="1"/>
  <c r="K151" i="1"/>
  <c r="I151" i="1"/>
  <c r="G151" i="1"/>
  <c r="E151" i="1"/>
  <c r="P150" i="1"/>
  <c r="N150" i="1"/>
  <c r="K150" i="1"/>
  <c r="I150" i="1"/>
  <c r="G150" i="1"/>
  <c r="E150" i="1"/>
  <c r="P149" i="1"/>
  <c r="N149" i="1"/>
  <c r="K149" i="1"/>
  <c r="I149" i="1"/>
  <c r="G149" i="1"/>
  <c r="E149" i="1"/>
  <c r="P148" i="1"/>
  <c r="N148" i="1"/>
  <c r="K148" i="1"/>
  <c r="I148" i="1"/>
  <c r="G148" i="1"/>
  <c r="E148" i="1"/>
  <c r="P147" i="1"/>
  <c r="N147" i="1"/>
  <c r="K147" i="1"/>
  <c r="I147" i="1"/>
  <c r="G147" i="1"/>
  <c r="E147" i="1"/>
  <c r="P146" i="1"/>
  <c r="N146" i="1"/>
  <c r="K146" i="1"/>
  <c r="I146" i="1"/>
  <c r="G146" i="1"/>
  <c r="E146" i="1"/>
  <c r="P145" i="1"/>
  <c r="N145" i="1"/>
  <c r="K145" i="1"/>
  <c r="I145" i="1"/>
  <c r="G145" i="1"/>
  <c r="E145" i="1"/>
  <c r="P144" i="1"/>
  <c r="N144" i="1"/>
  <c r="K144" i="1"/>
  <c r="I144" i="1"/>
  <c r="G144" i="1"/>
  <c r="E144" i="1"/>
  <c r="P143" i="1"/>
  <c r="N143" i="1"/>
  <c r="K143" i="1"/>
  <c r="I143" i="1"/>
  <c r="G143" i="1"/>
  <c r="E143" i="1"/>
  <c r="P142" i="1"/>
  <c r="AB141" i="1" s="1"/>
  <c r="N142" i="1"/>
  <c r="AA141" i="1" s="1"/>
  <c r="K142" i="1"/>
  <c r="I142" i="1"/>
  <c r="G142" i="1"/>
  <c r="E142" i="1"/>
  <c r="Z141" i="1"/>
  <c r="Y141" i="1"/>
  <c r="X141" i="1"/>
  <c r="W141" i="1"/>
  <c r="P141" i="1"/>
  <c r="N141" i="1"/>
  <c r="K141" i="1"/>
  <c r="I141" i="1"/>
  <c r="G141" i="1"/>
  <c r="E141" i="1"/>
  <c r="P140" i="1"/>
  <c r="N140" i="1"/>
  <c r="K140" i="1"/>
  <c r="I140" i="1"/>
  <c r="G140" i="1"/>
  <c r="E140" i="1"/>
  <c r="P139" i="1"/>
  <c r="N139" i="1"/>
  <c r="K139" i="1"/>
  <c r="I139" i="1"/>
  <c r="G139" i="1"/>
  <c r="E139" i="1"/>
  <c r="P138" i="1"/>
  <c r="N138" i="1"/>
  <c r="K138" i="1"/>
  <c r="I138" i="1"/>
  <c r="G138" i="1"/>
  <c r="E138" i="1"/>
  <c r="P137" i="1"/>
  <c r="N137" i="1"/>
  <c r="K137" i="1"/>
  <c r="I137" i="1"/>
  <c r="G137" i="1"/>
  <c r="E137" i="1"/>
  <c r="P136" i="1"/>
  <c r="N136" i="1"/>
  <c r="K136" i="1"/>
  <c r="I136" i="1"/>
  <c r="G136" i="1"/>
  <c r="E136" i="1"/>
  <c r="P135" i="1"/>
  <c r="N135" i="1"/>
  <c r="K135" i="1"/>
  <c r="I135" i="1"/>
  <c r="G135" i="1"/>
  <c r="E135" i="1"/>
  <c r="P134" i="1"/>
  <c r="N134" i="1"/>
  <c r="K134" i="1"/>
  <c r="I134" i="1"/>
  <c r="G134" i="1"/>
  <c r="E134" i="1"/>
  <c r="P133" i="1"/>
  <c r="N133" i="1"/>
  <c r="K133" i="1"/>
  <c r="I133" i="1"/>
  <c r="G133" i="1"/>
  <c r="E133" i="1"/>
  <c r="P132" i="1"/>
  <c r="N132" i="1"/>
  <c r="K132" i="1"/>
  <c r="I132" i="1"/>
  <c r="G132" i="1"/>
  <c r="E132" i="1"/>
  <c r="P131" i="1"/>
  <c r="N131" i="1"/>
  <c r="K131" i="1"/>
  <c r="I131" i="1"/>
  <c r="G131" i="1"/>
  <c r="E131" i="1"/>
  <c r="P130" i="1"/>
  <c r="N130" i="1"/>
  <c r="K130" i="1"/>
  <c r="I130" i="1"/>
  <c r="G130" i="1"/>
  <c r="E130" i="1"/>
  <c r="P129" i="1"/>
  <c r="N129" i="1"/>
  <c r="K129" i="1"/>
  <c r="I129" i="1"/>
  <c r="G129" i="1"/>
  <c r="E129" i="1"/>
  <c r="AB128" i="1"/>
  <c r="Z128" i="1"/>
  <c r="Y128" i="1"/>
  <c r="X128" i="1"/>
  <c r="W128" i="1"/>
  <c r="P128" i="1"/>
  <c r="N128" i="1"/>
  <c r="AA128" i="1" s="1"/>
  <c r="K128" i="1"/>
  <c r="I128" i="1"/>
  <c r="G128" i="1"/>
  <c r="E128" i="1"/>
  <c r="P127" i="1"/>
  <c r="N127" i="1"/>
  <c r="K127" i="1"/>
  <c r="I127" i="1"/>
  <c r="G127" i="1"/>
  <c r="E127" i="1"/>
  <c r="P126" i="1"/>
  <c r="N126" i="1"/>
  <c r="K126" i="1"/>
  <c r="I126" i="1"/>
  <c r="G126" i="1"/>
  <c r="E126" i="1"/>
  <c r="P125" i="1"/>
  <c r="N125" i="1"/>
  <c r="K125" i="1"/>
  <c r="I125" i="1"/>
  <c r="G125" i="1"/>
  <c r="E125" i="1"/>
  <c r="P124" i="1"/>
  <c r="N124" i="1"/>
  <c r="AA116" i="1" s="1"/>
  <c r="K124" i="1"/>
  <c r="I124" i="1"/>
  <c r="G124" i="1"/>
  <c r="E124" i="1"/>
  <c r="P123" i="1"/>
  <c r="N123" i="1"/>
  <c r="K123" i="1"/>
  <c r="I123" i="1"/>
  <c r="G123" i="1"/>
  <c r="E123" i="1"/>
  <c r="P122" i="1"/>
  <c r="N122" i="1"/>
  <c r="K122" i="1"/>
  <c r="I122" i="1"/>
  <c r="G122" i="1"/>
  <c r="E122" i="1"/>
  <c r="P121" i="1"/>
  <c r="N121" i="1"/>
  <c r="K121" i="1"/>
  <c r="I121" i="1"/>
  <c r="G121" i="1"/>
  <c r="E121" i="1"/>
  <c r="P120" i="1"/>
  <c r="N120" i="1"/>
  <c r="K120" i="1"/>
  <c r="I120" i="1"/>
  <c r="G120" i="1"/>
  <c r="E120" i="1"/>
  <c r="P119" i="1"/>
  <c r="N119" i="1"/>
  <c r="K119" i="1"/>
  <c r="I119" i="1"/>
  <c r="G119" i="1"/>
  <c r="E119" i="1"/>
  <c r="P118" i="1"/>
  <c r="N118" i="1"/>
  <c r="K118" i="1"/>
  <c r="I118" i="1"/>
  <c r="G118" i="1"/>
  <c r="E118" i="1"/>
  <c r="P117" i="1"/>
  <c r="AB116" i="1" s="1"/>
  <c r="N117" i="1"/>
  <c r="K117" i="1"/>
  <c r="I117" i="1"/>
  <c r="G117" i="1"/>
  <c r="E117" i="1"/>
  <c r="Z116" i="1"/>
  <c r="Y116" i="1"/>
  <c r="X116" i="1"/>
  <c r="W116" i="1"/>
  <c r="P116" i="1"/>
  <c r="N116" i="1"/>
  <c r="K116" i="1"/>
  <c r="I116" i="1"/>
  <c r="G116" i="1"/>
  <c r="E116" i="1"/>
  <c r="P115" i="1"/>
  <c r="N115" i="1"/>
  <c r="K115" i="1"/>
  <c r="I115" i="1"/>
  <c r="G115" i="1"/>
  <c r="E115" i="1"/>
  <c r="P114" i="1"/>
  <c r="N114" i="1"/>
  <c r="K114" i="1"/>
  <c r="I114" i="1"/>
  <c r="G114" i="1"/>
  <c r="E114" i="1"/>
  <c r="P113" i="1"/>
  <c r="N113" i="1"/>
  <c r="K113" i="1"/>
  <c r="I113" i="1"/>
  <c r="G113" i="1"/>
  <c r="E113" i="1"/>
  <c r="P112" i="1"/>
  <c r="N112" i="1"/>
  <c r="K112" i="1"/>
  <c r="I112" i="1"/>
  <c r="G112" i="1"/>
  <c r="E112" i="1"/>
  <c r="P111" i="1"/>
  <c r="N111" i="1"/>
  <c r="K111" i="1"/>
  <c r="I111" i="1"/>
  <c r="G111" i="1"/>
  <c r="E111" i="1"/>
  <c r="P110" i="1"/>
  <c r="N110" i="1"/>
  <c r="K110" i="1"/>
  <c r="I110" i="1"/>
  <c r="G110" i="1"/>
  <c r="E110" i="1"/>
  <c r="P109" i="1"/>
  <c r="N109" i="1"/>
  <c r="K109" i="1"/>
  <c r="I109" i="1"/>
  <c r="G109" i="1"/>
  <c r="E109" i="1"/>
  <c r="P108" i="1"/>
  <c r="N108" i="1"/>
  <c r="K108" i="1"/>
  <c r="I108" i="1"/>
  <c r="G108" i="1"/>
  <c r="E108" i="1"/>
  <c r="P107" i="1"/>
  <c r="N107" i="1"/>
  <c r="K107" i="1"/>
  <c r="I107" i="1"/>
  <c r="G107" i="1"/>
  <c r="E107" i="1"/>
  <c r="AB106" i="1"/>
  <c r="Z106" i="1"/>
  <c r="Y106" i="1"/>
  <c r="X106" i="1"/>
  <c r="W106" i="1"/>
  <c r="P106" i="1"/>
  <c r="N106" i="1"/>
  <c r="AA106" i="1" s="1"/>
  <c r="K106" i="1"/>
  <c r="I106" i="1"/>
  <c r="G106" i="1"/>
  <c r="E106" i="1"/>
  <c r="P105" i="1"/>
  <c r="N105" i="1"/>
  <c r="K105" i="1"/>
  <c r="I105" i="1"/>
  <c r="G105" i="1"/>
  <c r="E105" i="1"/>
  <c r="P104" i="1"/>
  <c r="N104" i="1"/>
  <c r="K104" i="1"/>
  <c r="I104" i="1"/>
  <c r="G104" i="1"/>
  <c r="E104" i="1"/>
  <c r="P103" i="1"/>
  <c r="N103" i="1"/>
  <c r="K103" i="1"/>
  <c r="I103" i="1"/>
  <c r="G103" i="1"/>
  <c r="E103" i="1"/>
  <c r="P102" i="1"/>
  <c r="N102" i="1"/>
  <c r="K102" i="1"/>
  <c r="I102" i="1"/>
  <c r="G102" i="1"/>
  <c r="E102" i="1"/>
  <c r="P101" i="1"/>
  <c r="N101" i="1"/>
  <c r="K101" i="1"/>
  <c r="I101" i="1"/>
  <c r="G101" i="1"/>
  <c r="E101" i="1"/>
  <c r="P100" i="1"/>
  <c r="N100" i="1"/>
  <c r="K100" i="1"/>
  <c r="I100" i="1"/>
  <c r="G100" i="1"/>
  <c r="E100" i="1"/>
  <c r="P99" i="1"/>
  <c r="N99" i="1"/>
  <c r="K99" i="1"/>
  <c r="I99" i="1"/>
  <c r="G99" i="1"/>
  <c r="E99" i="1"/>
  <c r="P98" i="1"/>
  <c r="N98" i="1"/>
  <c r="K98" i="1"/>
  <c r="I98" i="1"/>
  <c r="G98" i="1"/>
  <c r="E98" i="1"/>
  <c r="P97" i="1"/>
  <c r="N97" i="1"/>
  <c r="K97" i="1"/>
  <c r="I97" i="1"/>
  <c r="G97" i="1"/>
  <c r="E97" i="1"/>
  <c r="P96" i="1"/>
  <c r="N96" i="1"/>
  <c r="K96" i="1"/>
  <c r="I96" i="1"/>
  <c r="G96" i="1"/>
  <c r="E96" i="1"/>
  <c r="P95" i="1"/>
  <c r="N95" i="1"/>
  <c r="K95" i="1"/>
  <c r="I95" i="1"/>
  <c r="G95" i="1"/>
  <c r="E95" i="1"/>
  <c r="P94" i="1"/>
  <c r="N94" i="1"/>
  <c r="K94" i="1"/>
  <c r="I94" i="1"/>
  <c r="G94" i="1"/>
  <c r="E94" i="1"/>
  <c r="P93" i="1"/>
  <c r="N93" i="1"/>
  <c r="K93" i="1"/>
  <c r="I93" i="1"/>
  <c r="G93" i="1"/>
  <c r="E93" i="1"/>
  <c r="P92" i="1"/>
  <c r="N92" i="1"/>
  <c r="K92" i="1"/>
  <c r="I92" i="1"/>
  <c r="G92" i="1"/>
  <c r="E92" i="1"/>
  <c r="AB91" i="1"/>
  <c r="Z91" i="1"/>
  <c r="Y91" i="1"/>
  <c r="X91" i="1"/>
  <c r="W91" i="1"/>
  <c r="P91" i="1"/>
  <c r="N91" i="1"/>
  <c r="AA91" i="1" s="1"/>
  <c r="K91" i="1"/>
  <c r="I91" i="1"/>
  <c r="G91" i="1"/>
  <c r="E91" i="1"/>
  <c r="P90" i="1"/>
  <c r="N90" i="1"/>
  <c r="K90" i="1"/>
  <c r="I90" i="1"/>
  <c r="G90" i="1"/>
  <c r="E90" i="1"/>
  <c r="P89" i="1"/>
  <c r="N89" i="1"/>
  <c r="K89" i="1"/>
  <c r="I89" i="1"/>
  <c r="G89" i="1"/>
  <c r="E89" i="1"/>
  <c r="P88" i="1"/>
  <c r="N88" i="1"/>
  <c r="K88" i="1"/>
  <c r="I88" i="1"/>
  <c r="G88" i="1"/>
  <c r="E88" i="1"/>
  <c r="P87" i="1"/>
  <c r="N87" i="1"/>
  <c r="K87" i="1"/>
  <c r="I87" i="1"/>
  <c r="G87" i="1"/>
  <c r="E87" i="1"/>
  <c r="P86" i="1"/>
  <c r="N86" i="1"/>
  <c r="K86" i="1"/>
  <c r="I86" i="1"/>
  <c r="G86" i="1"/>
  <c r="E86" i="1"/>
  <c r="P85" i="1"/>
  <c r="N85" i="1"/>
  <c r="K85" i="1"/>
  <c r="I85" i="1"/>
  <c r="G85" i="1"/>
  <c r="E85" i="1"/>
  <c r="P84" i="1"/>
  <c r="N84" i="1"/>
  <c r="K84" i="1"/>
  <c r="I84" i="1"/>
  <c r="G84" i="1"/>
  <c r="E84" i="1"/>
  <c r="P83" i="1"/>
  <c r="N83" i="1"/>
  <c r="K83" i="1"/>
  <c r="I83" i="1"/>
  <c r="G83" i="1"/>
  <c r="E83" i="1"/>
  <c r="P82" i="1"/>
  <c r="N82" i="1"/>
  <c r="K82" i="1"/>
  <c r="I82" i="1"/>
  <c r="G82" i="1"/>
  <c r="E82" i="1"/>
  <c r="P81" i="1"/>
  <c r="N81" i="1"/>
  <c r="K81" i="1"/>
  <c r="I81" i="1"/>
  <c r="G81" i="1"/>
  <c r="E81" i="1"/>
  <c r="P80" i="1"/>
  <c r="N80" i="1"/>
  <c r="K80" i="1"/>
  <c r="I80" i="1"/>
  <c r="G80" i="1"/>
  <c r="E80" i="1"/>
  <c r="P79" i="1"/>
  <c r="N79" i="1"/>
  <c r="K79" i="1"/>
  <c r="I79" i="1"/>
  <c r="G79" i="1"/>
  <c r="E79" i="1"/>
  <c r="P78" i="1"/>
  <c r="N78" i="1"/>
  <c r="K78" i="1"/>
  <c r="I78" i="1"/>
  <c r="G78" i="1"/>
  <c r="E78" i="1"/>
  <c r="P77" i="1"/>
  <c r="N77" i="1"/>
  <c r="K77" i="1"/>
  <c r="I77" i="1"/>
  <c r="G77" i="1"/>
  <c r="E77" i="1"/>
  <c r="P76" i="1"/>
  <c r="N76" i="1"/>
  <c r="K76" i="1"/>
  <c r="I76" i="1"/>
  <c r="G76" i="1"/>
  <c r="E76" i="1"/>
  <c r="P75" i="1"/>
  <c r="N75" i="1"/>
  <c r="K75" i="1"/>
  <c r="I75" i="1"/>
  <c r="G75" i="1"/>
  <c r="E75" i="1"/>
  <c r="P74" i="1"/>
  <c r="N74" i="1"/>
  <c r="K74" i="1"/>
  <c r="I74" i="1"/>
  <c r="G74" i="1"/>
  <c r="E74" i="1"/>
  <c r="P73" i="1"/>
  <c r="N73" i="1"/>
  <c r="K73" i="1"/>
  <c r="I73" i="1"/>
  <c r="G73" i="1"/>
  <c r="E73" i="1"/>
  <c r="P72" i="1"/>
  <c r="N72" i="1"/>
  <c r="K72" i="1"/>
  <c r="I72" i="1"/>
  <c r="G72" i="1"/>
  <c r="E72" i="1"/>
  <c r="P71" i="1"/>
  <c r="N71" i="1"/>
  <c r="K71" i="1"/>
  <c r="I71" i="1"/>
  <c r="G71" i="1"/>
  <c r="E71" i="1"/>
  <c r="P70" i="1"/>
  <c r="N70" i="1"/>
  <c r="K70" i="1"/>
  <c r="I70" i="1"/>
  <c r="G70" i="1"/>
  <c r="E70" i="1"/>
  <c r="P69" i="1"/>
  <c r="N69" i="1"/>
  <c r="K69" i="1"/>
  <c r="I69" i="1"/>
  <c r="G69" i="1"/>
  <c r="E69" i="1"/>
  <c r="P68" i="1"/>
  <c r="N68" i="1"/>
  <c r="K68" i="1"/>
  <c r="I68" i="1"/>
  <c r="G68" i="1"/>
  <c r="E68" i="1"/>
  <c r="P67" i="1"/>
  <c r="N67" i="1"/>
  <c r="K67" i="1"/>
  <c r="I67" i="1"/>
  <c r="G67" i="1"/>
  <c r="E67" i="1"/>
  <c r="P66" i="1"/>
  <c r="N66" i="1"/>
  <c r="K66" i="1"/>
  <c r="I66" i="1"/>
  <c r="G66" i="1"/>
  <c r="E66" i="1"/>
  <c r="P65" i="1"/>
  <c r="N65" i="1"/>
  <c r="K65" i="1"/>
  <c r="I65" i="1"/>
  <c r="G65" i="1"/>
  <c r="E65" i="1"/>
  <c r="P64" i="1"/>
  <c r="N64" i="1"/>
  <c r="K64" i="1"/>
  <c r="I64" i="1"/>
  <c r="G64" i="1"/>
  <c r="E64" i="1"/>
  <c r="P63" i="1"/>
  <c r="N63" i="1"/>
  <c r="K63" i="1"/>
  <c r="I63" i="1"/>
  <c r="G63" i="1"/>
  <c r="E63" i="1"/>
  <c r="P62" i="1"/>
  <c r="N62" i="1"/>
  <c r="K62" i="1"/>
  <c r="I62" i="1"/>
  <c r="G62" i="1"/>
  <c r="E62" i="1"/>
  <c r="P61" i="1"/>
  <c r="N61" i="1"/>
  <c r="K61" i="1"/>
  <c r="I61" i="1"/>
  <c r="G61" i="1"/>
  <c r="E61" i="1"/>
  <c r="P60" i="1"/>
  <c r="N60" i="1"/>
  <c r="K60" i="1"/>
  <c r="I60" i="1"/>
  <c r="G60" i="1"/>
  <c r="E60" i="1"/>
  <c r="P59" i="1"/>
  <c r="N59" i="1"/>
  <c r="K59" i="1"/>
  <c r="I59" i="1"/>
  <c r="G59" i="1"/>
  <c r="E59" i="1"/>
  <c r="P58" i="1"/>
  <c r="N58" i="1"/>
  <c r="K58" i="1"/>
  <c r="I58" i="1"/>
  <c r="G58" i="1"/>
  <c r="E58" i="1"/>
  <c r="P57" i="1"/>
  <c r="N57" i="1"/>
  <c r="K57" i="1"/>
  <c r="I57" i="1"/>
  <c r="G57" i="1"/>
  <c r="E57" i="1"/>
  <c r="P56" i="1"/>
  <c r="AB55" i="1" s="1"/>
  <c r="N56" i="1"/>
  <c r="K56" i="1"/>
  <c r="I56" i="1"/>
  <c r="G56" i="1"/>
  <c r="E56" i="1"/>
  <c r="AA55" i="1"/>
  <c r="Z55" i="1"/>
  <c r="Y55" i="1"/>
  <c r="X55" i="1"/>
  <c r="W55" i="1"/>
  <c r="P55" i="1"/>
  <c r="N55" i="1"/>
  <c r="K55" i="1"/>
  <c r="I55" i="1"/>
  <c r="G55" i="1"/>
  <c r="E55" i="1"/>
  <c r="P54" i="1"/>
  <c r="N54" i="1"/>
  <c r="K54" i="1"/>
  <c r="I54" i="1"/>
  <c r="G54" i="1"/>
  <c r="E54" i="1"/>
  <c r="P53" i="1"/>
  <c r="N53" i="1"/>
  <c r="K53" i="1"/>
  <c r="I53" i="1"/>
  <c r="G53" i="1"/>
  <c r="E53" i="1"/>
  <c r="P52" i="1"/>
  <c r="N52" i="1"/>
  <c r="K52" i="1"/>
  <c r="I52" i="1"/>
  <c r="G52" i="1"/>
  <c r="E52" i="1"/>
  <c r="P51" i="1"/>
  <c r="N51" i="1"/>
  <c r="K51" i="1"/>
  <c r="I51" i="1"/>
  <c r="G51" i="1"/>
  <c r="E51" i="1"/>
  <c r="P50" i="1"/>
  <c r="N50" i="1"/>
  <c r="K50" i="1"/>
  <c r="I50" i="1"/>
  <c r="G50" i="1"/>
  <c r="E50" i="1"/>
  <c r="P49" i="1"/>
  <c r="N49" i="1"/>
  <c r="K49" i="1"/>
  <c r="I49" i="1"/>
  <c r="G49" i="1"/>
  <c r="E49" i="1"/>
  <c r="P48" i="1"/>
  <c r="N48" i="1"/>
  <c r="K48" i="1"/>
  <c r="I48" i="1"/>
  <c r="G48" i="1"/>
  <c r="E48" i="1"/>
  <c r="P47" i="1"/>
  <c r="N47" i="1"/>
  <c r="K47" i="1"/>
  <c r="I47" i="1"/>
  <c r="G47" i="1"/>
  <c r="E47" i="1"/>
  <c r="P46" i="1"/>
  <c r="N46" i="1"/>
  <c r="K46" i="1"/>
  <c r="I46" i="1"/>
  <c r="G46" i="1"/>
  <c r="E46" i="1"/>
  <c r="P45" i="1"/>
  <c r="N45" i="1"/>
  <c r="K45" i="1"/>
  <c r="I45" i="1"/>
  <c r="G45" i="1"/>
  <c r="E45" i="1"/>
  <c r="P44" i="1"/>
  <c r="N44" i="1"/>
  <c r="K44" i="1"/>
  <c r="I44" i="1"/>
  <c r="G44" i="1"/>
  <c r="E44" i="1"/>
  <c r="P43" i="1"/>
  <c r="N43" i="1"/>
  <c r="K43" i="1"/>
  <c r="I43" i="1"/>
  <c r="G43" i="1"/>
  <c r="E43" i="1"/>
  <c r="P42" i="1"/>
  <c r="N42" i="1"/>
  <c r="K42" i="1"/>
  <c r="I42" i="1"/>
  <c r="G42" i="1"/>
  <c r="E42" i="1"/>
  <c r="P41" i="1"/>
  <c r="N41" i="1"/>
  <c r="K41" i="1"/>
  <c r="I41" i="1"/>
  <c r="G41" i="1"/>
  <c r="E41" i="1"/>
  <c r="P40" i="1"/>
  <c r="N40" i="1"/>
  <c r="AA39" i="1" s="1"/>
  <c r="K40" i="1"/>
  <c r="I40" i="1"/>
  <c r="G40" i="1"/>
  <c r="E40" i="1"/>
  <c r="Z39" i="1"/>
  <c r="Y39" i="1"/>
  <c r="X39" i="1"/>
  <c r="W39" i="1"/>
  <c r="P39" i="1"/>
  <c r="AB39" i="1" s="1"/>
  <c r="N39" i="1"/>
  <c r="K39" i="1"/>
  <c r="I39" i="1"/>
  <c r="G39" i="1"/>
  <c r="E39" i="1"/>
  <c r="P38" i="1"/>
  <c r="N38" i="1"/>
  <c r="K38" i="1"/>
  <c r="I38" i="1"/>
  <c r="G38" i="1"/>
  <c r="E38" i="1"/>
  <c r="P37" i="1"/>
  <c r="N37" i="1"/>
  <c r="K37" i="1"/>
  <c r="I37" i="1"/>
  <c r="G37" i="1"/>
  <c r="E37" i="1"/>
  <c r="P36" i="1"/>
  <c r="N36" i="1"/>
  <c r="K36" i="1"/>
  <c r="I36" i="1"/>
  <c r="G36" i="1"/>
  <c r="E36" i="1"/>
  <c r="P35" i="1"/>
  <c r="N35" i="1"/>
  <c r="K35" i="1"/>
  <c r="I35" i="1"/>
  <c r="G35" i="1"/>
  <c r="E35" i="1"/>
  <c r="P34" i="1"/>
  <c r="N34" i="1"/>
  <c r="K34" i="1"/>
  <c r="I34" i="1"/>
  <c r="G34" i="1"/>
  <c r="E34" i="1"/>
  <c r="P33" i="1"/>
  <c r="N33" i="1"/>
  <c r="K33" i="1"/>
  <c r="I33" i="1"/>
  <c r="G33" i="1"/>
  <c r="E33" i="1"/>
  <c r="P32" i="1"/>
  <c r="N32" i="1"/>
  <c r="K32" i="1"/>
  <c r="I32" i="1"/>
  <c r="G32" i="1"/>
  <c r="E32" i="1"/>
  <c r="P31" i="1"/>
  <c r="N31" i="1"/>
  <c r="K31" i="1"/>
  <c r="I31" i="1"/>
  <c r="G31" i="1"/>
  <c r="E31" i="1"/>
  <c r="P30" i="1"/>
  <c r="N30" i="1"/>
  <c r="K30" i="1"/>
  <c r="I30" i="1"/>
  <c r="G30" i="1"/>
  <c r="E30" i="1"/>
  <c r="P29" i="1"/>
  <c r="N29" i="1"/>
  <c r="K29" i="1"/>
  <c r="I29" i="1"/>
  <c r="G29" i="1"/>
  <c r="E29" i="1"/>
  <c r="P28" i="1"/>
  <c r="N28" i="1"/>
  <c r="K28" i="1"/>
  <c r="I28" i="1"/>
  <c r="G28" i="1"/>
  <c r="E28" i="1"/>
  <c r="P27" i="1"/>
  <c r="N27" i="1"/>
  <c r="K27" i="1"/>
  <c r="I27" i="1"/>
  <c r="G27" i="1"/>
  <c r="E27" i="1"/>
  <c r="P26" i="1"/>
  <c r="N26" i="1"/>
  <c r="K26" i="1"/>
  <c r="I26" i="1"/>
  <c r="G26" i="1"/>
  <c r="E26" i="1"/>
  <c r="P25" i="1"/>
  <c r="N25" i="1"/>
  <c r="AA24" i="1" s="1"/>
  <c r="K25" i="1"/>
  <c r="I25" i="1"/>
  <c r="G25" i="1"/>
  <c r="E25" i="1"/>
  <c r="Z24" i="1"/>
  <c r="Y24" i="1"/>
  <c r="X24" i="1"/>
  <c r="X194" i="1" s="1"/>
  <c r="W24" i="1"/>
  <c r="P24" i="1"/>
  <c r="AB24" i="1" s="1"/>
  <c r="N24" i="1"/>
  <c r="K24" i="1"/>
  <c r="I24" i="1"/>
  <c r="G24" i="1"/>
  <c r="E24" i="1"/>
  <c r="P23" i="1"/>
  <c r="N23" i="1"/>
  <c r="K23" i="1"/>
  <c r="I23" i="1"/>
  <c r="G23" i="1"/>
  <c r="E23" i="1"/>
  <c r="P22" i="1"/>
  <c r="N22" i="1"/>
  <c r="K22" i="1"/>
  <c r="I22" i="1"/>
  <c r="G22" i="1"/>
  <c r="E22" i="1"/>
  <c r="P21" i="1"/>
  <c r="N21" i="1"/>
  <c r="K21" i="1"/>
  <c r="I21" i="1"/>
  <c r="G21" i="1"/>
  <c r="E21" i="1"/>
  <c r="P20" i="1"/>
  <c r="N20" i="1"/>
  <c r="K20" i="1"/>
  <c r="I20" i="1"/>
  <c r="G20" i="1"/>
  <c r="E20" i="1"/>
  <c r="P19" i="1"/>
  <c r="N19" i="1"/>
  <c r="K19" i="1"/>
  <c r="I19" i="1"/>
  <c r="G19" i="1"/>
  <c r="E19" i="1"/>
  <c r="P18" i="1"/>
  <c r="N18" i="1"/>
  <c r="K18" i="1"/>
  <c r="I18" i="1"/>
  <c r="G18" i="1"/>
  <c r="E18" i="1"/>
  <c r="P17" i="1"/>
  <c r="N17" i="1"/>
  <c r="K17" i="1"/>
  <c r="I17" i="1"/>
  <c r="G17" i="1"/>
  <c r="E17" i="1"/>
  <c r="P16" i="1"/>
  <c r="N16" i="1"/>
  <c r="K16" i="1"/>
  <c r="I16" i="1"/>
  <c r="G16" i="1"/>
  <c r="E16" i="1"/>
  <c r="P15" i="1"/>
  <c r="AB11" i="1" s="1"/>
  <c r="N15" i="1"/>
  <c r="K15" i="1"/>
  <c r="I15" i="1"/>
  <c r="G15" i="1"/>
  <c r="E15" i="1"/>
  <c r="P14" i="1"/>
  <c r="N14" i="1"/>
  <c r="K14" i="1"/>
  <c r="I14" i="1"/>
  <c r="G14" i="1"/>
  <c r="E14" i="1"/>
  <c r="P13" i="1"/>
  <c r="N13" i="1"/>
  <c r="K13" i="1"/>
  <c r="I13" i="1"/>
  <c r="G13" i="1"/>
  <c r="E13" i="1"/>
  <c r="P12" i="1"/>
  <c r="N12" i="1"/>
  <c r="K12" i="1"/>
  <c r="I12" i="1"/>
  <c r="G12" i="1"/>
  <c r="E12" i="1"/>
  <c r="Z11" i="1"/>
  <c r="Y11" i="1"/>
  <c r="X11" i="1"/>
  <c r="W11" i="1"/>
  <c r="P11" i="1"/>
  <c r="N11" i="1"/>
  <c r="AA11" i="1" s="1"/>
  <c r="K11" i="1"/>
  <c r="I11" i="1"/>
  <c r="G11" i="1"/>
  <c r="E11" i="1"/>
  <c r="P10" i="1"/>
  <c r="N10" i="1"/>
  <c r="K10" i="1"/>
  <c r="I10" i="1"/>
  <c r="G10" i="1"/>
  <c r="E10" i="1"/>
  <c r="P9" i="1"/>
  <c r="N9" i="1"/>
  <c r="K9" i="1"/>
  <c r="I9" i="1"/>
  <c r="G9" i="1"/>
  <c r="E9" i="1"/>
  <c r="P8" i="1"/>
  <c r="N8" i="1"/>
  <c r="K8" i="1"/>
  <c r="I8" i="1"/>
  <c r="G8" i="1"/>
  <c r="E8" i="1"/>
  <c r="P7" i="1"/>
  <c r="N7" i="1"/>
  <c r="K7" i="1"/>
  <c r="I7" i="1"/>
  <c r="G7" i="1"/>
  <c r="E7" i="1"/>
  <c r="P6" i="1"/>
  <c r="N6" i="1"/>
  <c r="K6" i="1"/>
  <c r="I6" i="1"/>
  <c r="G6" i="1"/>
  <c r="E6" i="1"/>
  <c r="P5" i="1"/>
  <c r="N5" i="1"/>
  <c r="K5" i="1"/>
  <c r="I5" i="1"/>
  <c r="G5" i="1"/>
  <c r="E5" i="1"/>
  <c r="P4" i="1"/>
  <c r="AB3" i="1" s="1"/>
  <c r="N4" i="1"/>
  <c r="K4" i="1"/>
  <c r="I4" i="1"/>
  <c r="G4" i="1"/>
  <c r="E4" i="1"/>
  <c r="AA3" i="1"/>
  <c r="Z3" i="1"/>
  <c r="Z194" i="1" s="1"/>
  <c r="Y3" i="1"/>
  <c r="Y194" i="1" s="1"/>
  <c r="X3" i="1"/>
  <c r="W3" i="1"/>
  <c r="P3" i="1"/>
  <c r="N3" i="1"/>
  <c r="K3" i="1"/>
  <c r="I3" i="1"/>
  <c r="G3" i="1"/>
  <c r="E3" i="1"/>
  <c r="AA194" i="1" l="1"/>
  <c r="AB194" i="1"/>
</calcChain>
</file>

<file path=xl/sharedStrings.xml><?xml version="1.0" encoding="utf-8"?>
<sst xmlns="http://schemas.openxmlformats.org/spreadsheetml/2006/main" count="1621" uniqueCount="1146">
  <si>
    <t>PlotLine</t>
  </si>
  <si>
    <t>Insider One</t>
  </si>
  <si>
    <t>WebEngage</t>
  </si>
  <si>
    <t>MoEngage</t>
  </si>
  <si>
    <t>Adobe - Old Stack</t>
  </si>
  <si>
    <t>Adobe - New Stack</t>
  </si>
  <si>
    <t>Remarks</t>
  </si>
  <si>
    <t>Final Score</t>
  </si>
  <si>
    <t>S. No.</t>
  </si>
  <si>
    <t>Evaluation Area</t>
  </si>
  <si>
    <t>Functional Requirement</t>
  </si>
  <si>
    <t>Overall IndiGo Weight</t>
  </si>
  <si>
    <t>Self Rating</t>
  </si>
  <si>
    <t>IndiGo Score</t>
  </si>
  <si>
    <t>Plotline
Comment</t>
  </si>
  <si>
    <t>InsiderOne
Comment</t>
  </si>
  <si>
    <t>WebEngage
Comment</t>
  </si>
  <si>
    <t>MoEngage
Comment</t>
  </si>
  <si>
    <t>Adobe Comments - Old Stack</t>
  </si>
  <si>
    <t>Adobe Comments - New Stack</t>
  </si>
  <si>
    <t>Plotline</t>
  </si>
  <si>
    <t xml:space="preserve">InsiderOne
</t>
  </si>
  <si>
    <t xml:space="preserve">WebEngage
</t>
  </si>
  <si>
    <t xml:space="preserve">MoEngage
</t>
  </si>
  <si>
    <t>Booking Funnel Optimization &amp; Conversion</t>
  </si>
  <si>
    <t>1.1.   Ability to run experimentation across Search, Flight Selection, Passenger Details, Ancillary Selection and Seat Selection journeys.</t>
  </si>
  <si>
    <t>C</t>
  </si>
  <si>
    <t>The capability was briefly covered during the demo; however, the explanation lacked sufficient detail, and some of the questions raised were not addressed satisfactorily. While the requirement appears to be partially met.</t>
  </si>
  <si>
    <t>As demonstrated in demo, experimentation across the booking journey was covered in the product walkthrough. Insider supports controlled A/B and multivariate experiments across all five booking stages, provided page and event instrumentation is available. This is a strong fit, though embedded reservation-system components will require coordinated implementation with IndiGo.</t>
  </si>
  <si>
    <t>As discussed in demo, experimentation across the booking journey was covered in the product walkthrough. WebEngage supports real-time funnel analytics, journey triggers, profile/context segmentation and A/B testing across web and mobile app. Booking-stage instrumentation and Navitaire data access are key dependencies.</t>
  </si>
  <si>
    <t>Booking-engine-owned screens only permit designated content zones; underlying booking logic is explicitly excluded.</t>
  </si>
  <si>
    <t>Adobe Target Premium runs A/B, multivariate and experience-targeting tests across Search, Flight Selection, Passenger Details, Ancillary and Seat Selection on web, native apps and server-side, so one testing engine covers every booking step. IndiGo's existing Target implementation already delivers this.</t>
  </si>
  <si>
    <t>Adobe Experience Platform (AEP) lets marketers run A/B tests, multivariate tests and targeted experiences across Search, Flight Selection, Passenger Details, Ancillaries and Seat Selection. Tests can run on the website (including single-page apps), in native mobile apps and server-side. IndiGo's existing Adobe personalization setup carries forward.</t>
  </si>
  <si>
    <t>1.2.   Ability to identify customer drop-off points and optimize progression through the booking funnel.Ability to personalize booking experiences based on customer profile, travel context and behavioral signals.</t>
  </si>
  <si>
    <t>Funnel Analytics identifies leakage across search, selection, passenger, ancillary and seat steps; audiences can then trigger contextual interventions and tests. Accuracy depends on complete airline event mapping.</t>
  </si>
  <si>
    <t>Personalization is explained, but no specific funnel drop-off diagnostic or step-level optimization method is supplied.</t>
  </si>
  <si>
    <t>Drop-off found in Adobe Analytics is acted on directly in Adobe Target, because the two share segments and metrics through A4T.</t>
  </si>
  <si>
    <t>AEP shows marketers where customers drop off in the booking funnel and lets them act on it straight away, on the same platform. Personalized experiences draw on the customer's profile, travel context and behavior, and are delivered in real time as the customer browses.</t>
  </si>
  <si>
    <t>1.3.   Ability to differentiate experiences for first-time visitors, returning customers and logged-in customers.</t>
  </si>
  <si>
    <t>Visiting Behavior and User Rules distinguish new, returning and logged-in customers for separate experiences. Anonymous-to-known profile stitching should be validated against IndiGo identity keys.</t>
  </si>
  <si>
    <t>Audiences separate first-time, returning and logged-in visitors using visitor profile and authenticated-state parameters.</t>
  </si>
  <si>
    <t>Marketers can build a separate audience for first-time visitors, returning visitors and logged-in customers, so each group sees a different experience.</t>
  </si>
  <si>
    <t>1.4.   Ability to optimize booking journeys for conversion, revenue and customer experience.</t>
  </si>
  <si>
    <t>Funnel analytics, onsite personalization, recommendations and A/B/n testing provide a strong conversion-optimization loop with revenue attribution. Core pricing and inventory logic remains outside Insider.</t>
  </si>
  <si>
    <t>Changes to reservation-owned screens require IndiGo to implement API payloads; prefilled Passenger Details is illustrative, not demonstrated.</t>
  </si>
  <si>
    <t>Experiences are optimized for conversion, revenue per visitor or custom goals, and Auto-Allocate and Auto-Target can optimize automatically against the chosen goal.</t>
  </si>
  <si>
    <t>Marketers choose what to optimize for: conversion, revenue per visitor or a custom goal. AEP's Auto-Allocate and Auto-Target then use machine learning to steer experiences toward that goal automatically.</t>
  </si>
  <si>
    <t>1.5.   Ability to personalize experiences using travel intent, route, booking window, trip duration and travel dates.</t>
  </si>
  <si>
    <t>Route, dates, booking window and trip duration can drive segments, dynamic content and timed journeys. The platform activates these signals effectively once supplied through search and booking events.</t>
  </si>
  <si>
    <t>Route and booking-window targeting explained; explicit trip-duration and travel-date handling not evidenced.</t>
  </si>
  <si>
    <t>Route, booking window, trip duration and dates are passed as parameters and used in audiences, recommendations and Automated Personalization.</t>
  </si>
  <si>
    <t>Route, booking window, trip duration and travel dates can all be used to build audiences and shape experiences. The same details also feed AEP's Recommendations and Automated Personalization.</t>
  </si>
  <si>
    <t>1.6.   Ability to test alternative layouts, messaging, content, pricing presentation and call-to-action treatments.</t>
  </si>
  <si>
    <t>The no-code editor can test layouts, messages, CTAs, recommendation placements, bundles and price presentation. Actual fares and inventory continue to be governed by IndiGo systems.</t>
  </si>
  <si>
    <t>Content and experiment variants are supported, but the no-code visual marker is roadmap; complex layout changes may need technical implementation.</t>
  </si>
  <si>
    <t>Visual variation testing described, but checkout pricing presentation remains subject to booking-engine rendering controls.</t>
  </si>
  <si>
    <t>Layouts, messaging, content, price-presentation and CTA treatments are tested through the visual composer. Fares remain sourced from IndiGo's pricing engine.</t>
  </si>
  <si>
    <t>Marketers can test layouts, messaging, content, price presentation and call-to-action treatments in AEP's point-and-click visual composer. Fares continue to come from IndiGo's pricing engine.</t>
  </si>
  <si>
    <t>1.7.   Ability to optimize customer progression across the booking funnel through contextual interventions and recommendations.</t>
  </si>
  <si>
    <t>Onsite nudges, banners, overlays and Smart Recommender can intervene by funnel stage and behavior. Airline-specific recommendation quality depends on catalog and event quality.</t>
  </si>
  <si>
    <t>WebEngage supports real-time funnel analytics, journey triggers, profile/context segmentation and A/B testing across web and mobile app. Booking-stage instrumentation and Navitaire data access are key dependencies.</t>
  </si>
  <si>
    <t>Contextual interventions and recommendations are delivered on web and in app, triggered by behaviour in the booking flow.</t>
  </si>
  <si>
    <t>AEP delivers contextual nudges and recommendations on the website and in the mobile app, triggered by what the customer does in the booking flow.</t>
  </si>
  <si>
    <t>1.8.   Ability to personalize booking journeys based on customer value, loyalty status and prior booking history.</t>
  </si>
  <si>
    <t>Unified CRM, loyalty and booking attributes support value-, tier- and history-based journey personalization. BluChip synchronization and identity resolution are key prerequisites.</t>
  </si>
  <si>
    <t>Customer value, loyalty status and booking history are delivered through customer attributes and profile APIs, refreshed on IndiGo's chosen schedule. Real-time loyalty updates use the profile update API.</t>
  </si>
  <si>
    <t>A customer's value, loyalty status and booking history live in AEP's single customer profile and are available instantly for personalization.</t>
  </si>
  <si>
    <t>Customer Segmentation</t>
  </si>
  <si>
    <t>2.1.   Ability to create audiences using behavioral, transactional, loyalty and profile attributes.</t>
  </si>
  <si>
    <t>The capability was touched upon during the demo, but it was not covered enough detail for us to fully assess its effectiveness. Based on the information provided, the requirement is considered partially met.</t>
  </si>
  <si>
    <t>As demonstrated in demo, customer segmentation and audience creation was covered in the product walkthrough. Insider provides broad real-time segmentation across behavioral, transactional, loyalty and profile data, with extensive traits, predictive attributes and cross-channel activation. This exceeds the core requirement.</t>
  </si>
  <si>
    <t>As discussed in demo, customer segmentation and audience creation was covered in the product walkthrough. CDPx natively unifies events and custom relational entities such as User, Loyalty, PNR/Booking and Ancillary, directly supporting this requirement.</t>
  </si>
  <si>
    <t>As demonstrated during the MoEngage demo, customer segmentation and audience creation was covered in the product walkthrough. The no-code segment builder combines event, transaction, loyalty and profile attributes using nested logic. MoEngage claims near-real-time evaluation, subject to ingestion latency and profile-quality controls.</t>
  </si>
  <si>
    <t>Audiences use Adobe Analytics segments, Target profile data and imported customer attributes. A single unified profile across all channels is the natural next step.</t>
  </si>
  <si>
    <t>Marketers build audiences from behavioral, transactional, loyalty and profile data. The same audiences work across personalization, journeys and analytics, so each segment has one definition everywhere.</t>
  </si>
  <si>
    <t>·     Ability to create run time cohorts/segments, for example:</t>
  </si>
  <si>
    <t>Runtime cohorts can be created efficiently and better way from demographic, transaction, loyalty, intent, affinity and predictive signals, with strong suggested airline cohorts such as business travellers, tier-upgrade candidates and ancillary seekers.</t>
  </si>
  <si>
    <t>Can create run time cohorts/segments but found less attributes than Insider One</t>
  </si>
  <si>
    <t>Not covered enough detail for us to fully assess its effectiveness</t>
  </si>
  <si>
    <t>Audiences are evaluated at request time, so cohorts update as behaviour changes.</t>
  </si>
  <si>
    <t>Run-time cohorts are real-time streaming/Edge audiences. Customers move in and out of them automatically as their behavior changes.</t>
  </si>
  <si>
    <t xml:space="preserve">·     Family &amp; Friends </t>
  </si>
  <si>
    <t>Defined by passenger count, children or infants and group bookings, passed as parameters at runtime.</t>
  </si>
  <si>
    <t>Built from passenger count, children or infants on the booking, and group bookings under one PNR.</t>
  </si>
  <si>
    <t>·     Senior Citizens</t>
  </si>
  <si>
    <t>Defined by age or senior-fare indicator.</t>
  </si>
  <si>
    <t>Built from the customer's age or a senior-fare flag on the booking.</t>
  </si>
  <si>
    <t>·     More which IndiGo can come out in the future. Vendors are requested to suggest more such cohorts which IndiGo does not have currently.</t>
  </si>
  <si>
    <t>Suggested cohorts: group and religious-travel bookers, visiting-friends-and-relatives travellers, students, solo and women travellers, MSME and corporate travellers, last-minute flyers, early planners, deal-seekers, frequent same-route travellers, weekend-getaway travellers, premium-cabin upgraders and lapsed customers.</t>
  </si>
  <si>
    <t>Suggested additional cohorts: group and religious-travel bookers, travelers visiting friends and relatives, students, solo and women travelers, MSME and corporate travelers, last-minute flyers, early planners, deal-seekers, frequent same-route travelers, weekend-getaway travelers, premium-cabin upgraders and lapsed customers.</t>
  </si>
  <si>
    <t>2.2.   Ability to identify anonymous, logged in and loyalty registered customer.</t>
  </si>
  <si>
    <t>Anonymous and logged-in visitors are separated by identity state, and loyalty status comes through customer attributes.</t>
  </si>
  <si>
    <t>AEP tells these customers apart by the identifier collected for each: a cookie ID for anonymous visitors, and a login or loyalty ID for known and loyalty-registered customers.</t>
  </si>
  <si>
    <t>2.3.   Ability to build customer profiles using booking, ancillary and engagement behaviour.</t>
  </si>
  <si>
    <t>Target builds visitor profiles from on-site and in-app behaviour, and booking and ancillary history comes in through customer attributes and the profile API.</t>
  </si>
  <si>
    <t>AEP builds each customer profile automatically from booking, ancillary and engagement activity.</t>
  </si>
  <si>
    <t>2.4.   Ability to create predictive audiences such as:</t>
  </si>
  <si>
    <t>PC</t>
  </si>
  <si>
    <t>Does not natively calculate propensity, LTV or predictive audience scores. It can consume externally generated scores from IndiGo/CDP and use them for real-time targeting, so this is only partially met.</t>
  </si>
  <si>
    <t>Likelihood to Purchase is native, but ancillary, LTV and loyalty propensity may require Call an Agent, imported scores or configured models. The requirement is met unevenly across the requested predictions.</t>
  </si>
  <si>
    <t xml:space="preserve">Predictive segments and propensity modelling are described, including booking-intent decay and ancillary propensity. </t>
  </si>
  <si>
    <t>Response repeats anonymous/logged-in identity resolution from 2.2, without establishing predictive audiences for booking, ancillary propensity, LTV or loyalty engagement. As written, the submitted explanation does not address this requirement.</t>
  </si>
  <si>
    <t>Auto-Target and Automated Personalization learn likelihood to convert for each visitor. Explicit predictive audiences would use scores from IndiGo's data-science platform.</t>
  </si>
  <si>
    <t>AI-generated propensity scores are stored on the customer profile. Marketers use them to create predictive audiences and activate them across channels.</t>
  </si>
  <si>
    <t xml:space="preserve">·     High propensity to book </t>
  </si>
  <si>
    <t>The vendor provided a high-level overview of the capability during the demo. However, the limited walkthrough and lack of clear responses to follow-up questions made it difficult to fully validate the solution against the requirement. </t>
  </si>
  <si>
    <t>Auto-Target models learn propensity to book implicitly for each experience. Explicit scores come from a customer-owned model.</t>
  </si>
  <si>
    <t>Customers most likely to book, scored by an AI conversion model.</t>
  </si>
  <si>
    <t xml:space="preserve">·     High ancillary propensity </t>
  </si>
  <si>
    <t>The same approach, with ancillary purchase as the goal.</t>
  </si>
  <si>
    <t>Customers most likely to buy ancillaries, scored by an AI model that learns from past ancillary purchases.</t>
  </si>
  <si>
    <t xml:space="preserve">·     High lifetime value customers </t>
  </si>
  <si>
    <t>High-lifetime-value audiences are built from imported revenue and frequency attributes.</t>
  </si>
  <si>
    <t>Built from revenue and booking-frequency rules, plus a predicted lifetime value score from AEP's machine learning models.</t>
  </si>
  <si>
    <t xml:space="preserve">·     High loyalty engagement customers </t>
  </si>
  <si>
    <t>Rule-based audiences on loyalty activity, using imported loyalty attributes.</t>
  </si>
  <si>
    <t>Rule-based audiences built on loyalty activity, tier progress and points earned or redeemed.</t>
  </si>
  <si>
    <t>2.5.   Ability to create audiences using real-time customer behaviour and historical customer data.</t>
  </si>
  <si>
    <t>In-session behavior qualifies audiences in real time; historical targeting is supported through ingested profile attributes and events. API-ingested updates may take up to 15 minutes to qualify.</t>
  </si>
  <si>
    <t>Standard and Custom segments combine live session activity with historical bookings and engagement. External-score freshness depends on the selected integration pattern.</t>
  </si>
  <si>
    <t>The architecture combines sub-second real-time event processing with historical profile and transaction ingestion through APIs, streaming and batch feeds.</t>
  </si>
  <si>
    <t>Audiences combine on-site behaviour in real time with imported historical attributes.</t>
  </si>
  <si>
    <t>Audiences combine live behavior with historical data. Some update the moment a customer acts and others refresh on a schedule.</t>
  </si>
  <si>
    <t>Personalization Engine</t>
  </si>
  <si>
    <t>3.1    Ability to personalize content, offers and experiences at an individual customer level.</t>
  </si>
  <si>
    <t>Although the capability was stated in the technical document, the vendor did not explain or demonstrate it during the session. The written reference alone was not sufficient to establish that the proposed solution meets the requirement. </t>
  </si>
  <si>
    <t>As demonstrated in demo, individual-level personalization was covered in the product walkthrough. Unified profiles, predictive attributes, dynamic content and recommendations support meaningful 1:1 personalization. Native offer creation is not included and requires an external offer source.</t>
  </si>
  <si>
    <t>As discussed in demo, individual-level personalization was covered in the product walkthrough. Individual-level personalization can use the unified profile, real-time behavior, custom airline entities and business rules. Advanced agentic personalization remains partly roadmap.</t>
  </si>
  <si>
    <t>As demonstrated during the MoEngage demo, individual-level personalization was covered in the product walkthrough. Dynamic attributes, recommendations and server/client-side Personalize enable individual-level content. True per-user reinforcement learning relies on the Aampe capability and should be validated for contractual availability.</t>
  </si>
  <si>
    <t>Auto-Target and Automated Personalization deliver individual-level personalization with machine learning, and Recommendations personalizes items per visitor. One decisioning engine covers web, app and server-side.</t>
  </si>
  <si>
    <t>AEP's Auto-Target, Automated Personalization &amp; Content Cards choose the best experience for each individual using the single customer profile, while Recommendations personalize the items each customer sees.</t>
  </si>
  <si>
    <t>3.2    Ability to personalize homepage, search, booking and post-booking experiences.</t>
  </si>
  <si>
    <t>Can Personalize but complex changes depend on stable selectors and complete journey instrumentation.</t>
  </si>
  <si>
    <t>Web Personalization, Smart Recommender and Architect support coordinated homepage, booking and post-booking experiences. Search and core booking logic require careful integration.</t>
  </si>
  <si>
    <t>Individual-level personalization can use the unified profile, real-time behavior, custom airline entities and business rules. Advanced agentic personalization remains partly roadmap.</t>
  </si>
  <si>
    <t>Website personalization described; native-app changes use server-side integration and booking/post-booking use cases are illustrative.</t>
  </si>
  <si>
    <t>Homepage, search, booking and post-booking experiences are personalized across web and app.</t>
  </si>
  <si>
    <t>Homepage, search, booking and post-booking experiences can all be personalized across the website and mobile app.</t>
  </si>
  <si>
    <t>3.3    Ability to personalize flight ranking and sorting.</t>
  </si>
  <si>
    <t>Insider marks this partially compliant. Eureka can boost and sort catalog results, but airline fares vary dynamically by date and the platform does not fully own IndiGo flight-search ranking.</t>
  </si>
  <si>
    <t>The platform can consume route, fare and profile signals, but native flight-ranking algorithms and inventory-aware sorting are not substantiated. IndiGo's requirement is met</t>
  </si>
  <si>
    <t>MoEngage provides a sort parameter only; IndiGo booking engine must implement actual ranking/sorting.</t>
  </si>
  <si>
    <t>Ranking and sort decisions can return to IndiGo's search and front-end layer, which applies them to flight results.</t>
  </si>
  <si>
    <t>AEP returns a personalized ranking or sort decision in real time. IndiGo's search and front-end layer applies it to the flight results.</t>
  </si>
  <si>
    <t>3.4    Ability to personalize ancillary recommendations.</t>
  </si>
  <si>
    <t>As demonstrated in demo, ancillary recommendations was covered in the product walkthrough. Insider supports ancillary recommendations through Smart Recommender and custom onsite/channel implementations, but the response is partially compliant rather than fully out of the box for airline ancillaries. Better use case examples</t>
  </si>
  <si>
    <t>As discussed in demo, ancillary propensity scoring and cross-sell/upsell decisioning are proposed as immediate use cases. Structured catalog depth and algorithm controls should be demonstrated.</t>
  </si>
  <si>
    <t>As demonstrated during the demo, ancillary recommendations was covered in the product walkthrough. Structured catalogs and recommended, similar, frequently viewed/bought-together models can personalize ancillary suggestions. Airline-specific model quality depends on catalog design, event mapping and sufficient conversion history.</t>
  </si>
  <si>
    <t>Product Recommendations and Automated Personalization suggest ancillaries by route, traveller and behaviour.</t>
  </si>
  <si>
    <t>AEP powered recommendations and Automated Personalization suggest ancillaries based on route, traveler and behavior.</t>
  </si>
  <si>
    <t>3.5    Ability to personalize experiences using route, trip type, customer value and travel history.</t>
  </si>
  <si>
    <t>Route, trip type, value and history can drive targeting once supplied as customer or booking attributes. Plotline applies the rules but does not originate these business signals.</t>
  </si>
  <si>
    <t>Route affinity, trip type, predicted value and travel history can personalize experiences using unified profiles and travel-specific recommender strategies. IndiGo's requirement is met</t>
  </si>
  <si>
    <t>Route, trip type, RFM/customer value and travel history can be combined for targeting and decisioning. Data must be captured consistently across search and booking events.</t>
  </si>
  <si>
    <t>Route, trip type, customer value and travel history are available as decision attributes.</t>
  </si>
  <si>
    <t>Route, trip type, customer value and travel history are all available to decide what each customer sees.</t>
  </si>
  <si>
    <t>3.6    Ability to recommend next-best-offer(Fare movement from Saver – flexi – Upfront – Stretch) to cross-sell and upsell opportunities.</t>
  </si>
  <si>
    <t>Insider explicitly marked fare-family next-best-offer as non-compliant because it is not an offer-management tool. IndiGo would need an external offer source and decision integration. IndiGo's requirement is met</t>
  </si>
  <si>
    <t>Fare-ladder next-best-offer across Saver, Flexi, Upfront and Stretch is explicitly proposed using booking context, route and purchase history. Production proof and inventory integration need validation.</t>
  </si>
  <si>
    <t>Offerings and Decision Policies can rank fare-family upsells using priority, performance or weighted formulas. The approach is credible, but pricing eligibility and final fare fulfillment remain in IndiGo systems.</t>
  </si>
  <si>
    <t>Automated Personalization and Recommendations select the fare-family upgrade offer for each visitor. Fares remain with IndiGo.</t>
  </si>
  <si>
    <t>AEP chooses the next fare-family upgrade to offer each customer, for example from Saver to Flexi and on to higher fare families. Automated Personalization and Recommendations make the choice, guided by propensity scores. Fare prices stay with IndiGo.</t>
  </si>
  <si>
    <t>3.7    Ability to combine business rules with automated decisioning.</t>
  </si>
  <si>
    <t>Business rules, segment eligibility and automated traffic switching are supported. Automation is experiment-led; broader ML decisioning and multi-objective optimization are not native.</t>
  </si>
  <si>
    <t>Eligibility, consent, frequency, priority and margin rules can constrain automated selection, with decision logs and reason codes. This provides strong governed decisioning.IndiGo's requirement is met</t>
  </si>
  <si>
    <t>Full requirement needs confirmation against described capabilities and dependencies.</t>
  </si>
  <si>
    <t>Targeting rules, inclusion and exclusion rules and audience eligibility combine business rules with automated decisioning.</t>
  </si>
  <si>
    <t>Marketers set targeting rules, inclusion and exclusion rules and audience eligibility. These rules work alongside automated decisions, so the business stays in control.</t>
  </si>
  <si>
    <t>3.8    Ability to personalize content and offers based on customer lifecycle stage.</t>
  </si>
  <si>
    <t>Customer Lifecycle Status and journey conditions support lifecycle-based personalization; actual offer content must come from IndiGo or another offer system.IndiGo's requirement is met</t>
  </si>
  <si>
    <t>Lifecycle eligibility can be configured from profile and behavioral rules and used in Personalize and Offer Decisioning. Lifecycle definitions must be agreed and maintained with IndiGo.</t>
  </si>
  <si>
    <t>Lifecycle-stage attributes drive audiences once provided through customer attributes.</t>
  </si>
  <si>
    <t>Lifecycle stage is stored on the customer profile and used to build audiences and drive personalization.</t>
  </si>
  <si>
    <t>3.9    Ability to personalize experiences using real-time and historical behavioral signals.</t>
  </si>
  <si>
    <t>Live session behavior and historical profile data are jointly available for content selection, recommendations and journey routing.IndiGo's requirement is met</t>
  </si>
  <si>
    <t>In-session activity and prior behavior are available to both client- and server-side personalization. Event freshness and profile stitching determine actual real-time quality.</t>
  </si>
  <si>
    <t>Real-time on-site behaviour combines with imported historical attributes.</t>
  </si>
  <si>
    <t>AEP combines real-time behavior with historical profile data at the moment it decides what to show.</t>
  </si>
  <si>
    <t>3.10 Ability to personalize basis cabin config, aircraft types etc</t>
  </si>
  <si>
    <t>Cabin, aircraft, fare-family and seat attributes can influence rules and recommendations when supplied as events or catalog metadata. Operational data remains an IndiGo dependency.IndiGo's requirement is met</t>
  </si>
  <si>
    <t>Recommendation catalog described; availability of aircraft/cabin configuration inputs and operational validation not evidenced.</t>
  </si>
  <si>
    <t>Cabin configuration and aircraft type are passed from IndiGo's booking systems as parameters or catalogue attributes.</t>
  </si>
  <si>
    <t>Cabin configuration and aircraft type can come from IndiGo's booking and inventory systems and are passed to AEP as parameters or catalog attributes and can be used for personalization.</t>
  </si>
  <si>
    <t xml:space="preserve">3.11 Ability to support Recommendations at scale for products, ancillaries, bundles, content, destinations, partner offers, and other structured items maintained in a recommendation catalog. The platform must support: </t>
  </si>
  <si>
    <t>As demonstrated in demo, the recommendation engine and structured recommendation use cases was covered in the product walkthrough. Smart Recommender supports airline fare, destination and ancillary cases, but the response is partially compliant and some use cases require customization.IndiGo's requirement is met</t>
  </si>
  <si>
    <t>As discussed in demo, the recommendation engine and structured recommendation use cases was covered in the product walkthrough. The proposal supports custom entities and contextual decisioning, but does not evidence a current structured recommendation catalog with item metadata, catalog governance and scalable candidate management.</t>
  </si>
  <si>
    <t>As demonstrated during the demo, the recommendation engine and structured recommendation use cases was covered in the product walkthrough. MoEngage provides structured catalogs, rule-based models and ML recommendations across products, content and travel items. Production throughput, catalog freshness and airline-scale ranking quality should be proven in performance testing.</t>
  </si>
  <si>
    <t>Recommendations serve products, ancillaries, bundles, content, destinations and partner offers from a catalogue ingested by feed or API.</t>
  </si>
  <si>
    <t>AEP Recommendations can serve products, ancillaries, bundles, content, destinations and partner offers from a catalog loaded.</t>
  </si>
  <si>
    <t>3.12 Recommendation catalogs with structured metadata: Store all items (products, content, offers, etc.) with clear details like category, price, tags, and relevance</t>
  </si>
  <si>
    <t>Structured catalogs support rich typed metadata for filtering and recommendations. Freshness and quality of rapidly changing airline inventory must be governed by IndiGo.IndiGo's requirement is met</t>
  </si>
  <si>
    <t>The proposal supports custom entities and contextual decisioning, but does not evidence a current structured recommendation catalog with item metadata, catalog governance and scalable candidate management.</t>
  </si>
  <si>
    <t>The Item Catalog supports structured metadata and can represent fares, ancillaries, content and destinations. Governance for rapidly changing fares and inventory needs validation.</t>
  </si>
  <si>
    <t>Catalogue items carry structured attributes such as category, price, tags and custom metadata.</t>
  </si>
  <si>
    <t>Each catalog item carries structured details such as category, price, tags and custom attributes.</t>
  </si>
  <si>
    <t>3.13 Ranking of the top-N items from large item sets: Pick and display the most relevant few options (e.g., top 3 or top 5) from a large pool of items</t>
  </si>
  <si>
    <t>Insider can rank and return configurable top-N items using multiple algorithms and slot-level strategies, meeting the requirement at scale.IndiGo's requirement is met</t>
  </si>
  <si>
    <t>No current top-N ranking engine over large item sets is substantiated. Fare-ladder NBO and propensity use cases are described, while the Personalization Agent remains roadmap.</t>
  </si>
  <si>
    <t>Auto-target governance or named subcapability requires further substantiation.</t>
  </si>
  <si>
    <t>Adobe Target Premium's popularity-based criteria rank a large catalogue by how often items are viewed or bought, then display only the top N (for example 3 or 5) in real time. Business users set N and can refine the pool with inclusion and exclusion rules such as route, cabin or inventory availability.</t>
  </si>
  <si>
    <t xml:space="preserve">AEP can rank large catalogs automatically and recommend only the top N items, for example the top 3 or top 5 basis the recommendation criteria. </t>
  </si>
  <si>
    <t>3.14 Recommendation of content, offers, and non-product items in addition to ancillaries: Recommend not just add-ons, but also content, offers, and other non-product items</t>
  </si>
  <si>
    <t>Content can be catalogued and recommended, but offer recommendation is not out of the box and non-product items have limitations in search. This partially meets the requirement.</t>
  </si>
  <si>
    <t>Catalogs are not limited to physical products and can carry content, offers and destinations. Relevance depends on metadata quality and mapped user actions.</t>
  </si>
  <si>
    <t>Any catalogue entity type, including content and offers, can be recommended.</t>
  </si>
  <si>
    <t>Any item type in the catalog, including content and offers, can be recommended basis the criteria, not just ancillaries.</t>
  </si>
  <si>
    <t>3.15 Real-time use of visitor affinity, browsing behavior, booking context, and profile context: Use live inputs like user preferences, browsing behavior, current booking details, user profile, etc to show relevant recommendations instantly</t>
  </si>
  <si>
    <t>Real-Time User Engagement, dynamic filters and historical affinity can drive immediate recommendations using current browsing and profile context.</t>
  </si>
  <si>
    <t>Affinity, browsing, booking context and profile attributes can influence real-time recommendations. Latency and freshness should be tested at IndiGo peak traffic.</t>
  </si>
  <si>
    <t>Visitor affinity, browsing behaviour and booking context can combine in real time.</t>
  </si>
  <si>
    <t>Recommendations combine live visitor interests, browsing behavior, current booking details and profile information to show relevant options instantly.</t>
  </si>
  <si>
    <t>Context-Aware UI Personalization</t>
  </si>
  <si>
    <t>4.1 Ability to dynamically personalize page layouts based on customer context.</t>
  </si>
  <si>
    <t>As showcased in demo, context-aware UI personalization was covered in the product walkthrough. The visual editor can restyle, hide, replace, duplicate or insert page elements by segment. Changes are SPA-aware, but robust QA is required for booking-page DOM changes.</t>
  </si>
  <si>
    <t>As demonstrated in demo, context-aware UI personalization was covered in the product walkthrough. The no-code editor can add, hide, reorder and reposition elements by context without blocking page paint, providing a strong UI-personalization capability.</t>
  </si>
  <si>
    <t>As discussed in demo, context-aware UI personalization was covered in the product walkthrough. Content personalization exists, but the point-and-click visual marker is roadmap. Dynamic structural rearrangement without engineering is not evidenced as a mature current capability.</t>
  </si>
  <si>
    <t>Client-side visual changes supported; deeper structural changes require API-delivered rendering in IndiGo application.</t>
  </si>
  <si>
    <t>Page layouts adapt to customer context through the visual composer, and native apps use JSON-based experiences, with no app release needed for content changes.</t>
  </si>
  <si>
    <t>Page layouts adapt to each customer through the visual composer and audience rules. Native apps use JSON-based experiences.</t>
  </si>
  <si>
    <t>4.2 Ability to modify page structure, content hierarchy and component placement based on user behaviour.</t>
  </si>
  <si>
    <t>Can modify content hierarchy and component placement without pre-created placeholders, with custom JS/CSS for advanced variants. Maintainability depends on selector stability after IndiGo releases.</t>
  </si>
  <si>
    <t>Content hierarchy and component placement can be changed and tested through the visual editor. Complex booking components still require technical QA. But this stood out of all partners</t>
  </si>
  <si>
    <t>Content personalization exists, but the point-and-click visual marker is roadmap. Dynamic structural rearrangement without engineering is not evidenced as a mature current capability.</t>
  </si>
  <si>
    <t>Repositioning components in booking-owned app screens depends on IndiGo front-end implementation.</t>
  </si>
  <si>
    <t>Structure, content hierarchy and component placement change by behaviour through visual and code-based experiences.</t>
  </si>
  <si>
    <t>Page structure, content order and component placement can change based on customer behavior, using both point-and-click and code-based experiences.</t>
  </si>
  <si>
    <t>4.3 Ability to personalize homepage modules, banners, widgets and navigation elements.</t>
  </si>
  <si>
    <t>Homepage modules, banners, widgets and navigation can be personalized directly on page or through Plotline widgets, with segment-level control and preview.</t>
  </si>
  <si>
    <t>Web and app personalization can deliver contextual content and in-app experiences, but the current no-code visual editing depth for arbitrary modules and navigation is not demonstrated.</t>
  </si>
  <si>
    <t>Banners, widgets, carousels, product grids and navigation elements can be changed by audience using the visual editor and reusable widgets.</t>
  </si>
  <si>
    <t>Homepage modules, banners, widgets and navigation are personalized.</t>
  </si>
  <si>
    <t>Homepage modules, banners, widgets and navigation elements can all be personalized.</t>
  </si>
  <si>
    <t>4.4 Ability to personalize search experiences based on customer intent and historical behaviour.</t>
  </si>
  <si>
    <t>Search-page content and overlays can be personalized using ingested intent and history signals. Plotline does not alter the underlying search or inventory-ranking engine.</t>
  </si>
  <si>
    <t>The vendor response states the airline search use case is not possible because catalog pricing supports one price per product and cannot represent date-dependent dynamic fares. This is a material gap.</t>
  </si>
  <si>
    <t>WebEngage showed strong support for personalize search experiences based on customer intent and historical behaviour.</t>
  </si>
  <si>
    <t>Search experiences can be tailored using current intent, profile and history; the underlying availability and search algorithm remain in IndiGo systems.</t>
  </si>
  <si>
    <t>Search suggestions, banners and ordering are personalized, with ranking decisions consumed by IndiGo's search layer.</t>
  </si>
  <si>
    <t>Search suggestions, banners and result ordering can be personalized. AEP passes the ranking decision to IndiGo's search layer, which applies it.</t>
  </si>
  <si>
    <t>4.5 Ability to personalize booking funnel UI based on traveller type.</t>
  </si>
  <si>
    <t>Traveller-type segments can drive differentiated booking-funnel layouts, widgets and messaging. Accurate classification depends on passenger and profile data supplied by IndiGo.</t>
  </si>
  <si>
    <t>Booking-funnel UI can be adapted using traveller-type segments and onsite rules, with business/family and loyalty examples.</t>
  </si>
  <si>
    <t>WebEngage provides a strong fit and can change and personalise on-page experiences with limited customisation. Delivery will still depend on clean IndiGo events, identifiers and source-system feeds.</t>
  </si>
  <si>
    <t>Booking-engine screens require IndiGo server-side API integration, not entirely no-code.</t>
  </si>
  <si>
    <t>Booking funnel UI varies by traveller-type audience.</t>
  </si>
  <si>
    <t>The look and content of the booking funnel can change by traveler-type audience.</t>
  </si>
  <si>
    <t>4.6 Ability to adapt experiences based on:</t>
  </si>
  <si>
    <t>Plotline supports adapt experiences based on. Implementation will depend on clean IndiGo data, complete event instrumentation and integration readiness.</t>
  </si>
  <si>
    <t>Insider One showed strong support for adapt experiences based on. The key IndiGo use case and operating controls should be validated during implementation.</t>
  </si>
  <si>
    <t>WebEngage showed strong support for adapt experiences based on. The key IndiGo use case and operating controls should be validated during implementation.</t>
  </si>
  <si>
    <t>MoEngage supports adapt experiences based on. Implementation will depend on clean IndiGo data, complete event instrumentation and integration readiness.</t>
  </si>
  <si>
    <t>Experiences adapt to the contextual attributes below.</t>
  </si>
  <si>
    <t>Experiences can adapt to each of the contexts listed below.</t>
  </si>
  <si>
    <t xml:space="preserve">· Route searched </t>
  </si>
  <si>
    <t>Route can be passed as a search-event attribute and used immediately for audience qualification, content variation and route-specific interventions.</t>
  </si>
  <si>
    <t>Insider One showed strong support for route searched. The key IndiGo use case and operating controls should be validated during implementation.</t>
  </si>
  <si>
    <t>WebEngage showed strong support for route searched. The key IndiGo use case and operating controls should be validated during implementation.</t>
  </si>
  <si>
    <t>Route attributes captured during search can trigger immediate personalization and downstream journey logic.</t>
  </si>
  <si>
    <t>Route searched is passed at runtime.</t>
  </si>
  <si>
    <t>The route searched is passed to AEP in real time as the customer searches and can be used to personalise experiences.</t>
  </si>
  <si>
    <t xml:space="preserve">·  Travel purpose </t>
  </si>
  <si>
    <t>can be used when declared or externally inferred and passed as an attribute. Plotline does not natively infer business versus leisure intent.</t>
  </si>
  <si>
    <t>Showed strong support</t>
  </si>
  <si>
    <t>WebEngage showed strong support for travel purpose. The key IndiGo use case and operating controls should be validated during implementation.</t>
  </si>
  <si>
    <t>can drive personalization when declared or modeled, but the response does not substantiate a native, airline-specific purpose-inference model.</t>
  </si>
  <si>
    <t>Travel purpose is inferred from booking patterns, or supplied as an attribute.</t>
  </si>
  <si>
    <t>Travel purpose is not captured directly. AEP infers it from booking patterns or a predictive score, so it needs some setup. This canbe passed as an attribute to AEP as well.</t>
  </si>
  <si>
    <t xml:space="preserve">·  Device type </t>
  </si>
  <si>
    <t>Native device and platform conditions support differentiated web/app experiences and responsive variants.</t>
  </si>
  <si>
    <t>Insider One showed strong support for device type. The key IndiGo use case and operating controls should be validated during implementation.</t>
  </si>
  <si>
    <t>WebEngage showed strong support for device type. The key IndiGo use case and operating controls should be validated during implementation.</t>
  </si>
  <si>
    <t>Device, OS, browser and app context are available for targeting and responsive experience selection.</t>
  </si>
  <si>
    <t>Device type is a native targeting attribute.</t>
  </si>
  <si>
    <t>Device type is a built-in targeting option.</t>
  </si>
  <si>
    <t xml:space="preserve">·  Location </t>
  </si>
  <si>
    <t>Geo/context rules support location-based targeting; richer airport travel-time use cases require external location and mapping inputs.</t>
  </si>
  <si>
    <t>Insider One showed strong support for location. The key IndiGo use case and operating controls should be validated during implementation. Stood out from other 2 partners (Plotline &amp; MoEngage)</t>
  </si>
  <si>
    <t>WebEngage showed strong support for location. The key IndiGo use case and operating controls should be validated during implementation. Stood out from other 2 partners (Plotline &amp; MoEngage)</t>
  </si>
  <si>
    <t>Geofence conditions can trigger experiences, subject to customer permission and device accuracy.</t>
  </si>
  <si>
    <t>Geo-targeting by location is native.</t>
  </si>
  <si>
    <t>AEP detects location automatically, so no extra data is needed.</t>
  </si>
  <si>
    <t xml:space="preserve">·   Loyalty tier </t>
  </si>
  <si>
    <t>can be used directly in segments, journeys and experiments once synchronized from the loyalty platform.</t>
  </si>
  <si>
    <t>Insider provides a strong fit and can use loyalty data in targeting and journeys with limited customisation. Delivery will still depend on clean IndiGo events, identifiers and source-system feeds.</t>
  </si>
  <si>
    <t>WebEngage provides a strong fit and can use loyalty data in targeting and journeys with limited customisation. Delivery will still depend on clean IndiGo events, identifiers and source-system feeds.</t>
  </si>
  <si>
    <t>can be used directly in segmentation, content and decision policies after synchronization from BluChip.</t>
  </si>
  <si>
    <t>Loyalty tier is used as an audience attribute once supplied through customer attributes.</t>
  </si>
  <si>
    <t>Loyalty tier is stored on the customer profile and can be used for targeting.</t>
  </si>
  <si>
    <t xml:space="preserve">·  Customer value </t>
  </si>
  <si>
    <t>Customer-value attributes can control eligibility and premium treatments, but Plotline does not calculate LTV or value scores natively.</t>
  </si>
  <si>
    <t>Insider One showed strong support for customer value. The key IndiGo use case and operating controls should be validated during implementation.</t>
  </si>
  <si>
    <t>WebEngage showed strong support for customer value. The key IndiGo use case and operating controls should be validated during implementation.</t>
  </si>
  <si>
    <t>RFM, aggregation and computed traits can represent customer value; value definitions and monetary-event accuracy need IndiGo governance.</t>
  </si>
  <si>
    <t>Customer value is used as an audience attribute once supplied.</t>
  </si>
  <si>
    <t>Customer value is stored on the profile as an attribute or score.</t>
  </si>
  <si>
    <t>·  Booking history</t>
  </si>
  <si>
    <t>Prior-booking attributes and events can be used for targeting after ingestion from IndiGo/CDP; Plotline is not the system of record for booking history.</t>
  </si>
  <si>
    <t>Insider One showed strong support for booking history. The key IndiGo use case and operating controls should be validated during implementation.</t>
  </si>
  <si>
    <t>WebEngage showed strong support for booking history. The key IndiGo use case and operating controls should be validated during implementation.</t>
  </si>
  <si>
    <t>Historical bookings can influence audience rules, affinity and offer ranking once loaded into the unified profile.</t>
  </si>
  <si>
    <t>Booking history is used once supplied through customer attributes.</t>
  </si>
  <si>
    <t>Booking history is part of the single customer profile.</t>
  </si>
  <si>
    <t>4.7    Ability to personalize UI within an active session as customer intent evolves.</t>
  </si>
  <si>
    <t>In-session event triggers can requalify the user and adapt widgets or messaging as intent evolves, supporting real-time contextual intervention.</t>
  </si>
  <si>
    <t>Profiles, segments, content and recommendations can update during the same session as behavior changes, supporting responsive intent-led UI.</t>
  </si>
  <si>
    <t>WebEngage showed strong support for personalize UI within an active session as customer intent evolves. The key IndiGo use case and operating controls should be validated during implementation.</t>
  </si>
  <si>
    <t>In-session events and attributes can requalify users and update content within the same visit. Client-side flicker controls and API latency should be tested.</t>
  </si>
  <si>
    <t>Decisions refresh with every page or view call, so experiences evolve with intent in-session.</t>
  </si>
  <si>
    <t>The experience refreshes with every page or view, so what the customer sees keeps pace with their intent during the session.</t>
  </si>
  <si>
    <t>4.8    Ability to dynamically rearrange page components to maximize conversion and engagement.</t>
  </si>
  <si>
    <t>Components can be inserted, duplicated or reordered by segment and tested against conversion goals. Fully individualized ML-driven ordering is not native.</t>
  </si>
  <si>
    <t>Content Optimizer and Category Optimizer can reorder sliders, menus, categories and UI components by user behavior, supported by A/B testing. This is a differentiated strength.</t>
  </si>
  <si>
    <t>Rearrangement can be done within editable zones; changes to booking-engine-owned UI require integration.</t>
  </si>
  <si>
    <t>Auto-Target and Automated Personalization pick per-visitor experiences, rearranging components for conversion.</t>
  </si>
  <si>
    <t>Auto-Target and Automated Personalization within AEP can choose the best experience for each visitor, which can include rearranging page components to lift conversion.</t>
  </si>
  <si>
    <t xml:space="preserve">4.9    Ability to optimize multi-page or multi-component experiences as a single experience model, including interaction effects between multiple changes across a journey. The platform must support combining changes across components or pages and optimizing them as a holistic experience rather than as isolated placements only. </t>
  </si>
  <si>
    <t>A coordinated variant can span up to five pages and report as one experiment. Formal interaction-effect modeling across component changes is not available.</t>
  </si>
  <si>
    <t>Insider coordinates multi-page experiences through combined onsite campaigns and Architect, but not as one fully native holistic experience model with interaction-effect optimization.</t>
  </si>
  <si>
    <t>Journey orchestration can coordinate touchpoints, but current holistic optimization of multi-page/component interaction effects as one experience model is not clearly substantiated.</t>
  </si>
  <si>
    <t>Multi-page model and coordinated optimization not evidenced as a single native experience model.</t>
  </si>
  <si>
    <t>Multi-page and multi-component activities, multivariate testing of interaction effects and multi-location Automated Personalization optimize holistic experiences.</t>
  </si>
  <si>
    <t>Multi-page and multi-component tests can be built in one activity and reported as a single experience. Multivariate tests measure how changes on a page affect each other, and AEP picks the best combination of offers across several locations.</t>
  </si>
  <si>
    <t>AI-Powered Decisioning &amp; Optimization</t>
  </si>
  <si>
    <t>5.1    Ability to automatically identify high-performing experiences using AI/ML.</t>
  </si>
  <si>
    <t>As showcased in demo, AI-led optimization and decisioning was covered in the product walkthrough. Smart Switch identifies a better-performing variant using Bayesian allocation and significance thresholds. This is experiment optimization, not full AI-based experience selection.</t>
  </si>
  <si>
    <t>As demonstrated in demo, AI-led optimization and decisioning was covered in the product walkthrough. A/B Auto-Winner and AI-led optimization identify stronger variants and promote winners against configured goals.</t>
  </si>
  <si>
    <t>As discussed in demo, AI-led optimization and decisioning was covered in the product walkthrough. Current A/B testing supports significance-based winner identification. AI-led dynamic selection and traffic reallocation are roadmap, so this is meets requirement</t>
  </si>
  <si>
    <t>As demonstrated during the demo, AI-led optimization and decisioning was covered in the product walkthrough. Merlin AI applies dynamic traffic distribution toward better-performing variants using a selected goal. Statistical controls and minimum-data behavior should be validated.</t>
  </si>
  <si>
    <t>Auto-Target, Automated Personalization and Auto-Allocate use machine learning to identify high-performing experiences. Results come with statistically rigorous reporting.</t>
  </si>
  <si>
    <t>Auto-Target, Automated Personalization and Auto-Allocate use machine learning to find the experiences that perform best.</t>
  </si>
  <si>
    <t>5.2    Ability to dynamically allocate traffic toward winning variants.</t>
  </si>
  <si>
    <t>Smart Switch uses Thompson sampling to shift traffic as outcomes accrue and locks a winner at configured significance. Guardrail depth should be validated for high-risk booking changes.</t>
  </si>
  <si>
    <t>Multi-armed bandit and winner-selection mechanisms can shift traffic toward stronger paths, with marketer-controlled objectives and exploration.</t>
  </si>
  <si>
    <t>Dynamic traffic reallocation is the planned Auto-Allocate capability. Current fixed-horizon testing does not fully meet this requirement.</t>
  </si>
  <si>
    <t>Dynamic distribution reallocates traffic during the experiment. MoEngage describes Bayesian multi-armed-bandit logic, but guardrails for low-volume and high-risk tests require confirmation.</t>
  </si>
  <si>
    <t>Auto-Allocate shifts traffic toward winning variants during the test.</t>
  </si>
  <si>
    <t>Auto-Allocate shifts more traffic to the winning variant while the test is still running.</t>
  </si>
  <si>
    <t>5.3    Ability to deliver one-to-one personalization at customer level.</t>
  </si>
  <si>
    <t>Attribute-driven 1:1 variation is supported, but Plotline does not natively choose a unique experience per visitor using predictive models.</t>
  </si>
  <si>
    <t>Insider uses profiles, predictions, recommendations, channel and timing optimization for 1:1 experiences across major channels.</t>
  </si>
  <si>
    <t>WebEngage provides predictive and diagnostic intelligence, but several advanced AI optimization capabilities in this pillar are roadmap rather than current-state.</t>
  </si>
  <si>
    <t>MoEngage positions Aampe as persistent per-user agentic decisioning. Because this is a specialized capability beyond standard segmentation, contractual inclusion, maturity and airline production references should be validated.</t>
  </si>
  <si>
    <t>Auto-Target and Automated Personalization deliver one-to-one personalization.</t>
  </si>
  <si>
    <t>Auto-Target and Automated Personalization choose experiences for each individual visitor.</t>
  </si>
  <si>
    <t>5.4    Ability to predict customer propensity to:</t>
  </si>
  <si>
    <t>No native propensity models are supplied for booking, ancillary, upgrade, repeat purchase or loyalty enrolment. Plotline can only activate externally calculated scores.</t>
  </si>
  <si>
    <t>Custom Conversion Prediction and predictive segments support booking, ancillary, upgrade, repeat and loyalty outcomes, although model setup and evidence vary by outcome.</t>
  </si>
  <si>
    <t>Propensity modelling and booking-intent decay are part of the intelligence layer. Model accuracy, refresh cadence, explainability and airline-scale validation should be demonstrated.</t>
  </si>
  <si>
    <t>The capability was touched upon during the demo, but it was not covered in enough detail for us to fully assess its effectiveness.</t>
  </si>
  <si>
    <t>Auto-Target learns propensity implicitly per visitor. Explicit scores come from IndiGo's data-science platform.</t>
  </si>
  <si>
    <t>AI propensity models predict these behaviors and store the scores on the customer profile.</t>
  </si>
  <si>
    <t xml:space="preserve">·    Book </t>
  </si>
  <si>
    <t>Plotline supports book. Implementation will depend on clean IndiGo data, complete event instrumentation and integration readiness.</t>
  </si>
  <si>
    <t>Insider One showed strong support for book. The key IndiGo use case and operating controls should be validated during implementation.</t>
  </si>
  <si>
    <t>WebEngage supports book. Implementation will depend on clean IndiGo data, complete event instrumentation and integration readiness.</t>
  </si>
  <si>
    <t>MoEngage supports book. Implementation will depend on clean IndiGo data, complete event instrumentation and integration readiness.</t>
  </si>
  <si>
    <t>Propensity to book is learned implicitly for each visitor.</t>
  </si>
  <si>
    <t>Likelihood to book.</t>
  </si>
  <si>
    <t xml:space="preserve">·    Purchase ancillaries </t>
  </si>
  <si>
    <t>Plotline supports purchase ancillaries. Implementation will depend on clean IndiGo data, complete event instrumentation and integration readiness.</t>
  </si>
  <si>
    <t>Insider One showed strong support for purchase ancillaries. The key IndiGo use case and operating controls should be validated during implementation.</t>
  </si>
  <si>
    <t>WebEngage supports purchase ancillaries. Implementation will depend on clean IndiGo data, complete event instrumentation and integration readiness.</t>
  </si>
  <si>
    <t>MoEngage supports purchase ancillaries. Implementation will depend on clean IndiGo data, complete event instrumentation and integration readiness.</t>
  </si>
  <si>
    <t>Propensity to purchase ancillaries is learned implicitly.</t>
  </si>
  <si>
    <t>Likelihood to buy ancillaries.</t>
  </si>
  <si>
    <t xml:space="preserve">·    Upgrade </t>
  </si>
  <si>
    <t>Plotline supports upgrade. Implementation will depend on clean IndiGo data, complete event instrumentation and integration readiness.</t>
  </si>
  <si>
    <t>Insider One showed strong support for upgrade. The key IndiGo use case and operating controls should be validated during implementation.</t>
  </si>
  <si>
    <t>WebEngage supports upgrade. Implementation will depend on clean IndiGo data, complete event instrumentation and integration readiness.</t>
  </si>
  <si>
    <t>MoEngage can support parts of upgrade, but the capability is not fully end to end. A focused walkthrough and a clear delivery commitment will be required.</t>
  </si>
  <si>
    <t>Propensity to upgrade is learned implicitly.</t>
  </si>
  <si>
    <t>Likelihood to upgrade.</t>
  </si>
  <si>
    <t>·    Repeat purchase</t>
  </si>
  <si>
    <t>Plotline supports repeat purchase. Implementation will depend on clean IndiGo data, complete event instrumentation and integration readiness.</t>
  </si>
  <si>
    <t>Insider One showed strong support for repeat purchase. The key IndiGo use case and operating controls should be validated during implementation.</t>
  </si>
  <si>
    <t>WebEngage supports repeat purchase. Implementation will depend on clean IndiGo data, complete event instrumentation and integration readiness.</t>
  </si>
  <si>
    <t>MoEngage supports repeat purchase. Implementation will depend on clean IndiGo data, complete event instrumentation and integration readiness.</t>
  </si>
  <si>
    <t>Propensity to repeat purchase can be modelled with imported history.</t>
  </si>
  <si>
    <t>Likelihood to book again.</t>
  </si>
  <si>
    <t xml:space="preserve">·    Join loyalty program </t>
  </si>
  <si>
    <t>Plotline supports join loyalty program. Implementation will depend on clean IndiGo data, complete event instrumentation and integration readiness.</t>
  </si>
  <si>
    <t>WebEngage supports join loyalty program. Implementation will depend on clean IndiGo data, complete event instrumentation and integration readiness.</t>
  </si>
  <si>
    <t>MoEngage supports join loyalty program. Implementation will depend on clean IndiGo data, complete event instrumentation and integration readiness.</t>
  </si>
  <si>
    <t>Propensity to join the loyalty programme can be modelled with imported attributes.</t>
  </si>
  <si>
    <t>Likelihood to join the loyalty program.</t>
  </si>
  <si>
    <t>·    Vendors to suggest more on this</t>
  </si>
  <si>
    <t>Plotline supports vendors to suggest more on this. Implementation will depend on clean IndiGo data, complete event instrumentation and integration readiness.</t>
  </si>
  <si>
    <t>Insider One showed strong support for vendors to suggest more on this. The key IndiGo use case and operating controls should be validated during implementation.</t>
  </si>
  <si>
    <t>WebEngage supports vendors to suggest more on this. Implementation will depend on clean IndiGo data, complete event instrumentation and integration readiness.</t>
  </si>
  <si>
    <t>MoEngage supports vendors to suggest more on this. Implementation will depend on clean IndiGo data, complete event instrumentation and integration readiness.</t>
  </si>
  <si>
    <t>Additional propensities: cancellation or modification, lapse, price sensitivity, premium-cabin upgrade, meal and baggage add-ons, insurance take-up, group booking, app adoption, refund likelihood, next-route affinity and time-to-rebook.</t>
  </si>
  <si>
    <t>Additional propensities AEP can score: cancellation or change, lapse, price sensitivity, premium-cabin upgrade, meal and baggage add-ons, insurance take-up, group booking, app adoption, refund likelihood, next-route affinity and time to rebook.</t>
  </si>
  <si>
    <t>5.5    Ability to recommend next best action, offer, content or ancillary product.</t>
  </si>
  <si>
    <t>Plotline can address parts of this requirement, but not end to end. Delivery will still depend on clean IndiGo events, identifiers and source-system feeds.</t>
  </si>
  <si>
    <t>Next-best content, ancillary and channel capabilities exist, but the vendor indicates custom effort and SOW dependency for a complete next-best-action implementation.</t>
  </si>
  <si>
    <t>Next-best-offer and propensity-led decisioning are core proposed use cases, but breadth of production NBA models and governance has to be validated.</t>
  </si>
  <si>
    <t>Offer Decisioning, recommendations and Campaign Decisioning can select content, offer, channel and time. Some per-user reinforcement-learning claims depend on Aampe availability.</t>
  </si>
  <si>
    <t>Recommendations and Automated Personalization serve next-best content, offer and ancillary on web and app.</t>
  </si>
  <si>
    <t>AEP shows the best next content, offer or ancillary on the website and app through Recommendations and Automated Personalization. Propensity scores also decide who receives which message in messaging journeys.</t>
  </si>
  <si>
    <t>5.6    Ability to leverage real-time behavioural signals for decisioning.</t>
  </si>
  <si>
    <t>Plotline supports leverage real-time behavioural signals for decisioning. Implementation will depend on clean IndiGo data, complete event instrumentation and integration readiness.</t>
  </si>
  <si>
    <t>Real-time events update profiles and drive policy-checked decisions across web, app and messaging within seconds.</t>
  </si>
  <si>
    <t>Real-time events and Content API checks can influence eligibility and messaging. Fare/inventory truth remains external and must be available with reliable low latency.</t>
  </si>
  <si>
    <t>Real-time behavioural signals feed decisioning.</t>
  </si>
  <si>
    <t>Live behavioral signals feed decisions in real time.</t>
  </si>
  <si>
    <t>5.7    Ability to support AI-driven optimization objectives including:</t>
  </si>
  <si>
    <t>Plotline can address parts of this requirement, but not end to end. The scoring logic, controls and production maturity should be demonstrated before full credit is awarded.</t>
  </si>
  <si>
    <t>Insider supports conversion, revenue, repeat, loyalty and ancillary objectives through goals, recommendations, bandits and journey optimization.</t>
  </si>
  <si>
    <t>Conversion and revenue are native goals; ancillary, repeat booking and loyalty can be custom goals. Only one primary optimization goal is used, with other goals monitored secondarily.</t>
  </si>
  <si>
    <t>Optimization goals are configurable.</t>
  </si>
  <si>
    <t>Marketers can set the optimization goal.</t>
  </si>
  <si>
    <t xml:space="preserve">·Conversion </t>
  </si>
  <si>
    <t>Plotline supports conversion. Implementation will depend on clean IndiGo data, complete event instrumentation and integration readiness.</t>
  </si>
  <si>
    <t>Insider One showed strong support for conversion. The key IndiGo use case and operating controls should be validated during implementation.</t>
  </si>
  <si>
    <t>WebEngage supports conversion. Implementation will depend on clean IndiGo data, complete event instrumentation and integration readiness.</t>
  </si>
  <si>
    <t>MoEngage supports conversion. Implementation will depend on clean IndiGo data, complete event instrumentation and integration readiness.</t>
  </si>
  <si>
    <t>Conversion is a native goal.</t>
  </si>
  <si>
    <t>Conversion is a built-in goal.</t>
  </si>
  <si>
    <t xml:space="preserve">·Revenue </t>
  </si>
  <si>
    <t>Plotline supports revenue. Implementation will depend on clean IndiGo data, complete event instrumentation and integration readiness.</t>
  </si>
  <si>
    <t>Insider One showed strong support for revenue. The key IndiGo use case and operating controls should be validated during implementation.</t>
  </si>
  <si>
    <t>WebEngage supports revenue. Implementation will depend on clean IndiGo data, complete event instrumentation and integration readiness.</t>
  </si>
  <si>
    <t>MoEngage can support parts of revenue, but the capability is not fully end to end. A focused walkthrough and a clear delivery commitment will be required.</t>
  </si>
  <si>
    <t>Revenue per visitor and order value are native goals.</t>
  </si>
  <si>
    <t>Revenue per visitor and order value are built-in goals.</t>
  </si>
  <si>
    <t xml:space="preserve">·Ancillary attachment </t>
  </si>
  <si>
    <t>Plotline supports ancillary attachment. Implementation will depend on clean IndiGo data, complete event instrumentation and integration readiness.</t>
  </si>
  <si>
    <t>Insider provides a strong fit and can support ancillary and revenue optimisation with limited customisation. Delivery will still depend on clean IndiGo events, identifiers and source-system feeds.</t>
  </si>
  <si>
    <t>WebEngage supports ancillary attachment. Implementation will depend on clean IndiGo data, complete event instrumentation and integration readiness.</t>
  </si>
  <si>
    <t>MoEngage supports ancillary attachment. Implementation will depend on clean IndiGo data, complete event instrumentation and integration readiness.</t>
  </si>
  <si>
    <t>Ancillary attachment is optimized through a custom success metric.</t>
  </si>
  <si>
    <t>Ancillary attachment is optimized by setting up a custom success metric.</t>
  </si>
  <si>
    <t xml:space="preserve">·Repeat bookings </t>
  </si>
  <si>
    <t>Plotline supports repeat bookings. Implementation will depend on clean IndiGo data, complete event instrumentation and integration readiness.</t>
  </si>
  <si>
    <t>Insider One showed strong support for repeat bookings. The key IndiGo use case and operating controls should be validated during implementation.</t>
  </si>
  <si>
    <t>WebEngage supports repeat bookings. Implementation will depend on clean IndiGo data, complete event instrumentation and integration readiness.</t>
  </si>
  <si>
    <t>MoEngage supports repeat bookings. Implementation will depend on clean IndiGo data, complete event instrumentation and integration readiness.</t>
  </si>
  <si>
    <t>Optimization runs within each activity's measurement window, and repeat-booking uplift is measured in Adobe Analytics.</t>
  </si>
  <si>
    <t>Optimization runs within each activity's measurement window, so repeat bookings that happen later may fall outside it. AEP measures repeat-booking uplift separately on the same person-level data.</t>
  </si>
  <si>
    <t xml:space="preserve">·Loyalty engagement </t>
  </si>
  <si>
    <t>Plotline supports loyalty engagement. Implementation will depend on clean IndiGo data, complete event instrumentation and integration readiness.</t>
  </si>
  <si>
    <t>WebEngage supports loyalty engagement. Implementation will depend on clean IndiGo data, complete event instrumentation and integration readiness.</t>
  </si>
  <si>
    <t>MoEngage supports loyalty engagement. Implementation will depend on clean IndiGo data, complete event instrumentation and integration readiness.</t>
  </si>
  <si>
    <t>Loyalty engagement is optimized with a custom goal such as enrolment.</t>
  </si>
  <si>
    <t>Loyalty engagement is optimized with a custom goal, such as program enrollment.</t>
  </si>
  <si>
    <t>5.8    Ability to support Generative AI for content creation, content testing and campaign optimization.</t>
  </si>
  <si>
    <t>The dashboard supports generative content assistance and theme extraction. Governance, brand controls and measurable optimization outcomes should be validated during demonstration.</t>
  </si>
  <si>
    <t>Native generative tools support copy, images, journey creation and campaign optimization. Brand governance and production controls should be validated.</t>
  </si>
  <si>
    <t>Atlas AI includes Campaign Builder and Personalization Agents, but these are presented as roadmap direction. Current production GenAI for governed content creation, testing and optimization is not clearly evidenced.</t>
  </si>
  <si>
    <t>Generative content or agent-based orchestration is described, but end-to-end deployment and governance is not evidenced.</t>
  </si>
  <si>
    <t>Content created with IndiGo's chosen generative-AI tools can be tested and optimized in Adobe Target, with the winning variant selected by AI.</t>
  </si>
  <si>
    <t>CX Coworker and Firefly available within AEP can generate content, copy and variants, which marketers can then test and optimize.</t>
  </si>
  <si>
    <t>5.9    Ability to explain AI-driven decisions and recommendations.</t>
  </si>
  <si>
    <t>Experiment-level conversion, confidence and winner rationale are visible. Model-level explainability is unavailable because Plotline does not provide native predictive models.</t>
  </si>
  <si>
    <t>Decision logs, reasoning views, predictive attributes and preview-as-user provide useful explainability, though full model-level explanations remain partly roadmap-dependent.</t>
  </si>
  <si>
    <t>The proposal references explainability for future per-visitor selection, but current model-level explanations and feature attribution are not substantiated across all AI decisions.</t>
  </si>
  <si>
    <t>AI explainability is described at offer/rule level; model-level reason codes and evidence are not fully established.</t>
  </si>
  <si>
    <t>Personalization Insights ranks the attributes behind model decisions, so marketers can see why an experience was chosen. Results stay transparent and explainable.</t>
  </si>
  <si>
    <t xml:space="preserve">Personalization Insights reports show which factors drove the models' decisions, and CX Coworker explains its reasoning step by step. </t>
  </si>
  <si>
    <t>5.10 Ability to allow business users to configure AI optimization goals.</t>
  </si>
  <si>
    <t>Business users can configure experiment goals and confidence thresholds. Broader AI-goal configuration and model controls are not available.</t>
  </si>
  <si>
    <t>Business users can set goals, metrics, windows and auto-winner behavior through the UI without technical support.</t>
  </si>
  <si>
    <t>Business users can configure campaign and experiment goals, but broader AI model controls and optimization guardrails are largely tied to roadmap capabilities.</t>
  </si>
  <si>
    <t>Custom-agent development is required for parts of the proposed AI optimization workflow.</t>
  </si>
  <si>
    <t>Business users select goals and traffic strategy in the interface.</t>
  </si>
  <si>
    <t xml:space="preserve">Business users choose the goal and traffic strategy in the interface. The full fledged AEP Decisioning module has not been included as a part of the current tech refresh, as there is an incumbent solution already present which can be integrated with AEP. </t>
  </si>
  <si>
    <t>5.11 Ability to leverage information like inventory, fare availability and other commercial signals for AI decisioning and customer recommendations.</t>
  </si>
  <si>
    <t>Commercial signals can be ingested for rule-based targeting. Plotline does not natively model inventory or fare signals for AI recommendations.</t>
  </si>
  <si>
    <t>Commercial signals can be incorporated with customization, but airline fare and ancillary recommendation implementations are not fully standard product capabilities.</t>
  </si>
  <si>
    <t>The platform can ingest fare, inventory and commercial signals via APIs/events for rules and decisioning. Availability, latency and source-of-truth controls depend on IndiGo integrations.</t>
  </si>
  <si>
    <t>Requires IndiGo live inventory/fare API and Aampe for individual-level fare-sensitivity enhancement.</t>
  </si>
  <si>
    <t>Inventory and fare-availability signals are fed through the catalogue or real-time parameters, with freshness set by IndiGo's feed cadence.</t>
  </si>
  <si>
    <t>Inventory and fare availability reach AEP through the catalog or as live parameters. How fresh they are depends on how often IndiGo sends its feed.</t>
  </si>
  <si>
    <t xml:space="preserve">5.12 Ability to support Auto-Target / contextual AI-based experience selection that identifies the best experience for each customer based on profile, current session context, and prior behavioral history. The platform must support: </t>
  </si>
  <si>
    <t>Adobe Target-style per-visitor Auto-Target with contextual scoring, explore/exploit and attribute-level explainability is not native; Smart Switch optimizes at variant level instead.</t>
  </si>
  <si>
    <t>Per-visitor contextual scoring, bandit explore/exploit, policy constraints and reason-code reporting provide a credible Auto-Target framework.</t>
  </si>
  <si>
    <t>Per-visitor contextual Auto-Target is explicitly positioned on the roadmap. Current profile/session targeting and propensity foundations do not equal a production contextual model selecting the best experience for each visitor.</t>
  </si>
  <si>
    <t>Per-visitor contextual Auto-Target depends on agentic/Aampe functionality and is not evidenced as a standalone native experiment feature.</t>
  </si>
  <si>
    <t>Auto-Target selects the best experience for each visitor from profile, session context and history.</t>
  </si>
  <si>
    <t>Auto-Target picks the best experience for each visitor using their profile, session context and past behavior.</t>
  </si>
  <si>
    <t>·Per-visitor experience selection rather than only audience-level targeting</t>
  </si>
  <si>
    <t>Rule-based per-visitor targeting is possible, but predictive selection of the best experience for each individual is not natively supported.</t>
  </si>
  <si>
    <t>Per-visitor selection is supported using profiles, behavior and contextual policies rather than only fixed audience targeting.</t>
  </si>
  <si>
    <t>WebEngage showed strong support for per-visitor experience selection rather than only audience-level targeting. The key IndiGo use case and operating controls should be validated during implementation.</t>
  </si>
  <si>
    <t>Per-visitor reinforcement-learning selection is attributed to Aampe; contractual packaging and airline-scale evidence has to be confirmed.</t>
  </si>
  <si>
    <t>Selection is per visitor rather than per audience.</t>
  </si>
  <si>
    <t>Experiences are selected for each visitor, not only for each audience.</t>
  </si>
  <si>
    <t xml:space="preserve">·Use of current context and historical context in model scoring </t>
  </si>
  <si>
    <t>Current and historical attributes can be evaluated in targeting rules, but are not combined in a native ML scoring model.</t>
  </si>
  <si>
    <t>Insider One showed strong support for use of current context and historical context in model scoring. The key IndiGo use case and operating controls should be validated during implementation.</t>
  </si>
  <si>
    <t>WebEngage showed strong support for use of current context and historical context in model scoring. The key IndiGo use case and operating controls should be validated during implementation.</t>
  </si>
  <si>
    <t>Current session signals and stored history can be combined in decisioning, though the scoring model and feature contribution require validation.</t>
  </si>
  <si>
    <t>Models score with current and historical context.</t>
  </si>
  <si>
    <t>Models score using both the current session and past behavior.</t>
  </si>
  <si>
    <t>·Explore/exploit optimization logic for balancing learning and performance</t>
  </si>
  <si>
    <t>Thompson-sampling traffic allocation provides explore/exploit behavior for experiments; it is not a contextual bandit selecting by visitor attributes.</t>
  </si>
  <si>
    <t>Contextual bandits maintain exploration while shifting traffic toward higher-value experiences, with constraints and manual controls.</t>
  </si>
  <si>
    <t>WebEngage showed strong support for explore/exploit optimization logic for balancing learning and performance. The key IndiGo use case and operating controls should be validated during implementation.</t>
  </si>
  <si>
    <t>Dynamic Distribution uses Bayesian multi-armed-bandit logic to balance exploration and performance; operating thresholds need confirmation.</t>
  </si>
  <si>
    <t>Auto-Target balances exploration and exploitation.</t>
  </si>
  <si>
    <t>Auto-Target balances trying new experiences (explore) with showing proven winners (exploit).</t>
  </si>
  <si>
    <t xml:space="preserve">·Explainable reporting on which attributes influenced experience selection. </t>
  </si>
  <si>
    <t>Variant performance and confidence are reported, but attribute-level reasons for an individual selection are not available.</t>
  </si>
  <si>
    <t>Decision logs and reasoning views expose influencing signals and outcomes, with predictive attributes visible on profiles.</t>
  </si>
  <si>
    <t>WebEngage showed strong support for explainable reporting on which attributes influenced experience selection. The key IndiGo use case and operating controls should be validated during implementation.</t>
  </si>
  <si>
    <t>Policy simulation shows selected, eligible and excluded offers, but attribute-level explanation of each AI score is not fully demonstrated.</t>
  </si>
  <si>
    <t>Personalization Insights reports show the attributes influencing selection.</t>
  </si>
  <si>
    <t>Personalization Insights reports show which attributes influenced the experience chosen.</t>
  </si>
  <si>
    <t xml:space="preserve">5.13   Ability to support Automated Personalization across multiple offer slots or content blocks, where individual offers are modeled independently and the system selects the best combination for each visitor. The platform must support: </t>
  </si>
  <si>
    <t>Independent multi-slot modeling and automatic best-combination selection are not native. Combined experiences must be manually defined and tested.</t>
  </si>
  <si>
    <t>Per-slot ranking and multi-strategy recommendations are supported, but optimal offer-combination selection is not supported because Insider is not an offer tool.</t>
  </si>
  <si>
    <t>Multi-slot combinatorial Automated Personalization is a roadmap capability. The proposal does not evidence current automatic optimization of hundreds or thousands of offer combinations per visitor.</t>
  </si>
  <si>
    <t>MoEngage claims Aampe can optimize each slot and coordinate exclusions across slots. Native multi-slot combination modeling and proven scale should be demonstrated before full credit.</t>
  </si>
  <si>
    <t>Automated Personalization models offers independently and selects the best combination for each visitor.</t>
  </si>
  <si>
    <t>Automated Personalization models each offer on its own and picks the best combination for each visitor.</t>
  </si>
  <si>
    <t xml:space="preserve">·      Optimization across multiple slots, blocks, banners, or merchandising areas </t>
  </si>
  <si>
    <t>Multiple placements can be managed, but each slot is not independently modeled by a native automated-personalization engine.</t>
  </si>
  <si>
    <t>Different algorithms can operate across multiple recommendation and content slots, with prioritization and conflict controls.</t>
  </si>
  <si>
    <t>WebEngage showed strong support for optimization across multiple slots, blocks, banners, or merchandising areas. The key IndiGo use case and operating controls should be validated during implementation.</t>
  </si>
  <si>
    <t>Per-slot decisioning is claimed through Aampe and Offer Decisioning, but evidence of joint optimization across placements is limited.</t>
  </si>
  <si>
    <t>Optimization spans multiple slots, banners and merchandising areas.</t>
  </si>
  <si>
    <t>Optimization works across multiple slots, banners and merchandising areas.</t>
  </si>
  <si>
    <t>·      Hundreds or thousands of possible combinations without requiring manual setup of every combined experience</t>
  </si>
  <si>
    <t>Plotline can test up to 100 multivariate combinations on web, but does not automatically generate and optimize hundreds or thousands of offer combinations per visitor.</t>
  </si>
  <si>
    <t>Per-slot AI ranking can assemble many content combinations without manually defining every permutation, subject to catalog and slot setup.</t>
  </si>
  <si>
    <t>Does not quantify tested combination scale or performance.</t>
  </si>
  <si>
    <t>Large numbers of combinations are handled without manual setup of each.</t>
  </si>
  <si>
    <t>AEP handles hundreds or thousands of combinations automatically, with no need to set up each combined experience by hand.</t>
  </si>
  <si>
    <t xml:space="preserve">·      Selection of the best offer combination per visitor using AI-driven decisioning. </t>
  </si>
  <si>
    <t>AI-driven best-combination selection per visitor is not natively supported; external ranking logic would be required.</t>
  </si>
  <si>
    <t>Insider explicitly marks AI selection of the best offer combination as non-compliant because offers must be supplied and managed externally.</t>
  </si>
  <si>
    <t>Multi-slot combinatorial Automated Personalization is a roadmap capability. There is no evidence of any current automatic optimization of hundreds or thousands of offer combinations per visitor.</t>
  </si>
  <si>
    <t>AI-led combination selection is described, but live proof of cross-slot dependency handling and business uplift is required.</t>
  </si>
  <si>
    <t>The best offer combination is chosen per visitor by AI.</t>
  </si>
  <si>
    <t xml:space="preserve">AI chooses the best offer combination for each visitor. The full fledged AEP Decisioning module has not been included as a part of the current tech refresh, as there is an incumbent solution already present which can be integrated with AEP. </t>
  </si>
  <si>
    <t>5.14   Ability to apply governance controls to AI-driven personalization, including:</t>
  </si>
  <si>
    <t>RBAC, approvals, audit logs and business-rule overlays are available. AP-specific reporting and exclusion-group governance are not fully native.</t>
  </si>
  <si>
    <t>Consent, minimization, brand safeguards, audit logs, human oversight and business constraints provide a robust governance layer.</t>
  </si>
  <si>
    <t>AI-agent governance depends on separately configured controls; full list of approval/audit/override controls not substantiated.</t>
  </si>
  <si>
    <t>Governance controls are available as listed below.</t>
  </si>
  <si>
    <t>The controls below keep AI-driven personalization within business guardrails.</t>
  </si>
  <si>
    <t>·      Targeting rules to restrict offers to eligible audiences</t>
  </si>
  <si>
    <t>Eligibility can be enforced through segment inclusion/exclusion and business rules before campaign delivery.</t>
  </si>
  <si>
    <t>Insider One showed strong support for targeting rules to restrict offers to eligible audiences. The key IndiGo use case and operating controls should be validated during implementation.</t>
  </si>
  <si>
    <t>WebEngage showed strong support for targeting rules to restrict offers to eligible audiences. The key IndiGo use case and operating controls should be validated during implementation.</t>
  </si>
  <si>
    <t>User-property, behavior and affinity filters can constrain offer eligibility before ranking.</t>
  </si>
  <si>
    <t>Targeting rules restrict offers to eligible audiences.</t>
  </si>
  <si>
    <t>Targeting rules limit offers to eligible audiences.</t>
  </si>
  <si>
    <t xml:space="preserve">·      Reporting groups to logically group near-identical offers for analysis and model simplification  </t>
  </si>
  <si>
    <t>General reporting is available, but dedicated reporting groups tied to an automated personalization model are not native.</t>
  </si>
  <si>
    <t>Reporting groups for near-identical offers are only partially supported and are not clearly tied to model simplification.</t>
  </si>
  <si>
    <t>WebEngage showed strong support for reporting groups to logically group near-identical offers for analysis and model simplification. The key IndiGo use case and operating controls should be validated during implementation.</t>
  </si>
  <si>
    <t>Tags can group experiences and offers, but the response does not fully demonstrate dedicated reporting-group semantics for model simplification.</t>
  </si>
  <si>
    <t>Offers are organised and named to simplify reporting and modelling, with dedicated grouping constructs detailed in solution design.</t>
  </si>
  <si>
    <t>Marketers can group similar offers into reporting groups in Automated Personalization. Reports roll up by group, and the AI builds one model per group, which also helps new offers get up to speed faster. Groups are defined during solution design.</t>
  </si>
  <si>
    <t xml:space="preserve">·      Exclusion groups to prevent incompatible or commercially undesirable offer combinations </t>
  </si>
  <si>
    <t>Audience exclusions can suppress delivery, but model-level exclusion groups for incompatible offer combinations are not native.</t>
  </si>
  <si>
    <t>Offer exclusion groups are only partially supported; offer-combination governance depends on external offer data and configuration.</t>
  </si>
  <si>
    <t>WebEngage showed strong support for exclusion groups to prevent incompatible or commercially undesirable offer combinations. The key IndiGo use case and operating controls should be validated during implementation.</t>
  </si>
  <si>
    <t>Eligibility and exclusion rules can suppress incompatible or previously declined offers; live commercial checks can add further constraints.</t>
  </si>
  <si>
    <t>Incompatible combinations are prevented through audience eligibility and offer design, with dedicated exclusion groups detailed in solution design.</t>
  </si>
  <si>
    <t>Exclusion groups stop incompatible offers, for example two different discounts, from appearing together in the same experience. These can also be applied at an audience level.</t>
  </si>
  <si>
    <t xml:space="preserve">·      Business-rule overlays that can override or constrain algorithmic decisions. </t>
  </si>
  <si>
    <t>Business-rule eligibility, priority and approval controls can constrain automated experiment allocation.</t>
  </si>
  <si>
    <t>Hard and soft constraints, frequency caps, budgets, approvals and override logs can constrain algorithmic decisions.</t>
  </si>
  <si>
    <t>WebEngage showed strong support for business-rule overlays that can override or constrain algorithmic decisions. The key IndiGo use case and operating controls should be validated during implementation.</t>
  </si>
  <si>
    <t>Custom Formula and eligibility conditions can constrain algorithmic ranking using commercial priorities and live availability.</t>
  </si>
  <si>
    <t>Business rules, fallback content and inclusion and exclusion criteria constrain algorithmic decisions.</t>
  </si>
  <si>
    <t>Business rules, fallback content and inclusion and exclusion criteria can override or limit what the algorithm decides.</t>
  </si>
  <si>
    <t>Ancillary Revenue</t>
  </si>
  <si>
    <t>6.1       Ability to improve ancillary attachment rates through experimentation and personalization.</t>
  </si>
  <si>
    <t>As showcased in demo, Plotline is compatible but not as per expectation</t>
  </si>
  <si>
    <t>As demonstrated in demo, ancillary personalization and revenue use cases was covered in the product walkthrough. Smart Recommender, onsite tests and post-booking Architect journeys provide a strong mechanism to improve ancillary attachment and AOV.</t>
  </si>
  <si>
    <t>As discussed in demo, ancillary personalization and revenue use cases was covered in the product walkthrough. Journey orchestration and experimentation can optimize ancillary timing, presentation and attachment outcomes, with revenue attribution and travel references.</t>
  </si>
  <si>
    <t>As demonstrated during the demo, ancillary personalization and revenue use cases was covered in the product walkthrough. Recommendations, propensity targeting, experiments and decision policies support ancillary attachment optimization but found some lag during demo</t>
  </si>
  <si>
    <t>Attachment rates improve through experimentation, recommendations and Automated Personalization.</t>
  </si>
  <si>
    <t>Experimentation, Recommendations and Automated Personalization all help raise ancillary attachment rates.</t>
  </si>
  <si>
    <t>6.2       Ability to personalize ancillary merchandising.</t>
  </si>
  <si>
    <t>Merchandising presentation can be personalized by segment, but algorithmic product selection and ranking are not native.</t>
  </si>
  <si>
    <t>Ancillary merchandising is supported through custom channel and onsite recommendation implementations rather than a fully standard airline module.</t>
  </si>
  <si>
    <t>The platform can personalize ancillary offers using route, trip, profile, loyalty and real-time context. Advanced catalog ranking and merchandiser controls need further validation.</t>
  </si>
  <si>
    <t>Catalog recommendations and visual placement tests can personalize ancillary merchandising. Inventory and fare eligibility depend on external data.</t>
  </si>
  <si>
    <t>Ancillary merchandising is personalized by traveller, route and behaviour.</t>
  </si>
  <si>
    <t>Ancillary merchandising can be personalized by traveler, route and behavior.</t>
  </si>
  <si>
    <t>6.3     Ability to optimize ancillary bundling strategies.</t>
  </si>
  <si>
    <t>Bundle presentations can be created and tested; algorithmic bundle composition or optimization is not provided.</t>
  </si>
  <si>
    <t>Bundle optimization is feasible through recommendations and testing, but the vendor marks the underlying capability compliant.</t>
  </si>
  <si>
    <t>Generic experimentation examples do not establish native bundle composition/price optimization.</t>
  </si>
  <si>
    <t>Bundle strategies are tested and personalized, with bundle definitions staying with IndiGo.</t>
  </si>
  <si>
    <t>Bundle strategies can be tested and personalized. IndiGo keeps ownership of the bundle definitions.</t>
  </si>
  <si>
    <t>6.4     Ability to optimize timing of ancillary offers throughout the journey.</t>
  </si>
  <si>
    <t>Journey triggers and event conditions can time ancillary prompts across booking and post-booking touchpoints.</t>
  </si>
  <si>
    <t>Strong Architect, dynamic waits, geofencing and Next Best Channel can optimize ancillary timing across booking, post-booking and travel stages.</t>
  </si>
  <si>
    <t>Strong Journey orchestration and experimentation can optimize ancillary timing, presentation and attachment outcomes, with revenue attribution and travel references.</t>
  </si>
  <si>
    <t>Repeated merchandising answer lacks a specific journey-timing decision mechanism.</t>
  </si>
  <si>
    <t>Offer timing is tested within on-site and in-app journeys, and orchestrated across channels with Adobe Campaign triggers.</t>
  </si>
  <si>
    <t>Offer timing can be tested and managed across the journey using behavior-based triggers.</t>
  </si>
  <si>
    <t>6.5     Ability to test different merchandising and pricing presentation strategies.</t>
  </si>
  <si>
    <t>Visual variants can test offer placement, copy and price-display styling without changing the underlying price or inventory logic.</t>
  </si>
  <si>
    <t>Insider explicitly marked testing different merchandising and pricing presentation strategies as non-compliant in this section.</t>
  </si>
  <si>
    <t>A/B and multivariate tests can compare layouts and pricing presentation while revenue goals measure impact. MoEngage does not change base pricing.</t>
  </si>
  <si>
    <t>Merchandising and price-presentation treatments are A/B or multivariate tested.</t>
  </si>
  <si>
    <t>Merchandising and price-presentation treatments can be A/B or multivariate tested.</t>
  </si>
  <si>
    <t>6.6     Ability to optimize average order value and revenue per passenger.</t>
  </si>
  <si>
    <t>Revenue goals and control groups can measure AOV impact from upsell or bundle experiments; optimization remains rule/test based.</t>
  </si>
  <si>
    <t>Shown strong Cross-sell, upsell, recommendation and checkout add-on experiences can improve AOV, with control-group measurement.</t>
  </si>
  <si>
    <t>Shown Strong Journey orchestration and experimentation can optimize ancillary timing, presentation and attachment outcomes, with revenue attribution and travel references.</t>
  </si>
  <si>
    <t>Revenue Performance and revenue-weighted decision formulas support AOV optimization using actual booking values.</t>
  </si>
  <si>
    <t>Average order value and revenue per visitor are native metrics.</t>
  </si>
  <si>
    <t>Average order value and revenue per visitor are built-in metrics. Revenue per passenger can be added as a custom metric when passenger count is sent with the booking.</t>
  </si>
  <si>
    <t>6.7     Ability to personalize ancillary offers using route, trip duration and traveller profile.</t>
  </si>
  <si>
    <t>Plotline supports personalize ancillary offers using route, trip duration and traveller profile. Implementation will depend on clean IndiGo data, complete event instrumentation and integration readiness.</t>
  </si>
  <si>
    <t>Response is generic pricing/merchandising text and does not substantiate route, trip-duration and traveller-profile combination.</t>
  </si>
  <si>
    <t>Route, trip duration and traveller profile feed ancillary recommendations.</t>
  </si>
  <si>
    <t>Route, trip duration and traveler profile feed ancillary recommendations.</t>
  </si>
  <si>
    <t>6.8     Ability to dynamically prioritize ancillary offers most likely to convert.</t>
  </si>
  <si>
    <t>Dynamic ranking by purchase propensity is not native and requires an external recommendation or propensity engine.</t>
  </si>
  <si>
    <t>Recommendation strategies and propensity signals can prioritize ancillaries by predicted conversion.</t>
  </si>
  <si>
    <t>Ancillary propensity scoring and next-best-offer decisioning are identified as immediate IndiGo use cases. And there Production model is mature enough to do this job</t>
  </si>
  <si>
    <t>Response is generic testing; conditional ranking may be available elsewhere but not supported in this specific answer.</t>
  </si>
  <si>
    <t>Recommendations and Auto-Target prioritise offers by likelihood to convert.</t>
  </si>
  <si>
    <t>Recommendations and Auto-Target rank offers by how likely each one is to convert.</t>
  </si>
  <si>
    <t xml:space="preserve">6.9     Ability to support configurable recommendation algorithms and merchandiser controls, including:  </t>
  </si>
  <si>
    <t>Popularity, similarity, collaborative filtering, boost/bury and inventory-aware recommendation algorithms are not native to Plotline.</t>
  </si>
  <si>
    <t>Multiple algorithms and BYO outputs are available, but airline fare/ancillary application needs customization and is marked partially compliant.</t>
  </si>
  <si>
    <t>Popularity, similarity, co-view/co-buy, item-attribute and user-action models are supported, with external outputs consumable through Content APIs.</t>
  </si>
  <si>
    <t>Configurable recommendation algorithms and merchandiser controls are supported as below.</t>
  </si>
  <si>
    <t>Recommendation algorithms and merchandiser controls are configurable, as listed below.</t>
  </si>
  <si>
    <t xml:space="preserve">·      Popularity-based, similarity-based, collaborative, item-based, personalized, and custom / bring-your-own recommendation logic </t>
  </si>
  <si>
    <t>Insider provides a strong fit and can deliver relevant recommendations with limited customisation. The scoring logic, controls and production maturity should be demonstrated before full credit is awarded.</t>
  </si>
  <si>
    <t>The response does not evidence current merchandiser controls and configurable recommendation algorithms such as collaborative filtering, boost/bury, item weighting or business-user tuning of ranked outputs.</t>
  </si>
  <si>
    <t>MoEngage can address parts of this requirement, but not end to end. The scoring logic, controls and production maturity should be demonstrated before full credit is awarded.</t>
  </si>
  <si>
    <t>Popularity, viewed-and-bought, similarity, collaborative filtering, recently viewed, top-rated and custom recommendation criteria are available.</t>
  </si>
  <si>
    <t>Marketers can choose from popularity logic (most viewed, top sellers), collaborative logic (people who viewed or bought this also viewed or bought), similar items, recently viewed and personalized recommended-for-you logic. Custom criteria can also be uploaded.</t>
  </si>
  <si>
    <t xml:space="preserve">·      Boost / bury controls </t>
  </si>
  <si>
    <t>Native merchandiser boost/bury controls over a recommendation catalog are not provided.</t>
  </si>
  <si>
    <t>Business users have strong pin, boost, bury, hide and attribute-level merchandising controls with adjustable strength and concurrent rules.</t>
  </si>
  <si>
    <t>MoEngage describes boosting through filters and sorting rather than a clear, dedicated boost/bury control. Merchandiser usability is not demonstrated.</t>
  </si>
  <si>
    <t>Boost and bury controls are native.</t>
  </si>
  <si>
    <t>Items can be boosted with promotions (placed before or after the algorithm results) and attribute weighting, and buried with exclusion rules.</t>
  </si>
  <si>
    <t xml:space="preserve">·      Weighting, inclusion, and exclusion rules  </t>
  </si>
  <si>
    <t>Audience rules can include or exclude users, but item-level recommendation weighting and suppression controls are not native.</t>
  </si>
  <si>
    <t>Insider provides extensive weighting, inclusion, exclusion, look-back and variant-suppression controls for recommendations.</t>
  </si>
  <si>
    <t>WebEngage showed strong support for weighting, inclusion, and exclusion rules. The key IndiGo use case and operating controls should be validated during implementation.</t>
  </si>
  <si>
    <t>Filters, exclusions and Custom Formula weights provide control over eligibility and ranking but not as Insider or WebEngage</t>
  </si>
  <si>
    <t>Weighting, inclusion and exclusion rules are configurable.</t>
  </si>
  <si>
    <t>Marketers can configure weighting, inclusion and exclusion rules.</t>
  </si>
  <si>
    <t xml:space="preserve">·      Inventory- and merchandising-aware recommendation logic  </t>
  </si>
  <si>
    <t>Inventory signals may be passed for rule-based eligibility; native inventory-aware ranking is not supported.</t>
  </si>
  <si>
    <t>Merchandising controls are strong, but inventory-aware recommendation logic is compliant and depends on catalog freshness.</t>
  </si>
  <si>
    <t>Inventory and commercial signals can be ingested for rules and decisioning, but a current inventory-aware recommendation algorithm and merchandiser tuning layer are not substantiated.</t>
  </si>
  <si>
    <t>Inventory-aware behavior relies on catalog freshness or real-time API checks; native inventory-merchandising optimization is not fully demonstrated.</t>
  </si>
  <si>
    <t>Catalogue attributes such as inventory and merchandising flags drive filtering and ranking.</t>
  </si>
  <si>
    <t>Catalog attributes such as inventory and merchandising flags drive filtering and ranking.</t>
  </si>
  <si>
    <t xml:space="preserve">·      Business-user overrides and tuning of recommendation outputs. </t>
  </si>
  <si>
    <t>Campaign priority and targeting can be adjusted by business users, but recommendation-output tuning is not available without an external engine.</t>
  </si>
  <si>
    <t>Manual Merchandising, exact-order pinning, filters and strategy tuning give business users strong override capability.</t>
  </si>
  <si>
    <t>Business users can adjust priority, eligibility, formula weights and filters, subject to governance permissions.</t>
  </si>
  <si>
    <t>Business users override and tune outputs in the interface.</t>
  </si>
  <si>
    <t>Business users can override and tune recommendation results in the interface.</t>
  </si>
  <si>
    <t>6.10 Demonstrate merchandiser-controlled recommendations where business rules and algorithmic logic are combined to prioritize or suppress specific offers.</t>
  </si>
  <si>
    <t>Business rules can control campaign eligibility and presentation, but cannot override or tune a native algorithmic recommender because one is not included.</t>
  </si>
  <si>
    <t>Business rules and algorithmic relevance can be combined to prioritize or suppress recommendations through boost/bury and inclusion/exclusion controls.</t>
  </si>
  <si>
    <t>Requirement requests a demonstration; text repeats merchandising testing without the requested demonstration.q</t>
  </si>
  <si>
    <t>Merchandiser-controlled recommendations, combining rules with algorithmic logic, can be shown in a live value demonstration.</t>
  </si>
  <si>
    <t>Merchandiser-controlled recommendations that combine business rules with algorithmic logic can be shown in a live demonstration.</t>
  </si>
  <si>
    <t>Loyalty Management</t>
  </si>
  <si>
    <t>7.1     Ability to personalize experiences based on loyalty tier and membership status.</t>
  </si>
  <si>
    <t>As showcased in demo, loyalty tier can be used directly in segments, journeys and experiments once synchronized from the loyalty platform.</t>
  </si>
  <si>
    <t>As demonstrated in demo, the platform provides a strong fit and can use loyalty data in targeting and journeys with limited customisation. Delivery will still depend on clean IndiGo events, identifiers and source-system feeds.</t>
  </si>
  <si>
    <t>As discussed in demo, loyalty is modelled as a first-class CDPx entity and can trigger tier, balance, expiry, lifecycle, enrolment and retention journeys across channels. Entitlement logic remains in IndiGo/Capillary and have some additional factors as well</t>
  </si>
  <si>
    <t>As showcased in demo, loyalty tier can be used directly in segmentation, content and decision policies after synchronization from BluChip.</t>
  </si>
  <si>
    <t>Loyalty tier and membership status drive audiences once supplied through customer attributes.</t>
  </si>
  <si>
    <t>Loyalty tier and membership status feed audiences and personalization.</t>
  </si>
  <si>
    <t>7.2     Ability to leverage loyalty points balance and earning potential in decisioning.</t>
  </si>
  <si>
    <t>Plotline supports all of this but wanted more clarity on scalability as found more capability in Insider and Web Engage</t>
  </si>
  <si>
    <t>Real-time points, tier and earning potential can be used in segmentation and journey decisioning when synced from BluChip.</t>
  </si>
  <si>
    <t>Loyalty is modelled as a first-class CDPx entity and can trigger tier, balance, expiry, lifecycle, enrolment and retention journeys across channels. Entitlement logic remains in IndiGo/Capillary.</t>
  </si>
  <si>
    <t>Balance/earning-potential decisioning depends on passing current loyalty data or calling IndiGo source systems.</t>
  </si>
  <si>
    <t>Points balance is ingested from the loyalty platform and refreshed on IndiGo's chosen schedule.</t>
  </si>
  <si>
    <t>Points balance and earning potential are loaded into AEP from IndiGo's loyalty platform, either as a live stream or in scheduled batches.</t>
  </si>
  <si>
    <t>7.3     Ability to personalize offers based on member lifecycle stage.</t>
  </si>
  <si>
    <t>Lifecycle targeting is possible, but Insider does not provide offers out of the box; the relevant offer must be supplied by IndiGo.</t>
  </si>
  <si>
    <t>MoEngage Supports this but found WebEngage &amp; Insider One better in this category</t>
  </si>
  <si>
    <t>Member lifecycle stage is an audience attribute once supplied.</t>
  </si>
  <si>
    <t>Member lifecycle stage is available as an audience attribute.</t>
  </si>
  <si>
    <t>7.4     Ability to drive loyalty enrolment during booking and servicing journeys.</t>
  </si>
  <si>
    <t>Loyalty enrolment experience requires designated touchpoints / journey integration.</t>
  </si>
  <si>
    <t>Enrolment prompts appear in booking and servicing journeys across web and app.</t>
  </si>
  <si>
    <t>Enrollment prompts can appear during booking and servicing journeys on the website and in the app.</t>
  </si>
  <si>
    <t>7.5     Ability to personalize rewards, benefits and redemption experiences.</t>
  </si>
  <si>
    <t>Tier, points and eligibility can personalize redemption messages and suppress redeemed benefits across channels; the loyalty system remains the transaction authority.</t>
  </si>
  <si>
    <t>Personalized redemption messaging is described; end-to-end redemption transaction remains in the loyalty system.</t>
  </si>
  <si>
    <t>Rewards, benefits and redemption experiences are personalized from imported loyalty data.</t>
  </si>
  <si>
    <t>Rewards, benefits and redemption experiences are personalized using loyalty data.</t>
  </si>
  <si>
    <t>7.6     Ability to create loyalty-specific customer segments.</t>
  </si>
  <si>
    <t>Loyalty segments are built from imported loyalty attributes and Adobe Analytics behaviour.</t>
  </si>
  <si>
    <t>Loyalty segments are built in the same audience builder as every other audience.</t>
  </si>
  <si>
    <t>7.7     Ability to optimize member retention and repeat bookings.</t>
  </si>
  <si>
    <t>Predictive and RFM segments, first-to-second booking journeys and cohort analytics provide strong retention support.</t>
  </si>
  <si>
    <t>Retention and repeat bookings are driven by on-site personalization and Adobe Campaign programmes.</t>
  </si>
  <si>
    <t>Orchestrated journeys and on-site personalization work together to keep members engaged and drive repeat bookings.</t>
  </si>
  <si>
    <t>7.8     Ability to support personalized communications for loyalty members.</t>
  </si>
  <si>
    <t>Personalized communications reach members through Adobe Campaign, using the same loyalty attributes.</t>
  </si>
  <si>
    <t>Loyalty members receive personalized communications across channels.</t>
  </si>
  <si>
    <t>7.9     Ability to personalize ancillary offers for loyalty members.</t>
  </si>
  <si>
    <t>The vendor marks this partially compliant because loyalty-specific ancillary offers must come from a third-party or IndiGo offer system.</t>
  </si>
  <si>
    <t>MoEngage can address parts of this requirement, but not end to end. Delivery will still depend on clean IndiGo events, identifiers and source-system feeds.</t>
  </si>
  <si>
    <t>Loyalty status shapes ancillary recommendations once supplied.</t>
  </si>
  <si>
    <t>Loyalty status shapes which ancillary recommendations and offers a member sees.</t>
  </si>
  <si>
    <t>7.10 Ability to support loyalty-specific experimentation.</t>
  </si>
  <si>
    <t>Experiments are targeted to loyalty audiences.</t>
  </si>
  <si>
    <t>Experiments can be targeted to loyalty audiences.</t>
  </si>
  <si>
    <t>Abandon Cart Recovery</t>
  </si>
  <si>
    <t>8.1     Ability to identify customers who exit the booking funnel before completing a booking.</t>
  </si>
  <si>
    <t>As demonstrated in demo, the platform showed strong support for identify customers who exit the booking funnel before completing a booking. The key IndiGo use case and operating controls should be validated during implementation.</t>
  </si>
  <si>
    <t>As discussed in demo, the platform has active travel use cases for search/booking abandonment and supports event-triggered omnichannel recovery, profile/context personalization, suppression and revenue attribution.</t>
  </si>
  <si>
    <t>Adobe Analytics segments and Adobe Target audiences identify visitors who exit the funnel before booking.</t>
  </si>
  <si>
    <t>Real-time audiences pick out visitors who abandon the booking funnel before completing a booking.</t>
  </si>
  <si>
    <t>8.2     Ability to create recovery audiences based on funnel stage abandonment. Tool should be able to recognize a returning user, welcome it and make relevant nudges in the booking flow basis his/her abandonment journey.</t>
  </si>
  <si>
    <t>Plotline supports this</t>
  </si>
  <si>
    <t>Insider provides a strong fit and delivery will still depend on clean IndiGo events, identifiers and source-system feeds. IndiGo's requirement is met</t>
  </si>
  <si>
    <t>WebEngage has active travel use cases for search/booking abandonment and supports event-triggered omnichannel recovery, profile/context personalization, suppression and revenue attribution.</t>
  </si>
  <si>
    <t>Funnel-event abandonment supported, but any additional specific exit/recovery conditions need instrumentation.</t>
  </si>
  <si>
    <t>Recovery audiences by funnel stage recognise returning visitors, welcome them and nudge them in-flow based on their abandonment journey.</t>
  </si>
  <si>
    <t>Marketers build recovery audiences by funnel stage. When a customer returns, the site recognizes them, welcomes them back and nudges them in the booking flow based on where they left off.</t>
  </si>
  <si>
    <t>8.3     Ability to trigger recovery journeys across channels.</t>
  </si>
  <si>
    <t>Complaint</t>
  </si>
  <si>
    <t>Abandonment recovery runs through Adobe Campaign triggered messages on email, SMS and push, with WhatsApp and RCS through IndiGo's existing custom channels.</t>
  </si>
  <si>
    <t>Event-triggered journeys recover bookings across email, SMS, push, WhatsApp, RCS and in-app messages.</t>
  </si>
  <si>
    <t>8.4     Ability to personalize recovery messaging using customer profile and booking context.</t>
  </si>
  <si>
    <t>Recovery messages are personalized with booking context passed to Adobe Campaign.The same can be displayed  across website &amp; app using Adobe Target.</t>
  </si>
  <si>
    <t>Recovery messages are personalized with the customer's profile and booking details.</t>
  </si>
  <si>
    <t>8.5     Ability to recover abandoned searches.</t>
  </si>
  <si>
    <t>Search events trigger recovery messages through Adobe Campaign.</t>
  </si>
  <si>
    <t>Abandoned searches trigger recovery journeys.</t>
  </si>
  <si>
    <t>8.6     Ability to recover abandoned flight selections.</t>
  </si>
  <si>
    <t>Flight-selection abandonment triggers recovery messages through Adobe Campaign.</t>
  </si>
  <si>
    <t>Abandoned flight selections trigger a recovery journey.</t>
  </si>
  <si>
    <t>8.7     Ability to recover abandoned ancillary purchases.</t>
  </si>
  <si>
    <t>Ancillary abandonment triggers recovery messages through Adobe Campaign.</t>
  </si>
  <si>
    <t>Abandoned ancillary purchases trigger recovery.</t>
  </si>
  <si>
    <t>8.8     Ability to suppress recovery journeys once booking is completed.</t>
  </si>
  <si>
    <t>Exclusion on booking completion stops further recovery messages, using Adobe Campaign suppression.</t>
  </si>
  <si>
    <t>A journey stops as soon as the booking completes, and audience exclusion prevents any further recovery messages.</t>
  </si>
  <si>
    <t>8.9     Ability to prioritize recovery journeys based on booking value and likelihood to convert.</t>
  </si>
  <si>
    <t>Answer reused for suppression; booking-value and conversion-propensity prioritization are not specifically established.</t>
  </si>
  <si>
    <t>Priority is set by segment rules on booking value.</t>
  </si>
  <si>
    <t>Journeys branch on booking value and propensity score, so the highest-value and most likely bookings get priority.</t>
  </si>
  <si>
    <t>8.10 Ability to measure recovered bookings and incremental revenue.</t>
  </si>
  <si>
    <t>Attribution and incremental revenue measurement require conversion/control methodology not set out in this response.</t>
  </si>
  <si>
    <t>Goals and attribution in Adobe Analytics, with control groups in Adobe Target, measure recovered bookings and incremental revenue.</t>
  </si>
  <si>
    <t>Journey goals, holdout (control) groups and attribution measure recovered bookings and incremental revenue.</t>
  </si>
  <si>
    <t>8.11 Ability to capture exit intent (closing window, taking cursor to top right corner etc) and provide relevant nudges to make the customer continue his journey by providing offers</t>
  </si>
  <si>
    <t>Web exit-intent triggers are supported for contextual overlays. Mobile and app abandonment still require event-based inference rather than browser cursor behavior.</t>
  </si>
  <si>
    <t>Desktop cursor and mobile fast-scroll signals can trigger targeted exit-intent experiences with A/B testing and personalization.</t>
  </si>
  <si>
    <t>Real-time web events can trigger contextual interventions, but cursor/close-window exit-intent detection and offer governance are not specifically evidenced and should be demonstrated.</t>
  </si>
  <si>
    <t>Exit intent relies on device/web triggers; closing a window or mobile-app termination cannot be reliably sensed in every case.</t>
  </si>
  <si>
    <t>Exit intent is captured through a browser event that triggers on-site nudges in Adobe Target.</t>
  </si>
  <si>
    <t>Exit intent trigger based personalised on-site nudge or offers can be shown</t>
  </si>
  <si>
    <t>8.12 Ability to capture sentiment analysis</t>
  </si>
  <si>
    <t>Plotline explicitly states that sentiment analysis is not a native capability; an external listening or NLP service would be required.</t>
  </si>
  <si>
    <t>Conversational AI sentiment and review/survey integrations can operationalize sentiment, although coverage varies by source and channel.</t>
  </si>
  <si>
    <t>Sentiment analysis is not described as a native platform capability in the available material. This would require clarification, customization or an external NLP/listening service.</t>
  </si>
  <si>
    <t>MoEngage can collect survey/CSAT/NPS data and use affinity signals, but the response does not demonstrate native free-text sentiment analysis. External survey or NLP tooling is required.</t>
  </si>
  <si>
    <t>Sentiment scores from a third-party NLP service are brought in as profile attributes and can be used in audiences.</t>
  </si>
  <si>
    <t>Sentiment analysis is not native to AEP. Scores from an integrated third-party language analysis service can be loaded onto the customer profile and used in audiences and journeys.</t>
  </si>
  <si>
    <t>Journey Orchestration &amp; Real-Time Engagement</t>
  </si>
  <si>
    <t>9.1     Ability to orchestrate customer experiences across pre-booking, booking and post-booking journeys.</t>
  </si>
  <si>
    <t>As showcased in demo, the platform supports orchestrate customer experiences across pre-booking, booking and post-booking journeys. Implementation will depend on clean IndiGo data, complete event instrumentation and integration readiness.</t>
  </si>
  <si>
    <t>As demonstrated in demo, real-time journey orchestration was covered in the product walkthrough. Architect provides a strong single-canvas, real-time cross-channel journey layer across pre-booking, booking and post-booking touchpoints.</t>
  </si>
  <si>
    <t>As discussed in demo, real-time journey orchestration was covered in the product walkthrough. Real-time journey orchestration, event triggers and multi-channel execution are core current capabilities, with airline/travel production references provided. Have better use cases as well</t>
  </si>
  <si>
    <t>As demonstrated during the demo, real-time journey orchestration was covered in the product walkthrough but didn't find better than peers</t>
  </si>
  <si>
    <t>Adobe Target personalizes on-site and in-app steps, and Adobe Campaign orchestrates messages across email, SMS and push.</t>
  </si>
  <si>
    <t>Pre-booking, booking and post-booking experiences are orchestrated across channels.</t>
  </si>
  <si>
    <t>9.2     Ability to automated journey orchestration to deliver the right message at the right moment.</t>
  </si>
  <si>
    <t>Supports but peers were better in terms of factor consideration and weighting them at the same time</t>
  </si>
  <si>
    <t>Rich event, attribute, price, date and timing starters automate contextual journeys across native channels.</t>
  </si>
  <si>
    <t>Real-time journey orchestration, event triggers and multi-channel execution are core current capabilities, with airline/travel production references provided.</t>
  </si>
  <si>
    <t>Can do but peers were better in decisioning</t>
  </si>
  <si>
    <t>Adobe Campaign triggered messages respond to events in near real time.</t>
  </si>
  <si>
    <t>Real-time journeys deliver the right message at the right moment.</t>
  </si>
  <si>
    <t>9.3     Ability to trigger interventions based on customer intent and engagement signals.</t>
  </si>
  <si>
    <t xml:space="preserve">Plotline supports trigger interventions based on customer intent and engagement signals. </t>
  </si>
  <si>
    <t>Insider One showed strong support for trigger interventions based on customer intent and engagement signals. The key IndiGo use case and operating controls should be validated during implementation.</t>
  </si>
  <si>
    <t>MoEngage can support parts of trigger interventions based on customer intent and engagement signals, but the capability is not fully end to end. A focused walkthrough and a clear delivery commitment will be required.</t>
  </si>
  <si>
    <t>Journeys trigger on intent and engagement events passed from on-site behaviour.</t>
  </si>
  <si>
    <t>Journeys trigger from customer intent and engagement signals.</t>
  </si>
  <si>
    <t>9.4     Ability to influence downstream behaviour using upstream journey signals.</t>
  </si>
  <si>
    <t>Plotline supports influence downstream behaviour using upstream journey signals. Implementation will depend on clean IndiGo data, complete event instrumentation and integration readiness.</t>
  </si>
  <si>
    <t>Insider One showed strong support for influence downstream behaviour using upstream journey signals. The key IndiGo use case and operating controls should be validated during implementation.</t>
  </si>
  <si>
    <t>MoEngage supports influence downstream behaviour using upstream journey signals. Implementation will depend on clean IndiGo data, complete event instrumentation and integration readiness.</t>
  </si>
  <si>
    <t>Signals flow between tools through shared Experience Cloud audiences.</t>
  </si>
  <si>
    <t>Signals from earlier steps update the shared profile and shape later journeys and personalization.</t>
  </si>
  <si>
    <t>9.5     Ability to maintain customer context across channels.</t>
  </si>
  <si>
    <t>Shared user IDs and attributes can maintain web/app continuity. Cross-channel accuracy depends on IndiGo identity resolution and event synchronization.</t>
  </si>
  <si>
    <t>Unified profiles and identity resolution preserve state, preferences, carts and suppression across web, app and messaging channels.</t>
  </si>
  <si>
    <t>A single profile and identity layer, custom entities and omnichannel orchestration maintain context across web, app, email, SMS, WhatsApp, RCS, push and in-app touchpoints.</t>
  </si>
  <si>
    <t>A unified profile supplies common context across web, app and messaging channels. Accuracy depends on identity resolution and timely event synchronization.</t>
  </si>
  <si>
    <t>Customer context is shared across tools through the Experience Cloud ID and audience sharing.</t>
  </si>
  <si>
    <t>A single customer profile keeps context consistent across channels.</t>
  </si>
  <si>
    <t>9.6     Ability to support event-triggered journeys in real time (incomplete bookings, upcoming trips, price drops, flight status)</t>
  </si>
  <si>
    <t>Plotline supports support event-triggered journeys in real time (incomplete bookings, upcoming trips, price drops, flight status). Implementation will depend on clean IndiGo data, complete event instrumentation and integration readiness.</t>
  </si>
  <si>
    <t>Architect supports incomplete booking, dynamic date, price drop, inventory and flight-status triggers with real-time orchestration.</t>
  </si>
  <si>
    <t>Incomplete booking, trip date, price change and flight-status events can trigger real-time Flows or Inform messages. Operational alerts depend on source-system feeds.</t>
  </si>
  <si>
    <t>Event-triggered messages cover incomplete bookings, upcoming trips, price drops and flight status.</t>
  </si>
  <si>
    <t>Event-triggered journeys cover incomplete bookings, upcoming trips, price drops and flight status, provided IndiGo's source systems send those events in real time.</t>
  </si>
  <si>
    <t xml:space="preserve">9.7     Ability to create and maintain a progressive customer profile spanning every touchpoint using first-party and approved external data. The solution must support ingestion and activation of attribute classes including:  </t>
  </si>
  <si>
    <t>Plotline can ingest and activate progressive attributes, but IndiGo/CDP remains the system of record for the unified profile.</t>
  </si>
  <si>
    <t>The CDP continuously unifies first-party and approved external data into progressive profiles for immediate activation.</t>
  </si>
  <si>
    <t>Profiles continuously accumulate activity, campaign, device and external attributes. Governance is needed to avoid duplication with IndiGo CDP and loyalty records.</t>
  </si>
  <si>
    <t>Customer profile data builds progressively from first-party and approved external data.</t>
  </si>
  <si>
    <t>AEP builds the customer profile progressively from first-party and approved external data and makes it available at every touchpoint.</t>
  </si>
  <si>
    <t xml:space="preserve">9.8     Environment data: geo information, time zone, device type, operating system, browser, connection characteristics, and screen attributes </t>
  </si>
  <si>
    <t>Insider One showed strong support for environment data: geo information, time zone, device type, operating system, browser, connection characteristics, and screen attributes. The key IndiGo use case and operating controls should be validated during implementation.</t>
  </si>
  <si>
    <t>Specific environment attributes, particularly connection characteristics, are not individually demonstrated.</t>
  </si>
  <si>
    <t>Geo, time zone, device, operating system, browser and screen attributes are captured by the SDKs.</t>
  </si>
  <si>
    <t>AEP's SDKs collect geo, time zone, device, operating system, browser and screen details automatically. Anything not collected automatically, such as connection details, can be passed in as custom data.</t>
  </si>
  <si>
    <t xml:space="preserve">9.9     Activity data: session context, new/returning visitor status, prior visit patterns, previous purchases, prior exposures, prior responses, and affinity data </t>
  </si>
  <si>
    <t xml:space="preserve">Plotline supports activity data: session context, new/returning visitor status, prior visit patterns, previous purchases, prior exposures, prior responses, and affinity data. </t>
  </si>
  <si>
    <t xml:space="preserve">Insider One showed strong support for activity data: session context, new/returning visitor status, prior visit patterns, previous purchases, prior exposures, prior responses, and affinity data. </t>
  </si>
  <si>
    <t>Session, visit, purchase, exposure, response and affinity data can populate the customer profile and journey logic.</t>
  </si>
  <si>
    <t>Session context, visitor status, prior visits, purchases, exposures, responses and affinities are available.</t>
  </si>
  <si>
    <t>Session context, new or returning status, prior visits, purchases, past exposures, past responses and affinities are all available.</t>
  </si>
  <si>
    <t xml:space="preserve">9.10 Brand data: data layer attributes, CRM, CDP, call center, survey, second-party, and third-party data where permitted  </t>
  </si>
  <si>
    <t>Plotline supports brand data: data layer attributes, CRM, CDP, call center, survey, second-party, and third-party data where permitted. Implementation will depend on clean IndiGo data, complete event instrumentation and integration readiness.</t>
  </si>
  <si>
    <t>Web SDK, APIs, connectors and uploads can ingest CRM, CDP, call-center, survey and approved external data for activation.</t>
  </si>
  <si>
    <t>Ingestion/decisioning from surveys, call centre and permitted third-party data not substantiated individually.</t>
  </si>
  <si>
    <t>CRM, call-centre, survey and approved external data are brought in through customer attributes and APIs.</t>
  </si>
  <si>
    <t>CRM, CDP, call center, survey, second-party and third-party data (where permitted) can be loaded into AEP through data sources.</t>
  </si>
  <si>
    <t xml:space="preserve">9.11 Campaign data: referring domain, query parameters, campaign IDs, affiliate or source metadata  </t>
  </si>
  <si>
    <t>Plotline supports campaign data: referring domain, query parameters, campaign IDs, affiliate or source metadata. Implementation will depend on clean IndiGo data, complete event instrumentation and integration readiness.</t>
  </si>
  <si>
    <t>Insider provides a strong fit and can integrate the required data and systems with limited customisation. The scoring logic, controls and production maturity should be demonstrated before full credit is awarded.</t>
  </si>
  <si>
    <t>Referrer, query parameters, campaign IDs and response history can be captured and attached to profiles/events.</t>
  </si>
  <si>
    <t>Referring domain, query parameters, campaign IDs and affiliate metadata are captured.</t>
  </si>
  <si>
    <t>Referring domain, query parameters, campaign IDs and affiliate details are captured.</t>
  </si>
  <si>
    <t xml:space="preserve">9.12 Temporal data: time of day, day of week, recency, and frequency  </t>
  </si>
  <si>
    <t>Plotline supports temporal data: time of day, day of week, recency, and frequency. Implementation will depend on clean IndiGo data, complete event instrumentation and integration readiness.</t>
  </si>
  <si>
    <t>Insider One showed strong support for temporal data: time of day, day of week, recency, and frequency. The key IndiGo use case and operating controls should be validated during implementation.</t>
  </si>
  <si>
    <t>Time, recency and frequency conditions can drive segments, journey timing and personalization.</t>
  </si>
  <si>
    <t>Time of day, day of week, recency and frequency are available.</t>
  </si>
  <si>
    <t>9.13 Platform data: analytics, audience, and campaign orchestration signals required for decisioning.</t>
  </si>
  <si>
    <t>Plotline supports platform data: analytics, audience, and campaign orchestration signals required for decisioning. Implementation will depend on clean IndiGo data, complete event instrumentation and integration readiness.</t>
  </si>
  <si>
    <t>Analytics, audience, consent, reachability, arbitration, suppression and orchestration signals are jointly available for decisioning.</t>
  </si>
  <si>
    <t>Cross-platform analytics/decisioning signals and integration mappings not demonstrated.</t>
  </si>
  <si>
    <t>Analytics, audience and orchestration signals are shared through the Experience Cloud.</t>
  </si>
  <si>
    <t>Analytics, audience and journey signals are shared across the platform.</t>
  </si>
  <si>
    <t>Experimentation Platform</t>
  </si>
  <si>
    <t>10.1     Ability to run A/B testing.</t>
  </si>
  <si>
    <t>This was almost same for all the partners.</t>
  </si>
  <si>
    <t>A/B testing is native.</t>
  </si>
  <si>
    <t>A/B testing is built into AEP.</t>
  </si>
  <si>
    <t>10.2     Ability to run Multivariate testing.</t>
  </si>
  <si>
    <t>Multivariate testing is native.</t>
  </si>
  <si>
    <t>Multivariate testing is built into AEP.</t>
  </si>
  <si>
    <t>10.3     Ability to run Split URL testing.</t>
  </si>
  <si>
    <t>Split-URL (redirect) testing is native.</t>
  </si>
  <si>
    <t>Split URL (redirect) testing is built into AEP.</t>
  </si>
  <si>
    <t>10.4     Ability to run Server-side experimentation (run on the backend)</t>
  </si>
  <si>
    <t>Server-originated events can influence targeting, but experiment decisions are applied client-side; a native server-side experimentation SDK is not offered.</t>
  </si>
  <si>
    <t>Server-side testing is compliant and requires API/SDK backend integration; the primary experimentation surface remains client/onsite.</t>
  </si>
  <si>
    <t>The submitted scope is SDK-led for web and mobile app. Server-side personalization is explicitly listed as a roadmap capability and server-side-only decisioning is stated to require separate scoping; native backend experimentation is therefore not currently evidenced.</t>
  </si>
  <si>
    <t>API-delivered server-side experiences support backend-controlled rendering while using the same experiment framework.</t>
  </si>
  <si>
    <t>Server-side experimentation runs through delivery APIs and server-side SDKs. Experiments therefore extend beyond screens into APIs and back-end logic.</t>
  </si>
  <si>
    <t>Server-side experiments run on the back end through delivery APIs and server-side SDKs.</t>
  </si>
  <si>
    <t>10.5     Ability to support experimentation across routes, geographies, devices and customer segments.</t>
  </si>
  <si>
    <t>Plotline supports experimentation across routes, geographies, devices and customer segments</t>
  </si>
  <si>
    <t>Insider provides a strong fit and can set up and manage experiments with limited customisation. Delivery will still depend on clean IndiGo events, identifiers and source-system feeds.</t>
  </si>
  <si>
    <t>WebEngage provides a strong fit and can set up and manage experiments with limited customisation. Delivery will still depend on clean IndiGo events, identifiers and source-system feeds.</t>
  </si>
  <si>
    <t>MoEngage supports experimentation across routes, geographies, devices and customer segments. Implementation will depend on clean IndiGo data, complete event instrumentation and integration readiness.</t>
  </si>
  <si>
    <t>Experiments target routes, geographies, devices and customer segments.</t>
  </si>
  <si>
    <t>Experiments can target routes, geographies, devices and customer segments.</t>
  </si>
  <si>
    <t>10.6     Ability to support multiple concurrent experiments.</t>
  </si>
  <si>
    <t>Plotline supports multiple concurrent experiments.</t>
  </si>
  <si>
    <t>Multiple concurrent tests can run across pages, segments and journeys; overlap governance remains important.</t>
  </si>
  <si>
    <t>The platform supports enterprise environments, governance and experimentation at scale. Exact concurrency, mutual-exclusion and workspace limits should be contractually validated.</t>
  </si>
  <si>
    <t>Concurrent experiments are supported; platform limits and governance across many teams require confirmation.</t>
  </si>
  <si>
    <t>Multiple concurrent experiments are supported with priority controls.</t>
  </si>
  <si>
    <t>Multiple experiments can run at once, with priority controls to manage overlap.</t>
  </si>
  <si>
    <t>10.7     Ability to isolate experiments and prevent audience overlap.</t>
  </si>
  <si>
    <t>As showcased in demo, the platform supports isolate experiments and prevent audience overlap.</t>
  </si>
  <si>
    <t>As demonstrated in demo, concurrent experimentation was covered in the product walkthrough. Control groups, holdouts, inclusions/exclusions and persistent assignment support clean experiment isolation.</t>
  </si>
  <si>
    <t>As discussed in demo, concurrent experimentation was covered in the product walkthrough. The platform supports enterprise environments, governance and experimentation at scale. Exact concurrency, mutual-exclusion and workspace limits should be contractually validated.</t>
  </si>
  <si>
    <t>Audience targeting is described; automatic mutual exclusion/collision control is not substantiated.</t>
  </si>
  <si>
    <t>Activity priorities and audience rules isolate experiments and reduce audience overlap.</t>
  </si>
  <si>
    <t>Activity priorities and audience rules keep experiments from overlapping. The team sets these up for each test, so exclusion is configured rather than automatic.</t>
  </si>
  <si>
    <t>10.8     Ability to support experimentation governance and approval workflows.</t>
  </si>
  <si>
    <t>Plotline supports support experimentation governance and approval workflows. Implementation will depend on clean IndiGo data, complete event instrumentation and integration readiness.</t>
  </si>
  <si>
    <t>Centralized approvals, role-based actions, edit locks, notifications and audit logs provide strong experimentation governance.</t>
  </si>
  <si>
    <t>RBAC/OBAC, SSO, audit logs, approval decisions and controlled Dev-to-UAT-to-Production promotion provide a strong governance foundation.</t>
  </si>
  <si>
    <t>Maker-checker approvals and role controls support governed launches.</t>
  </si>
  <si>
    <t>Enterprise permissions, workspaces and approval workflows govern launches.</t>
  </si>
  <si>
    <t>Enterprise permissions, workspaces and approval workflows govern who can launch what.</t>
  </si>
  <si>
    <t>10.9     Ability to define success metrics, guardrail metrics and stopping criteria.</t>
  </si>
  <si>
    <t>Plotline supports define success metrics, guardrail metrics and stopping criteria. Implementation will depend on clean IndiGo data, complete event instrumentation and integration readiness.</t>
  </si>
  <si>
    <t>Primary goals are configurable, but guardrail metrics and automated stopping criteria are only partially native.</t>
  </si>
  <si>
    <t>Success metrics and significance reporting are supported, but complete guardrail and stopping-rule configuration is not detailed</t>
  </si>
  <si>
    <t>Conversion goals covered, but guardrail metrics and stopping criteria are not shown comprehensively.</t>
  </si>
  <si>
    <t>Primary and additional goal metrics are defined, with confidence reporting guiding stopping decisions.</t>
  </si>
  <si>
    <t>A primary goal metric and additional metrics, which can act as guardrails, are set for each test. Confidence reporting guides the decision on when to stop.</t>
  </si>
  <si>
    <t>10.10     Ability to estimate sample size and expected business impact before experiment launch.</t>
  </si>
  <si>
    <t>Pre-launch sample-size and expected-impact estimation are not native; teams would need external calculation or analyst support.</t>
  </si>
  <si>
    <t>A native pre-launch sample-size and duration estimator is limited; planning relies on historical data, significance and CSM guidance.</t>
  </si>
  <si>
    <t>Pre-launch sample-size estimation and expected business-impact forecasting are not described as native capabilities in the proposal.</t>
  </si>
  <si>
    <t>Live audience size is not equivalent to statistical power/sample-size estimation and modeled business impact.</t>
  </si>
  <si>
    <t>A sample-size calculator estimates traffic and duration.</t>
  </si>
  <si>
    <t>A sample-size calculator estimates the traffic and test duration needed. Expected business impact can be sized from current traffic and conversion data on the platform.</t>
  </si>
  <si>
    <t>10.11     Ability to automatically detect experiment collisions.</t>
  </si>
  <si>
    <t>Priority and audience exclusion controls reduce collisions, but evidence of automated collision detection has to be validated</t>
  </si>
  <si>
    <t>Fully automated experiment-collision detection is not native; conflicts are managed through rules, groups and prioritization.</t>
  </si>
  <si>
    <t>Audience controls and isolation can reduce overlap, but automatic experiment-collision detection is not evidenced.</t>
  </si>
  <si>
    <t>Custom agent required for collision identification; not native end-to-end.</t>
  </si>
  <si>
    <t>Priority and audience configuration help prevent and surface collisions.</t>
  </si>
  <si>
    <t>Priority and audience setup help prevent collisions and flag overlapping activities.</t>
  </si>
  <si>
    <t>10.12     Ability to maintain experiment repository and historical learnings.</t>
  </si>
  <si>
    <t>Plotline supports maintain experiment repository and historical learnings. Implementation will depend on clean IndiGo data, complete event instrumentation and integration readiness.</t>
  </si>
  <si>
    <t>Dashboards, change history, exports and APIs retain experiment results and lineage for ongoing learning.</t>
  </si>
  <si>
    <t>The Learn layer is positioned as compounding institutional intelligence from campaign outcomes.</t>
  </si>
  <si>
    <t>Historical learning repository proposed through a custom agent, not demonstrated as built-in.</t>
  </si>
  <si>
    <t>An activity library with reports and history holds experiments and learnings.</t>
  </si>
  <si>
    <t>An activity library with reports and history stores experiments and learnings, supported by CX Coworker.</t>
  </si>
  <si>
    <t>10.13     Ability to manage experimentation at enterprise scale across multiple teams.</t>
  </si>
  <si>
    <t>Plotline supports manage experimentation at enterprise scale across multiple teams.</t>
  </si>
  <si>
    <t>Roles, approvals, tags, version history and concurrent testing support multi-team enterprise operation.</t>
  </si>
  <si>
    <t>The platform supports enterprise environments, governance and experimentation at scale. Exact concurrency, mutual-exclusion and workspace limits should be validated.</t>
  </si>
  <si>
    <t>Enterprise multi-team controls partly native; consolidated governance through custom agent not demonstrated.</t>
  </si>
  <si>
    <t>Workspaces and role-based permissions support enterprise-scale, multi-team experimentation.</t>
  </si>
  <si>
    <t>Workspaces and role-based permissions let multiple teams run experiments at scale.</t>
  </si>
  <si>
    <t xml:space="preserve">10.14     Ability to support Auto-Allocate / multi-armed bandit experimentation that dynamically reallocates traffic toward higher-performing experiences during the experiment lifecycle in order to maximize lift while preserving statistical rigor. The platform must support: </t>
  </si>
  <si>
    <t>Plotline supports support Auto-Allocate / multi-armed bandit experimentation that dynamically reallocates traffic toward higher-performing experiences during the experiment lifecycle.</t>
  </si>
  <si>
    <t>Multi-armed-bandit optimization supports dynamic allocation with minimum samples, significance and control holdouts.</t>
  </si>
  <si>
    <t>Dynamic Auto-Allocate / multi-armed-bandit traffic reallocation is explicitly described as roadmap. The current capability is fixed-horizon A/B testing with statistical significance reporting.</t>
  </si>
  <si>
    <t>Bayesian traffic reallocation described; preservation of statistical rigor and required protections not independently substantiated.</t>
  </si>
  <si>
    <t>Auto-Allocate dynamically reallocates traffic toward better-performing experiences. Statistical confidence is built into every decision.</t>
  </si>
  <si>
    <t>Auto-Allocate automatically moves traffic toward better-performing experiences during the test.</t>
  </si>
  <si>
    <t>10.15     Reallocation of traffic across 2 or more experiences as performance signals emerge</t>
  </si>
  <si>
    <t>All partners supports this and they are approximately same for this category, we have give score 4 to Insiderone as they have a better UI/UX and faster with minimal effort</t>
  </si>
  <si>
    <t>Response describes the requested capability with a specific mechanism or example in the submitted PDF; accepted as documentary self-attestation, not independently tested.</t>
  </si>
  <si>
    <t>Traffic shifts across two or more experiences as results emerge.</t>
  </si>
  <si>
    <t>Traffic shifts across two or more experiences as results come in.</t>
  </si>
  <si>
    <t>10.16     Continuous visibility into confidence intervals and comparison between experiences</t>
  </si>
  <si>
    <t>Reports show confidence and lift per experience.</t>
  </si>
  <si>
    <t>Reports show confidence and lift for each experience.</t>
  </si>
  <si>
    <t>10.17     Automated identification of the overall winning experience without requiring manual traffic redistribution</t>
  </si>
  <si>
    <t>Automatic winner selection described; clarify attribution/decision thresholds and difference versus traffic redistribution.</t>
  </si>
  <si>
    <t>The winning experience is identified automatically.</t>
  </si>
  <si>
    <t>The winning experience is picked automatically, with no manual traffic changes.</t>
  </si>
  <si>
    <t>10.18     Business-user configuration of optimization goal, traffic strategy, and guardrails.</t>
  </si>
  <si>
    <t>Business goal selectable; configurable traffic strategy and guardrail workflow not fully demonstrated.</t>
  </si>
  <si>
    <t>Business users configure goals and traffic strategy.</t>
  </si>
  <si>
    <t>Business users set the optimization goal and traffic strategy in the interface, and other metrics can be tracked alongside as guardrails.</t>
  </si>
  <si>
    <t xml:space="preserve">10.19     Vendors must provide an experimentation decision framework that clearly defines when to use fixed-horizon A/B testing versus Auto-Allocate or other optimization approaches. The response must explicitly cover: </t>
  </si>
  <si>
    <t>A decision framework is requested; proposed agent is not a provided decision matrix of when each method applies.</t>
  </si>
  <si>
    <t>Decision framework: use fixed-horizon A/B when the priority is unbiased impact measurement and reusable learnings; use Auto-Allocate when the priority is maximising lift in a short window.</t>
  </si>
  <si>
    <t>Decision framework: use a fixed-horizon A/B test when the priority is unbiased measurement of impact and learnings you can reuse. Use Auto-Allocate when the priority is getting the most lift within a short window.</t>
  </si>
  <si>
    <t>10.20     Ideal use cases for Auto-Allocate</t>
  </si>
  <si>
    <t>Generic experiment targeting response does not specify ideal Auto-Allocate use cases.</t>
  </si>
  <si>
    <t>Time-boxed campaigns such as flash sales and festival fares, high-traffic pages, 2 to 5 variants and a single clear conversion goal.</t>
  </si>
  <si>
    <t>Time-boxed campaigns such as flash sales and festival fares, high-traffic pages, 2 to 5 variants and one clear conversion goal.</t>
  </si>
  <si>
    <t>10.21     Conditions where Auto-Allocate should not be used</t>
  </si>
  <si>
    <t>Custom-agent response does not define conditions where Auto-Allocate should not be used.</t>
  </si>
  <si>
    <t>Avoid for long-lag conversions, low traffic or low conversion counts, tests needing segment-level learning, and changes needing full statistical rigor.</t>
  </si>
  <si>
    <t>Avoid Auto-Allocate when conversions take a long time to happen, traffic or conversion counts are low, you need to learn by segment, or the change needs full statistical rigor.</t>
  </si>
  <si>
    <t>10.22     Trade-offs between faster lift realization and precision of measurement</t>
  </si>
  <si>
    <t>Custom-agent response does not explain the speed-versus-precision trade-off requested.</t>
  </si>
  <si>
    <t>Auto-Allocate realises lift sooner with less traffic on losing variants. Fixed-horizon gives cleaner, reusable measurement.</t>
  </si>
  <si>
    <t>Auto-Allocate delivers lift sooner and sends less traffic to losing variants. A fixed-horizon test gives cleaner, reusable measurement.</t>
  </si>
  <si>
    <t>10.23     Guidance on experiment selection based on traffic volume, number of variants, commercial sensitivity, and desired confidence outcome.</t>
  </si>
  <si>
    <t>Generic targeting description lacks explicit traffic volume, variants and commercial-sensitivity decision guidance.</t>
  </si>
  <si>
    <t>Choose fixed-horizon A/B for high traffic, high commercial risk or reusable learnings, and Auto-Allocate for time-sensitive campaigns with several variants and moderate risk.</t>
  </si>
  <si>
    <t>Choose fixed-horizon A/B for high traffic, high commercial risk or learnings you want to reuse. Choose Auto-Allocate for time-sensitive campaigns with several variants and moderate risk.</t>
  </si>
  <si>
    <t>No-Code / Low-Code Business Enablement</t>
  </si>
  <si>
    <t>11.1     Ability for business users to create and launch experiments without engineering support.</t>
  </si>
  <si>
    <t>As showcased in demo, the platform supports ability for business users to create and launch experiments without engineering support</t>
  </si>
  <si>
    <t>As demonstrated in demo, business-user-led experimentation was covered in the product walkthrough. the capability is credible, with final delivery dependent on IndiGo event instrumentation and integration readiness.</t>
  </si>
  <si>
    <t>As discussed in demo, business-user-led experimentation was covered in the product walkthrough. The no-code journey canvas, segmentation and campaign orchestration reduce ongoing engineering dependency. Initial SDK, event and integration implementation still requires IndiGo engineering.</t>
  </si>
  <si>
    <t>No-code applies after initial SDK/API implementation; complex booking-engine modifications remain technical.</t>
  </si>
  <si>
    <t>Business users create and launch experiments without engineering.</t>
  </si>
  <si>
    <t>Business users can create and launch experiments without engineering support.</t>
  </si>
  <si>
    <t>11.2     Ability to create audience rules through visual interfaces</t>
  </si>
  <si>
    <t>Plotline supports create audience rules through visual interfaces. Implementation will depend on clean IndiGo data, complete event instrumentation and integration readiness.</t>
  </si>
  <si>
    <t>the capability is credible, with final delivery dependent on IndiGo event instrumentation and integration readiness.</t>
  </si>
  <si>
    <t>WebEngage showed strong support for create audience rules through visual interfaces. The key IndiGo use case and operating controls should be validated during implementation.</t>
  </si>
  <si>
    <t>MoEngage supports create audience rules through visual interfaces. Implementation will depend on clean IndiGo data, complete event instrumentation and integration readiness.</t>
  </si>
  <si>
    <t>Audience rules are created in visual interfaces.</t>
  </si>
  <si>
    <t>Audience rules are built in visual interfaces.</t>
  </si>
  <si>
    <t>11.3     Ability to create personalization campaigns without code changes.</t>
  </si>
  <si>
    <t>Plotline supports create personalization campaigns without code changes. Implementation will depend on clean IndiGo data, complete event instrumentation and integration readiness.</t>
  </si>
  <si>
    <t>Insider One showed strong support for create personalization campaigns without code changes. The key IndiGo use case and operating controls should be validated during implementation.</t>
  </si>
  <si>
    <t>The no-code journey canvas, segmentation and campaign orchestration reduce ongoing engineering dependency. Initial SDK, event and integration implementation still requires IndiGo engineering.</t>
  </si>
  <si>
    <t>MoEngage supports create personalization campaigns without code changes. Implementation will depend on clean IndiGo data, complete event instrumentation and integration readiness.</t>
  </si>
  <si>
    <t>Personalization campaigns are created without code changes.</t>
  </si>
  <si>
    <t>Personalization campaigns can be built and launched without code changes.</t>
  </si>
  <si>
    <t>11.4     Ability to modify content, banners, messaging and merchandising placements through visual editors.</t>
  </si>
  <si>
    <t>As showcased in demo, the platform showed strong support for modify content, banners, messaging and merchandising placements through visual editors. The key IndiGo use case and operating controls should be validated during implementation.</t>
  </si>
  <si>
    <t>As demonstrated in demo, the visual/no-code experience editor was covered in the product walkthrough. the capability is credible, with final delivery dependent on IndiGo event instrumentation and integration readiness.</t>
  </si>
  <si>
    <t>As discussed in demo, the visual/no-code experience editor was covered in the product walkthrough. Current web personalization is referenced, but the no-code point-and-click visual marker is on the roadmap. Complex page changes are therefore likely to need technical support today.</t>
  </si>
  <si>
    <t>As showcased in demo, the platform supports modify content, banners, messaging and merchandising placements through visual editors. Implementation will depend on clean IndiGo data, complete event instrumentation and integration readiness.</t>
  </si>
  <si>
    <t>Web content, banners, messaging and merchandising placements are edited visually, and native apps use JSON or code-based experiences.</t>
  </si>
  <si>
    <t>Web content, banners, messaging and merchandising placements are edited visually.</t>
  </si>
  <si>
    <t>11.5     Ability of the system to consume Figma/design files provided by IndiGo and adapt them into the app without engineering support.</t>
  </si>
  <si>
    <t>NC</t>
  </si>
  <si>
    <t>Plotline claims direct Figma import. Fidelity, responsive behavior, component compatibility and production governance should be demonstrated before awarding full credit.</t>
  </si>
  <si>
    <t>Design Agent claims automated conversion of Figma structures into campaign-ready experiences. Fidelity, responsive behavior and app production controls should be confirmed in demo.</t>
  </si>
  <si>
    <t>No current Figma-to-app ingestion capability is evidenced. The roadmap covers a point-and-click web visual marker and content templates, but not direct ingestion of IndiGo design files into the app without engineering.</t>
  </si>
  <si>
    <t>Visual widget editing does not substantiate direct ingestion/translation of Figma design files into a production app. As written, the submitted explanation does not address this requirement.</t>
  </si>
  <si>
    <t>Direct automatic Figma ingestion is not a native capability. Design files serve as the creative source and are rebuilt as reusable components and templates.</t>
  </si>
  <si>
    <t>IndiGo's design files are used as the creative source and rebuilt as reusable components and templates, so teams can change content without waiting for engineering release cycles. Automatic import of Figma files is not a native capability.</t>
  </si>
  <si>
    <t>11.6     Ability to create reusable templates and experiment frameworks.</t>
  </si>
  <si>
    <t>Plotline supports create reusable templates and experiment frameworks. Implementation will depend on clean IndiGo data, complete event instrumentation and integration readiness.</t>
  </si>
  <si>
    <t>WebEngage showed strong support for create reusable templates and experiment frameworks. The key IndiGo use case and operating controls should be validated during implementation.</t>
  </si>
  <si>
    <t>MoEngage supports create reusable templates and experiment frameworks. Implementation will depend on clean IndiGo data, complete event instrumentation and integration readiness.</t>
  </si>
  <si>
    <t>Reusable templates and experiment frameworks are supported.</t>
  </si>
  <si>
    <t>Reusable templates and experiment frameworks are supported and can be created.</t>
  </si>
  <si>
    <t>11.7     Ability to create and launch feature flags through business-friendly interfaces.</t>
  </si>
  <si>
    <t>Dashboard-managed feature flags support percentage rollouts and audience targeting. Technical governance and server-side flag evaluation should be validated for critical booking features.</t>
  </si>
  <si>
    <t>Feature exposure can be controlled through experiments and targeting, but this is not clearly a dedicated enterprise feature-flag management product.</t>
  </si>
  <si>
    <t>Business-managed feature-flag capability is not specifically evidenced in the proposal. Campaign kill switches and rollback controls are not equivalent to a full feature-management platform.</t>
  </si>
  <si>
    <t>Reusable templates do not substantiate lifecycle management of feature flags.</t>
  </si>
  <si>
    <t xml:space="preserve">Code-based experiences gate and roll out features to audiences through a business-friendly interface. </t>
  </si>
  <si>
    <t>Code-based experiences can switch features on for chosen audiences and roll them out gradually, with marketers managing audiences and rollout in the interface.</t>
  </si>
  <si>
    <t>11.8     Ability to manage experiment targeting through drag-and-drop workflows.</t>
  </si>
  <si>
    <t>Plotline supports manage experiment targeting through drag-and-drop workflows. Implementation will depend on clean IndiGo data, complete event instrumentation and integration readiness.</t>
  </si>
  <si>
    <t>Insider One showed strong support for manage experiment targeting through drag-and-drop workflows. The key IndiGo use case and operating controls should be validated during implementation.</t>
  </si>
  <si>
    <t>WebEngage showed strong support for manage experiment targeting through drag-and-drop workflows. The key IndiGo use case and operating controls should be validated during implementation.</t>
  </si>
  <si>
    <t>Reusable template narrative does not clearly explain drag-and-drop experiment targeting.</t>
  </si>
  <si>
    <t>Targeting is configured through visual builders.</t>
  </si>
  <si>
    <t>Targeting is set up in visual, point-and-click builders.</t>
  </si>
  <si>
    <t>11.9     Ability to preview experiences before publishing.</t>
  </si>
  <si>
    <t>Plotline showed strong support for preview experiences before publishing. The key IndiGo use case and operating controls should be validated during implementation.</t>
  </si>
  <si>
    <t>The capability is credible, with final delivery dependent on IndiGo event instrumentation and integration readiness.</t>
  </si>
  <si>
    <t>Dev, UAT and Sandbox environments, sign-off gates and rollback support enable preview and controlled validation before production publication.</t>
  </si>
  <si>
    <t>MoEngage supports preview experiences before publishing. Implementation will depend on clean IndiGo data, complete event instrumentation and integration readiness.</t>
  </si>
  <si>
    <t>Experiences are previewed through QA links before publishing.</t>
  </si>
  <si>
    <t>Experiences can be previewed through QA links before publishing.</t>
  </si>
  <si>
    <t>11.10     Ability to schedule, launch and stop experiments without engineering intervention.</t>
  </si>
  <si>
    <t>Plotline showed strong support for schedule, launch and stop experiments without engineering intervention. The key IndiGo use case and operating controls should be validated during implementation.</t>
  </si>
  <si>
    <t>Business users can operate campaigns and experiments through the no-code interface, with immediate campaign-level stop and rollback controls.</t>
  </si>
  <si>
    <t>MoEngage supports schedule, launch and stop experiments without engineering intervention. Implementation will depend on clean IndiGo data, complete event instrumentation and integration readiness.</t>
  </si>
  <si>
    <t>Experiments are scheduled, launched and stopped by business users.</t>
  </si>
  <si>
    <t>Business users can schedule, launch and stop experiments themselves.</t>
  </si>
  <si>
    <t>11.11     Ability to maintain governance and approval controls while enabling self-service.</t>
  </si>
  <si>
    <t>Plotline supports maintain governance and approval controls while enabling self-service. Implementation will depend on clean IndiGo data, complete event instrumentation and integration readiness.</t>
  </si>
  <si>
    <t>WebEngage provides a strong fit and can apply appropriate governance and access controls with limited customisation. The scoring logic, controls and production maturity should be demonstrated before full credit is awarded.</t>
  </si>
  <si>
    <t>MoEngage supports maintain governance and approval controls while enabling self-service. Implementation will depend on clean IndiGo data, complete event instrumentation and integration readiness.</t>
  </si>
  <si>
    <t>Permissions and approval workflows enable governed self-service.</t>
  </si>
  <si>
    <t>Permissions and approval workflows allow self-service with governance in place.</t>
  </si>
  <si>
    <t>11.12     Role‑based access control, versioning, and audit logs.</t>
  </si>
  <si>
    <t>Plotline supports role-based access control, versioning, and audit logs. Implementation will depend on clean IndiGo data, complete event instrumentation and integration readiness.</t>
  </si>
  <si>
    <t>Insider provides a strong fit and can apply appropriate governance and access controls with limited customisation. Role design, evidence retention and maker-checker controls should be mapped to IndiGo governance.</t>
  </si>
  <si>
    <t>RBAC plus OBAC, SSO, MFA integration and comprehensive audit logging are explicitly described. Version rollback and controlled environment promotion further support governance.</t>
  </si>
  <si>
    <t>Preview/simulation response does not fully evidence access controls, audit logs and versioning.</t>
  </si>
  <si>
    <t>Role-based permissions, activity history and audit logs are provided.</t>
  </si>
  <si>
    <t>11.13     Demonstrate a multi-page personalized experience where coordinated changes across more than one page or module are optimized together and reported as a unified experience. This can be achieved by adding side drawers, new banners, carousels, new component between 2 flight options, add new page between existing ones basis rule/AI etc</t>
  </si>
  <si>
    <t>Demonstrate a multi-page personalized experience where coordinated changes across more than one page or module are optimized together and rep.). Delivery maturity depends on the required IndiGo data feeds and should be validated against the submitted demonstration and integration plan.</t>
  </si>
  <si>
    <t>Demonstrate a multi-page personalized experience where coordinated changes across more than one page or modul. the capability is credible, with final delivery dependent on IndiGo event instrumentation and integration readiness.</t>
  </si>
  <si>
    <t>Multi-page demonstration requested but response repeats preview/simulation; no actual demonstration supplied.</t>
  </si>
  <si>
    <t>Multi-page personalized experiences with side drawers, banners, cards between flight options and added steps are built as coordinated changes, and can be shown in a value demonstration.</t>
  </si>
  <si>
    <t>Multi-page personalized experiences with side drawers, banners, cards between flight options and added steps can be built as coordinated changes and reported as one experience.</t>
  </si>
  <si>
    <t>11.14     Gamification – Ability to be able to add new games like treasure hunt, streakes, spin the wheel etc anywhere on the IndiGo channels</t>
  </si>
  <si>
    <t>Plotline offers spin-wheel, scratch-card, streak and game templates as a differentiator. Placement and personalization are supported, but brand, accessibility and performance controls require validation.</t>
  </si>
  <si>
    <t>Insider offers a broad native no-code gamification library across web and mobile app, including wheel, scratch, memory, slot, streak and challenge mechanics.</t>
  </si>
  <si>
    <t>Native gamification templates or game-building capability are not evidenced in the available material. This should be treated as a gap unless demonstrated during bid defence.</t>
  </si>
  <si>
    <t>Templates are discussed; full breadth of arbitrary games anywhere in web/app and no-code integration not demonstrated.</t>
  </si>
  <si>
    <t>Games such as treasure hunt, streaks and spin-the-wheel are deployed as custom experiences through code-based experiences, with the game logic from IndiGo's development partner.</t>
  </si>
  <si>
    <t>There is no built-in gamification module. Games such as treasure hunt, streaks and spin-the-wheel can be built as custom experiences using code-based experiences and shown on any IndiGo channel that supports them.</t>
  </si>
  <si>
    <t>11.15     Ability to create customer engagement options without any code changes</t>
  </si>
  <si>
    <t>Plotline supports create customer engagement options without any code changes. Implementation will depend on clean IndiGo data, complete event instrumentation and integration readiness.</t>
  </si>
  <si>
    <t>MoEngage supports create customer engagement options without any code changes. Implementation will depend on clean IndiGo data, complete event instrumentation and integration readiness.</t>
  </si>
  <si>
    <t>Engagement experiences are created through visual editors without code changes.</t>
  </si>
  <si>
    <t>Engagement experiences are created in visual editors without code changes.</t>
  </si>
  <si>
    <t>Measurement, Analytics &amp; Business Impact</t>
  </si>
  <si>
    <t>12.1     Ability to measure conversion impact.</t>
  </si>
  <si>
    <t>As showcased in demo, the platform supports measure conversion impact. Implementation will depend on clean IndiGo data, complete event instrumentation and integration readiness.</t>
  </si>
  <si>
    <t>As demonstrated in demo, measurement and business-impact reporting was covered in the product walkthrough. the capability is credible, with final delivery dependent on IndiGo event instrumentation and integration readiness.</t>
  </si>
  <si>
    <t>As discussed in demo, measurement and business-impact reporting was covered in the product walkthrough. The Learn layer supports funnel/cohort analysis, A/B reporting, control groups and revenue attribution. Metric definitions and incremental-lift methodology should be validated.</t>
  </si>
  <si>
    <t>Capability is listed in the PDF without an individual MoEngage compliance declaration or supporting response; compliance cannot be verified from this submission.</t>
  </si>
  <si>
    <t>Conversion impact is a native metric, measured in Adobe Analytics through A4T.</t>
  </si>
  <si>
    <t>Conversion impact is measured with built-in metrics.</t>
  </si>
  <si>
    <t>12.2     Ability to measure ancillary revenue impact.</t>
  </si>
  <si>
    <t>Plotline supports measure ancillary revenue impact. Implementation will depend on clean IndiGo data, complete event instrumentation and integration readiness.</t>
  </si>
  <si>
    <t>The capability is credible and shows strong support, with final delivery dependent on IndiGo event instrumentation and integration readiness.</t>
  </si>
  <si>
    <t>The Learn layer supports funnel/cohort analysis, A/B reporting, control groups and revenue attribution. Metric definitions and incremental-lift methodology should be validated.</t>
  </si>
  <si>
    <t>Ancillary revenue impact is measured with revenue metrics.</t>
  </si>
  <si>
    <t>12.3     Ability to measure repeat booking impact.</t>
  </si>
  <si>
    <t>Plotline supports measure repeat booking impact. Implementation will depend on clean IndiGo data, complete event instrumentation and integration readiness.</t>
  </si>
  <si>
    <t>Repeat-booking impact is measured with visitor-level analysis in Adobe Analytics.</t>
  </si>
  <si>
    <t>Repeat-booking impact is measured on person-level data.</t>
  </si>
  <si>
    <t>12.4     Ability to measure loyalty impact.</t>
  </si>
  <si>
    <t>Plotline supports measure loyalty impact. Implementation will depend on clean IndiGo data, complete event instrumentation and integration readiness.</t>
  </si>
  <si>
    <t>Loyalty impact is measured by loyalty events and segments, depending on loyalty data being supplied into Analytics.</t>
  </si>
  <si>
    <t>Loyalty impact is measured through loyalty events and segments.</t>
  </si>
  <si>
    <t>12.5     Ability to measure incremental revenue.</t>
  </si>
  <si>
    <t>Plotline supports measure incremental revenue. Implementation will depend on clean IndiGo data, complete event instrumentation and integration readiness.</t>
  </si>
  <si>
    <t>Control-versus-variant reporting measures incremental revenue.</t>
  </si>
  <si>
    <t>Incremental revenue is measured by comparing control and variant results.</t>
  </si>
  <si>
    <t>12.6     Ability to attribute outcomes by route, cohort, platform and geography.</t>
  </si>
  <si>
    <t>Plotline supports attribute outcomes by route, cohort, platform and geography. Implementation will depend on clean IndiGo data, complete event instrumentation and integration readiness.</t>
  </si>
  <si>
    <t>Outcomes are attributed by route, cohort, platform and geography.</t>
  </si>
  <si>
    <t>Outcomes are attributed to routes, cohorts, platforms and geographies.</t>
  </si>
  <si>
    <t>12.7     Ability to automatically generate experiment insights.</t>
  </si>
  <si>
    <t>Plotline supports automatically generate experiment insights. Implementation will depend on clean IndiGo data, complete event instrumentation and integration readiness.</t>
  </si>
  <si>
    <t>Standard experiment analytics and an intelligence layer are available, while natural-language Analytics Agent capabilities are roadmap. Automated marketer-facing AI insight depth requires demonstration.</t>
  </si>
  <si>
    <t>Experiment insights are generated automatically in reports and Personalization Insights.</t>
  </si>
  <si>
    <t>Experiment insights are generated automatically in reports and by CX Coworker.</t>
  </si>
  <si>
    <t>12.8     Ability to analyze experiment impact at customer segment and cohort level.</t>
  </si>
  <si>
    <t>Plotline supports analyze experiment impact at customer segment and cohort level. Implementation will depend on clean IndiGo data, complete event instrumentation and integration readiness.</t>
  </si>
  <si>
    <t>Impact is analysed by segment and cohort.</t>
  </si>
  <si>
    <t>Granular KPI impact can be analyzed by customer segment and cohort.</t>
  </si>
  <si>
    <t>12.9         Ability to support executive dashboards and business reporting.</t>
  </si>
  <si>
    <t>Plotline supports support executive dashboards and business reporting. Implementation will depend on clean IndiGo data, complete event instrumentation and integration readiness.</t>
  </si>
  <si>
    <t>Journey, funnel, cohort, experiment and revenue-attribution reporting are supported, with exports to Power BI/Data Lake. Executive dashboard packs should be demonstrated.</t>
  </si>
  <si>
    <t>Executive dashboards and business reporting are built in Adobe Analytics.</t>
  </si>
  <si>
    <t>Executive dashboards and business reporting are built on the AEP platform.</t>
  </si>
  <si>
    <t>12.10     Ability to measure the impact of AB test experiment and provide dashboards around the same</t>
  </si>
  <si>
    <t>Plotline supports measure the impact of AB test experiment and provide dashboards around the same. Implementation will depend on clean IndiGo data, complete event instrumentation and integration readiness.</t>
  </si>
  <si>
    <t>A/B test impact dashboards are native.</t>
  </si>
  <si>
    <t>Dashboards showing A/B test impact are built in and natively reportable within AEP.</t>
  </si>
  <si>
    <t xml:space="preserve">12.11     Ability to provide marketer-facing AI insights for personalization and optimization activities, including:  </t>
  </si>
  <si>
    <t>Marketer-facing AI insights, ranked drivers and automated segment explanations are not available natively.</t>
  </si>
  <si>
    <t>Insights Agent, predictive segments and AI optimization provide strong marketer-facing intelligence, although some insight capabilities are still rolling out.</t>
  </si>
  <si>
    <t>Marketer-facing AI insights are available as below.</t>
  </si>
  <si>
    <t>Marketer-facing AI insights are available, as listed below.</t>
  </si>
  <si>
    <t xml:space="preserve">12.12     Ranked important attributes influencing model decisions and lift  </t>
  </si>
  <si>
    <t>Plotline does not expose native model-feature importance because predictive decisioning models are not included.</t>
  </si>
  <si>
    <t>Predictive dashboards surface feature importance and weights, helping marketers understand model drivers.</t>
  </si>
  <si>
    <t>Attribute-level model-driver ranking is not evidenced as a current marketer-facing feature. Explainability for per-visitor selection is included in the Auto-Target roadmap.</t>
  </si>
  <si>
    <t>Personalization Insights report ranks the top 10 attributes influencing Automated Personalization or Auto-Target decisions and shows their relative importance.</t>
  </si>
  <si>
    <t xml:space="preserve">12.13     Visibility into automatically identified segments or cohorts contributing to performance </t>
  </si>
  <si>
    <t>Rule-based and funnel-derived segments are supported, but automated ML-discovered cohorts are not native.</t>
  </si>
  <si>
    <t>Predictive segmentation and analytics reveal high-performing cohorts and allow segment-level experiment analysis.</t>
  </si>
  <si>
    <t>Predictive segments and diagnostic analytics are described, but automatically discovered cohort explanations contributing to performance are not clearly evidenced as a current feature.</t>
  </si>
  <si>
    <t>Personalization Insights surfaces automatically identified segments contributing to performance.</t>
  </si>
  <si>
    <t>Personalization Insights highlights the segments the AI found that contributed to performance.</t>
  </si>
  <si>
    <t xml:space="preserve">12.14     Human-readable explanations of why a variant, offer, or experience performed better for a given audience </t>
  </si>
  <si>
    <t>Experiment results explain variant performance and confidence, but do not explain individual AI-driven offer or experience selection.</t>
  </si>
  <si>
    <t>Top drivers and segments are available, but natural-language explanations remain partly manual and the AI Insights Agent is still rolling out.</t>
  </si>
  <si>
    <t>WebEngage provides experiment and analytics reporting, but human-readable causal explanations of why an individual offer or experience won for a specific audience are not fully evidenced; the Analytics Agent is roadmap.</t>
  </si>
  <si>
    <t>Human-readable explanations are provided by Personalization Insights, and narratives come from analyst interpretation.</t>
  </si>
  <si>
    <t>Plain-language explanations of why a variant or offer performed better for an audience come from Personalization Insights and CX Coworker summaries.</t>
  </si>
  <si>
    <t xml:space="preserve">12.15     Exportable insight views for business reporting and optimization planning. </t>
  </si>
  <si>
    <t>Campaign and experiment data can be exported through CSV, APIs and webhooks; AI-specific insight views are limited.</t>
  </si>
  <si>
    <t>CSV, Excel, PDF, API and BI integrations provide strong export and leadership-reporting options.</t>
  </si>
  <si>
    <t>Campaign, journey and decision logs can be exported via S3, REST APIs and webhooks for Power BI and enterprise reporting.</t>
  </si>
  <si>
    <t>Insight views export to CSV or PDF for reporting and planning.</t>
  </si>
  <si>
    <t>Insight views can be exported to CSV for reporting and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</si>
</sst>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scheme val="minor"/>
    </font>
    <font>
      <b/>
      <sz val="12"/>
      <color theme="1"/>
      <name val="Calibri"/>
      <family val="2"/>
      <scheme val="minor"/>
    </font>
    <font>
      <b/>
      <sz val="10"/>
      <color theme="1"/>
      <name val="Calibri"/>
      <family val="2"/>
      <scheme val="minor"/>
    </font>
    <font>
      <b/>
      <sz val="16"/>
      <color theme="0"/>
      <name val="Calibri"/>
      <family val="2"/>
      <scheme val="minor"/>
    </font>
    <font>
      <b/>
      <sz val="12"/>
      <name val="Calibri (Body)"/>
    </font>
    <font>
      <b/>
      <sz val="11"/>
      <name val="Calibri"/>
      <family val="2"/>
      <scheme val="minor"/>
    </font>
    <font>
      <sz val="12"/>
      <color rgb="FF000000"/>
      <name val="Calibri (Body)"/>
    </font>
    <font>
      <sz val="11"/>
      <color rgb="FF000000"/>
      <name val="Calibri"/>
      <family val="2"/>
      <scheme val="minor"/>
    </font>
    <font>
      <sz val="11"/>
      <color rgb="FF000000"/>
      <name val="Calibri"/>
      <family val="2"/>
      <charset val="1"/>
    </font>
    <font>
      <sz val="12"/>
      <name val="Calibri"/>
      <family val="2"/>
    </font>
    <font>
      <sz val="12"/>
      <name val="Calibri (Body)"/>
    </font>
    <font>
      <sz val="12"/>
      <color theme="1"/>
      <name val="Calibri (Body)"/>
    </font>
    <font>
      <sz val="12"/>
      <color theme="1"/>
      <name val="Adobe-Clean"/>
      <charset val="1"/>
    </font>
  </fonts>
  <fills count="5">
    <fill>
      <patternFill patternType="none"/>
    </fill>
    <fill>
      <patternFill patternType="gray125"/>
    </fill>
    <fill>
      <patternFill patternType="solid">
        <fgColor rgb="FF00B0F0"/>
        <bgColor indexed="64"/>
      </patternFill>
    </fill>
    <fill>
      <patternFill patternType="solid">
        <fgColor theme="4" tint="0.59999389629810485"/>
        <bgColor indexed="64"/>
      </patternFill>
    </fill>
    <fill>
      <patternFill patternType="solid">
        <fgColor rgb="FFE2F0D9"/>
      </patternFill>
    </fill>
  </fills>
  <borders count="4">
    <border>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2" borderId="2" xfId="0" applyFont="1" applyFill="1" applyBorder="1" applyAlignment="1">
      <alignment horizontal="center" vertical="top" wrapText="1"/>
    </xf>
    <xf numFmtId="0" fontId="5" fillId="3" borderId="3"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0" borderId="3" xfId="0" applyFont="1" applyBorder="1" applyAlignment="1">
      <alignment horizontal="center" vertical="center" wrapText="1"/>
    </xf>
    <xf numFmtId="0" fontId="6" fillId="3" borderId="3" xfId="0" applyFont="1" applyFill="1" applyBorder="1" applyAlignment="1">
      <alignment horizontal="center" vertical="top"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justify" vertical="center" wrapText="1"/>
    </xf>
    <xf numFmtId="9" fontId="8" fillId="0" borderId="3" xfId="1" applyFont="1" applyBorder="1" applyAlignment="1">
      <alignment horizontal="center" vertical="center" wrapText="1"/>
    </xf>
    <xf numFmtId="0" fontId="0" fillId="0" borderId="3" xfId="0" applyBorder="1" applyAlignment="1">
      <alignment horizontal="center" vertical="center"/>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 fillId="0" borderId="3" xfId="0" applyFont="1" applyBorder="1" applyAlignment="1">
      <alignment horizontal="left" vertical="center" wrapText="1" indent="1"/>
    </xf>
    <xf numFmtId="0" fontId="1" fillId="0" borderId="3" xfId="0" applyFont="1" applyBorder="1" applyAlignment="1">
      <alignment horizontal="left" vertical="center" wrapText="1" indent="1"/>
    </xf>
    <xf numFmtId="0" fontId="0" fillId="0" borderId="3" xfId="0" applyFont="1" applyBorder="1" applyAlignment="1">
      <alignment vertical="center" wrapText="1"/>
    </xf>
    <xf numFmtId="0" fontId="10" fillId="0" borderId="3" xfId="0" applyFont="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Border="1"/>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1" fillId="0" borderId="3" xfId="0" applyFont="1" applyBorder="1" applyAlignment="1">
      <alignment horizontal="left" vertical="center" wrapText="1" indent="2"/>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left" vertical="center" wrapText="1"/>
    </xf>
    <xf numFmtId="0" fontId="0" fillId="0" borderId="3" xfId="0" applyBorder="1" applyAlignment="1">
      <alignment horizontal="left" vertical="center" wrapText="1" indent="1"/>
    </xf>
    <xf numFmtId="0" fontId="0" fillId="0" borderId="3" xfId="0" applyFont="1" applyBorder="1" applyAlignment="1">
      <alignment horizontal="left" vertical="center" wrapText="1" indent="1"/>
    </xf>
    <xf numFmtId="0" fontId="12" fillId="0" borderId="3" xfId="0" applyFont="1" applyBorder="1" applyAlignment="1">
      <alignment horizontal="left"/>
    </xf>
    <xf numFmtId="0" fontId="0" fillId="0" borderId="3" xfId="0" applyBorder="1" applyAlignment="1">
      <alignment horizontal="left" vertical="center" wrapText="1" indent="1"/>
    </xf>
    <xf numFmtId="0" fontId="7" fillId="0" borderId="3" xfId="0" applyFont="1" applyBorder="1" applyAlignment="1">
      <alignment horizontal="left" vertical="center" wrapText="1"/>
    </xf>
    <xf numFmtId="0" fontId="13" fillId="0" borderId="0" xfId="0" applyFont="1" applyAlignment="1">
      <alignment vertical="center" wrapText="1"/>
    </xf>
    <xf numFmtId="0" fontId="11" fillId="0" borderId="3" xfId="0" applyFont="1" applyBorder="1" applyAlignment="1">
      <alignment vertical="center" wrapText="1"/>
    </xf>
    <xf numFmtId="9" fontId="6" fillId="4" borderId="0" xfId="0" applyNumberFormat="1"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9" fontId="6" fillId="0" borderId="0" xfId="0" applyNumberFormat="1" applyFont="1" applyFill="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DE2C-3CAC-43AF-8543-A2619AB5DD16}">
  <dimension ref="A1:AB1048511"/>
  <sheetViews>
    <sheetView showGridLines="0" tabSelected="1" topLeftCell="B1" zoomScale="73" zoomScaleNormal="70" workbookViewId="0">
      <pane ySplit="2" topLeftCell="A3" activePane="bottomLeft" state="frozen"/>
      <selection activeCell="T1" sqref="T1"/>
      <selection pane="bottomLeft" activeCell="Y179" sqref="Y179:Y193"/>
    </sheetView>
  </sheetViews>
  <sheetFormatPr defaultColWidth="8.77734375" defaultRowHeight="14.4"/>
  <cols>
    <col min="1" max="1" width="4.6640625" style="1" bestFit="1" customWidth="1"/>
    <col min="2" max="2" width="40.88671875" style="2" bestFit="1" customWidth="1"/>
    <col min="3" max="3" width="75" style="3" bestFit="1" customWidth="1"/>
    <col min="4" max="4" width="19.5546875" style="1" bestFit="1" customWidth="1"/>
    <col min="5" max="5" width="9.88671875" style="41" bestFit="1" customWidth="1"/>
    <col min="6" max="6" width="11.6640625" style="41" bestFit="1" customWidth="1"/>
    <col min="7" max="7" width="10.6640625" style="1" bestFit="1" customWidth="1"/>
    <col min="8" max="8" width="11.6640625" style="1" bestFit="1" customWidth="1"/>
    <col min="9" max="9" width="11" style="41" bestFit="1" customWidth="1"/>
    <col min="10" max="10" width="11.6640625" style="41" bestFit="1" customWidth="1"/>
    <col min="11" max="11" width="10" style="41" bestFit="1" customWidth="1"/>
    <col min="12" max="12" width="11.6640625" style="41" bestFit="1" customWidth="1"/>
    <col min="13" max="13" width="12.33203125" style="1" customWidth="1"/>
    <col min="14" max="14" width="11.21875" style="1" customWidth="1"/>
    <col min="15" max="15" width="10.88671875" style="1" customWidth="1"/>
    <col min="16" max="16" width="18.21875" style="1" customWidth="1"/>
    <col min="17" max="17" width="90.109375" style="42" bestFit="1" customWidth="1"/>
    <col min="18" max="18" width="110.77734375" style="42" bestFit="1" customWidth="1"/>
    <col min="19" max="19" width="80.88671875" style="42" bestFit="1" customWidth="1"/>
    <col min="20" max="20" width="79.109375" style="42" customWidth="1"/>
    <col min="21" max="21" width="78" style="3" customWidth="1"/>
    <col min="22" max="22" width="118" customWidth="1"/>
    <col min="23" max="26" width="19.5546875" style="1" bestFit="1" customWidth="1"/>
    <col min="27" max="27" width="11.6640625" style="3" customWidth="1"/>
    <col min="28" max="28" width="15.44140625" style="3" customWidth="1"/>
    <col min="29" max="16384" width="8.77734375" style="3"/>
  </cols>
  <sheetData>
    <row r="1" spans="1:28" ht="21">
      <c r="E1" s="4" t="s">
        <v>0</v>
      </c>
      <c r="F1" s="5"/>
      <c r="G1" s="4" t="s">
        <v>1</v>
      </c>
      <c r="H1" s="5"/>
      <c r="I1" s="4" t="s">
        <v>2</v>
      </c>
      <c r="J1" s="5"/>
      <c r="K1" s="4" t="s">
        <v>3</v>
      </c>
      <c r="L1" s="5"/>
      <c r="M1" s="4" t="s">
        <v>4</v>
      </c>
      <c r="N1" s="5"/>
      <c r="O1" s="4" t="s">
        <v>5</v>
      </c>
      <c r="P1" s="5"/>
      <c r="Q1" s="6" t="s">
        <v>6</v>
      </c>
      <c r="R1" s="6"/>
      <c r="S1" s="6"/>
      <c r="T1" s="6"/>
      <c r="U1" s="6"/>
      <c r="V1" s="6"/>
      <c r="W1" s="7" t="s">
        <v>7</v>
      </c>
      <c r="X1" s="7"/>
      <c r="Y1" s="7"/>
      <c r="Z1" s="7"/>
      <c r="AA1" s="7"/>
      <c r="AB1" s="7"/>
    </row>
    <row r="2" spans="1:28" s="2" customFormat="1" ht="31.2">
      <c r="A2" s="8" t="s">
        <v>8</v>
      </c>
      <c r="B2" s="8" t="s">
        <v>9</v>
      </c>
      <c r="C2" s="8" t="s">
        <v>10</v>
      </c>
      <c r="D2" s="9" t="s">
        <v>11</v>
      </c>
      <c r="E2" s="10" t="s">
        <v>12</v>
      </c>
      <c r="F2" s="10" t="s">
        <v>13</v>
      </c>
      <c r="G2" s="10" t="s">
        <v>12</v>
      </c>
      <c r="H2" s="10" t="s">
        <v>13</v>
      </c>
      <c r="I2" s="10" t="s">
        <v>12</v>
      </c>
      <c r="J2" s="10" t="s">
        <v>13</v>
      </c>
      <c r="K2" s="10" t="s">
        <v>12</v>
      </c>
      <c r="L2" s="10" t="s">
        <v>13</v>
      </c>
      <c r="M2" s="10" t="s">
        <v>12</v>
      </c>
      <c r="N2" s="10" t="s">
        <v>13</v>
      </c>
      <c r="O2" s="10" t="s">
        <v>12</v>
      </c>
      <c r="P2" s="10" t="s">
        <v>13</v>
      </c>
      <c r="Q2" s="11" t="s">
        <v>14</v>
      </c>
      <c r="R2" s="11" t="s">
        <v>15</v>
      </c>
      <c r="S2" s="11" t="s">
        <v>16</v>
      </c>
      <c r="T2" s="11" t="s">
        <v>17</v>
      </c>
      <c r="U2" s="8" t="s">
        <v>18</v>
      </c>
      <c r="V2" s="8" t="s">
        <v>19</v>
      </c>
      <c r="W2" s="12" t="s">
        <v>20</v>
      </c>
      <c r="X2" s="9" t="s">
        <v>21</v>
      </c>
      <c r="Y2" s="9" t="s">
        <v>22</v>
      </c>
      <c r="Z2" s="9" t="s">
        <v>23</v>
      </c>
      <c r="AA2" s="9" t="s">
        <v>4</v>
      </c>
      <c r="AB2" s="9" t="s">
        <v>5</v>
      </c>
    </row>
    <row r="3" spans="1:28" ht="62.4">
      <c r="A3" s="13">
        <v>1</v>
      </c>
      <c r="B3" s="14" t="s">
        <v>24</v>
      </c>
      <c r="C3" s="15" t="s">
        <v>25</v>
      </c>
      <c r="D3" s="16">
        <v>0.08</v>
      </c>
      <c r="E3" s="17" t="str">
        <f>IF(F3=3,"C",IF(F3=1,"PC",IF(F3=0,"NC","")))</f>
        <v>C</v>
      </c>
      <c r="F3" s="17">
        <v>3</v>
      </c>
      <c r="G3" s="17" t="str">
        <f>IF(H3=3,"C",IF(H3=1,"PC",IF(H3=0,"NC","")))</f>
        <v>C</v>
      </c>
      <c r="H3" s="17">
        <v>3</v>
      </c>
      <c r="I3" s="17" t="str">
        <f>IF(J3=3,"C",IF(J3=1,"PC",IF(J3=0,"NC","")))</f>
        <v>C</v>
      </c>
      <c r="J3" s="18">
        <v>3</v>
      </c>
      <c r="K3" s="17" t="str">
        <f>IF(L3=3,"C",IF(L3=1,"PC",IF(L3=0,"NC","")))</f>
        <v>PC</v>
      </c>
      <c r="L3" s="17">
        <v>1</v>
      </c>
      <c r="M3" s="19" t="s">
        <v>26</v>
      </c>
      <c r="N3" s="17">
        <f t="shared" ref="N3:P66" si="0">IF(M3="C",3,IF(M3="PC",1,IF(M3="NC",0,"")))</f>
        <v>3</v>
      </c>
      <c r="O3" s="19" t="s">
        <v>26</v>
      </c>
      <c r="P3" s="17">
        <f t="shared" si="0"/>
        <v>3</v>
      </c>
      <c r="Q3" s="20" t="s">
        <v>27</v>
      </c>
      <c r="R3" s="21" t="s">
        <v>28</v>
      </c>
      <c r="S3" s="20" t="s">
        <v>29</v>
      </c>
      <c r="T3" s="22" t="s">
        <v>30</v>
      </c>
      <c r="U3" s="23" t="s">
        <v>31</v>
      </c>
      <c r="V3" s="24" t="s">
        <v>32</v>
      </c>
      <c r="W3" s="16">
        <f>AVERAGE(F3:F10)*$D3/3</f>
        <v>7.3333333333333334E-2</v>
      </c>
      <c r="X3" s="16">
        <f>AVERAGE(H3:H10)*$D3/3</f>
        <v>0.08</v>
      </c>
      <c r="Y3" s="16">
        <f>AVERAGE(J3:J10)*$D3/3</f>
        <v>0.08</v>
      </c>
      <c r="Z3" s="16">
        <f>AVERAGE(L3:L10)*$D3/3</f>
        <v>4.6666666666666669E-2</v>
      </c>
      <c r="AA3" s="16">
        <f>AVERAGE(N3:N10)*$D3/3</f>
        <v>0.08</v>
      </c>
      <c r="AB3" s="16">
        <f>AVERAGE(P3:P10)*$D3/3</f>
        <v>0.08</v>
      </c>
    </row>
    <row r="4" spans="1:28" ht="45">
      <c r="A4" s="25"/>
      <c r="B4" s="25"/>
      <c r="C4" s="15" t="s">
        <v>33</v>
      </c>
      <c r="D4" s="16"/>
      <c r="E4" s="17" t="str">
        <f t="shared" ref="E4:E67" si="1">IF(F4=3,"C",IF(F4=1,"PC",IF(F4=0,"NC","")))</f>
        <v>C</v>
      </c>
      <c r="F4" s="17">
        <v>3</v>
      </c>
      <c r="G4" s="17" t="str">
        <f t="shared" ref="G4:G67" si="2">IF(H4=3,"C",IF(H4=1,"PC",IF(H4=0,"NC","")))</f>
        <v>C</v>
      </c>
      <c r="H4" s="17">
        <v>3</v>
      </c>
      <c r="I4" s="17" t="str">
        <f t="shared" ref="I4:I67" si="3">IF(J4=3,"C",IF(J4=1,"PC",IF(J4=0,"NC","")))</f>
        <v>C</v>
      </c>
      <c r="J4" s="18">
        <v>3</v>
      </c>
      <c r="K4" s="17" t="str">
        <f t="shared" ref="K4:K67" si="4">IF(L4=3,"C",IF(L4=1,"PC",IF(L4=0,"NC","")))</f>
        <v>PC</v>
      </c>
      <c r="L4" s="17">
        <v>1</v>
      </c>
      <c r="M4" s="19" t="s">
        <v>26</v>
      </c>
      <c r="N4" s="17">
        <f t="shared" si="0"/>
        <v>3</v>
      </c>
      <c r="O4" s="19" t="s">
        <v>26</v>
      </c>
      <c r="P4" s="17">
        <f t="shared" si="0"/>
        <v>3</v>
      </c>
      <c r="Q4" s="20"/>
      <c r="R4" s="21" t="s">
        <v>34</v>
      </c>
      <c r="S4" s="20"/>
      <c r="T4" s="22" t="s">
        <v>35</v>
      </c>
      <c r="U4" s="23" t="s">
        <v>36</v>
      </c>
      <c r="V4" s="24" t="s">
        <v>37</v>
      </c>
      <c r="W4" s="16"/>
      <c r="X4" s="16"/>
      <c r="Y4" s="16"/>
      <c r="Z4" s="16"/>
      <c r="AA4" s="16"/>
      <c r="AB4" s="16"/>
    </row>
    <row r="5" spans="1:28" ht="31.2">
      <c r="A5" s="25"/>
      <c r="B5" s="25"/>
      <c r="C5" s="15" t="s">
        <v>38</v>
      </c>
      <c r="D5" s="16"/>
      <c r="E5" s="17" t="str">
        <f t="shared" si="1"/>
        <v>C</v>
      </c>
      <c r="F5" s="17">
        <v>3</v>
      </c>
      <c r="G5" s="17" t="str">
        <f t="shared" si="2"/>
        <v>C</v>
      </c>
      <c r="H5" s="17">
        <v>3</v>
      </c>
      <c r="I5" s="17" t="str">
        <f t="shared" si="3"/>
        <v>C</v>
      </c>
      <c r="J5" s="18">
        <v>3</v>
      </c>
      <c r="K5" s="17" t="str">
        <f t="shared" si="4"/>
        <v>C</v>
      </c>
      <c r="L5" s="17">
        <v>3</v>
      </c>
      <c r="M5" s="19" t="s">
        <v>26</v>
      </c>
      <c r="N5" s="17">
        <f t="shared" si="0"/>
        <v>3</v>
      </c>
      <c r="O5" s="19" t="s">
        <v>26</v>
      </c>
      <c r="P5" s="17">
        <f t="shared" si="0"/>
        <v>3</v>
      </c>
      <c r="Q5" s="20"/>
      <c r="R5" s="21" t="s">
        <v>39</v>
      </c>
      <c r="S5" s="20"/>
      <c r="T5" s="26"/>
      <c r="U5" s="23" t="s">
        <v>40</v>
      </c>
      <c r="V5" s="24" t="s">
        <v>41</v>
      </c>
      <c r="W5" s="16"/>
      <c r="X5" s="16"/>
      <c r="Y5" s="16"/>
      <c r="Z5" s="16"/>
      <c r="AA5" s="16"/>
      <c r="AB5" s="16"/>
    </row>
    <row r="6" spans="1:28" ht="46.8">
      <c r="A6" s="25"/>
      <c r="B6" s="25"/>
      <c r="C6" s="15" t="s">
        <v>42</v>
      </c>
      <c r="D6" s="16"/>
      <c r="E6" s="17" t="str">
        <f t="shared" si="1"/>
        <v>C</v>
      </c>
      <c r="F6" s="17">
        <v>3</v>
      </c>
      <c r="G6" s="17" t="str">
        <f t="shared" si="2"/>
        <v>C</v>
      </c>
      <c r="H6" s="17">
        <v>3</v>
      </c>
      <c r="I6" s="17" t="str">
        <f t="shared" si="3"/>
        <v>C</v>
      </c>
      <c r="J6" s="18">
        <v>3</v>
      </c>
      <c r="K6" s="17" t="str">
        <f t="shared" si="4"/>
        <v>PC</v>
      </c>
      <c r="L6" s="17">
        <v>1</v>
      </c>
      <c r="M6" s="19" t="s">
        <v>26</v>
      </c>
      <c r="N6" s="17">
        <f t="shared" si="0"/>
        <v>3</v>
      </c>
      <c r="O6" s="19" t="s">
        <v>26</v>
      </c>
      <c r="P6" s="17">
        <f t="shared" si="0"/>
        <v>3</v>
      </c>
      <c r="Q6" s="20"/>
      <c r="R6" s="21" t="s">
        <v>43</v>
      </c>
      <c r="S6" s="20"/>
      <c r="T6" s="22" t="s">
        <v>44</v>
      </c>
      <c r="U6" s="23" t="s">
        <v>45</v>
      </c>
      <c r="V6" s="24" t="s">
        <v>46</v>
      </c>
      <c r="W6" s="16"/>
      <c r="X6" s="16"/>
      <c r="Y6" s="16"/>
      <c r="Z6" s="16"/>
      <c r="AA6" s="16"/>
      <c r="AB6" s="16"/>
    </row>
    <row r="7" spans="1:28" ht="31.2">
      <c r="A7" s="25"/>
      <c r="B7" s="25"/>
      <c r="C7" s="15" t="s">
        <v>47</v>
      </c>
      <c r="D7" s="16"/>
      <c r="E7" s="17" t="str">
        <f t="shared" si="1"/>
        <v>C</v>
      </c>
      <c r="F7" s="17">
        <v>3</v>
      </c>
      <c r="G7" s="17" t="str">
        <f t="shared" si="2"/>
        <v>C</v>
      </c>
      <c r="H7" s="17">
        <v>3</v>
      </c>
      <c r="I7" s="17" t="str">
        <f t="shared" si="3"/>
        <v>C</v>
      </c>
      <c r="J7" s="18">
        <v>3</v>
      </c>
      <c r="K7" s="17" t="str">
        <f t="shared" si="4"/>
        <v>PC</v>
      </c>
      <c r="L7" s="17">
        <v>1</v>
      </c>
      <c r="M7" s="19" t="s">
        <v>26</v>
      </c>
      <c r="N7" s="17">
        <f t="shared" si="0"/>
        <v>3</v>
      </c>
      <c r="O7" s="19" t="s">
        <v>26</v>
      </c>
      <c r="P7" s="17">
        <f t="shared" si="0"/>
        <v>3</v>
      </c>
      <c r="Q7" s="20"/>
      <c r="R7" s="21" t="s">
        <v>48</v>
      </c>
      <c r="S7" s="20"/>
      <c r="T7" s="26" t="s">
        <v>49</v>
      </c>
      <c r="U7" s="23" t="s">
        <v>50</v>
      </c>
      <c r="V7" s="24" t="s">
        <v>51</v>
      </c>
      <c r="W7" s="16"/>
      <c r="X7" s="16"/>
      <c r="Y7" s="16"/>
      <c r="Z7" s="16"/>
      <c r="AA7" s="16"/>
      <c r="AB7" s="16"/>
    </row>
    <row r="8" spans="1:28" ht="31.2">
      <c r="A8" s="25"/>
      <c r="B8" s="25"/>
      <c r="C8" s="15" t="s">
        <v>52</v>
      </c>
      <c r="D8" s="16"/>
      <c r="E8" s="17" t="str">
        <f t="shared" si="1"/>
        <v>C</v>
      </c>
      <c r="F8" s="17">
        <v>3</v>
      </c>
      <c r="G8" s="17" t="str">
        <f t="shared" si="2"/>
        <v>C</v>
      </c>
      <c r="H8" s="17">
        <v>3</v>
      </c>
      <c r="I8" s="17" t="str">
        <f t="shared" si="3"/>
        <v>C</v>
      </c>
      <c r="J8" s="18">
        <v>3</v>
      </c>
      <c r="K8" s="17" t="str">
        <f t="shared" si="4"/>
        <v>PC</v>
      </c>
      <c r="L8" s="17">
        <v>1</v>
      </c>
      <c r="M8" s="19" t="s">
        <v>26</v>
      </c>
      <c r="N8" s="17">
        <f t="shared" si="0"/>
        <v>3</v>
      </c>
      <c r="O8" s="19" t="s">
        <v>26</v>
      </c>
      <c r="P8" s="17">
        <f t="shared" si="0"/>
        <v>3</v>
      </c>
      <c r="Q8" s="20"/>
      <c r="R8" s="21" t="s">
        <v>53</v>
      </c>
      <c r="S8" s="21" t="s">
        <v>54</v>
      </c>
      <c r="T8" s="26" t="s">
        <v>55</v>
      </c>
      <c r="U8" s="23" t="s">
        <v>56</v>
      </c>
      <c r="V8" s="24" t="s">
        <v>57</v>
      </c>
      <c r="W8" s="16"/>
      <c r="X8" s="16"/>
      <c r="Y8" s="16"/>
      <c r="Z8" s="16"/>
      <c r="AA8" s="16"/>
      <c r="AB8" s="16"/>
    </row>
    <row r="9" spans="1:28" ht="43.2">
      <c r="A9" s="25"/>
      <c r="B9" s="25"/>
      <c r="C9" s="15" t="s">
        <v>58</v>
      </c>
      <c r="D9" s="16"/>
      <c r="E9" s="17" t="str">
        <f t="shared" si="1"/>
        <v>PC</v>
      </c>
      <c r="F9" s="17">
        <v>1</v>
      </c>
      <c r="G9" s="17" t="str">
        <f t="shared" si="2"/>
        <v>C</v>
      </c>
      <c r="H9" s="17">
        <v>3</v>
      </c>
      <c r="I9" s="17" t="str">
        <f t="shared" si="3"/>
        <v>C</v>
      </c>
      <c r="J9" s="18">
        <v>3</v>
      </c>
      <c r="K9" s="17" t="str">
        <f t="shared" si="4"/>
        <v>C</v>
      </c>
      <c r="L9" s="17">
        <v>3</v>
      </c>
      <c r="M9" s="19" t="s">
        <v>26</v>
      </c>
      <c r="N9" s="17">
        <f t="shared" si="0"/>
        <v>3</v>
      </c>
      <c r="O9" s="19" t="s">
        <v>26</v>
      </c>
      <c r="P9" s="17">
        <f t="shared" si="0"/>
        <v>3</v>
      </c>
      <c r="Q9" s="20"/>
      <c r="R9" s="21" t="s">
        <v>59</v>
      </c>
      <c r="S9" s="21" t="s">
        <v>60</v>
      </c>
      <c r="T9" s="26"/>
      <c r="U9" s="23" t="s">
        <v>61</v>
      </c>
      <c r="V9" s="24" t="s">
        <v>62</v>
      </c>
      <c r="W9" s="16"/>
      <c r="X9" s="16"/>
      <c r="Y9" s="16"/>
      <c r="Z9" s="16"/>
      <c r="AA9" s="16"/>
      <c r="AB9" s="16"/>
    </row>
    <row r="10" spans="1:28" ht="46.8">
      <c r="A10" s="25"/>
      <c r="B10" s="25"/>
      <c r="C10" s="15" t="s">
        <v>63</v>
      </c>
      <c r="D10" s="16"/>
      <c r="E10" s="17" t="str">
        <f t="shared" si="1"/>
        <v>C</v>
      </c>
      <c r="F10" s="17">
        <v>3</v>
      </c>
      <c r="G10" s="17" t="str">
        <f t="shared" si="2"/>
        <v>C</v>
      </c>
      <c r="H10" s="17">
        <v>3</v>
      </c>
      <c r="I10" s="17" t="str">
        <f t="shared" si="3"/>
        <v>C</v>
      </c>
      <c r="J10" s="18">
        <v>3</v>
      </c>
      <c r="K10" s="17" t="str">
        <f t="shared" si="4"/>
        <v>C</v>
      </c>
      <c r="L10" s="17">
        <v>3</v>
      </c>
      <c r="M10" s="19" t="s">
        <v>26</v>
      </c>
      <c r="N10" s="17">
        <f t="shared" si="0"/>
        <v>3</v>
      </c>
      <c r="O10" s="19" t="s">
        <v>26</v>
      </c>
      <c r="P10" s="17">
        <f t="shared" si="0"/>
        <v>3</v>
      </c>
      <c r="Q10" s="20"/>
      <c r="R10" s="21" t="s">
        <v>64</v>
      </c>
      <c r="S10" s="21" t="s">
        <v>60</v>
      </c>
      <c r="T10" s="26"/>
      <c r="U10" s="23" t="s">
        <v>65</v>
      </c>
      <c r="V10" s="24" t="s">
        <v>66</v>
      </c>
      <c r="W10" s="16"/>
      <c r="X10" s="16"/>
      <c r="Y10" s="16"/>
      <c r="Z10" s="16"/>
      <c r="AA10" s="16"/>
      <c r="AB10" s="16"/>
    </row>
    <row r="11" spans="1:28" ht="57.6">
      <c r="A11" s="13">
        <v>2</v>
      </c>
      <c r="B11" s="14" t="s">
        <v>67</v>
      </c>
      <c r="C11" s="15" t="s">
        <v>68</v>
      </c>
      <c r="D11" s="16">
        <v>0.05</v>
      </c>
      <c r="E11" s="17" t="str">
        <f t="shared" si="1"/>
        <v>C</v>
      </c>
      <c r="F11" s="17">
        <v>3</v>
      </c>
      <c r="G11" s="17" t="str">
        <f t="shared" si="2"/>
        <v>C</v>
      </c>
      <c r="H11" s="17">
        <v>3</v>
      </c>
      <c r="I11" s="17" t="str">
        <f t="shared" si="3"/>
        <v>C</v>
      </c>
      <c r="J11" s="18">
        <v>3</v>
      </c>
      <c r="K11" s="17" t="str">
        <f t="shared" si="4"/>
        <v>C</v>
      </c>
      <c r="L11" s="17">
        <v>3</v>
      </c>
      <c r="M11" s="19" t="s">
        <v>26</v>
      </c>
      <c r="N11" s="17">
        <f t="shared" si="0"/>
        <v>3</v>
      </c>
      <c r="O11" s="19" t="s">
        <v>26</v>
      </c>
      <c r="P11" s="17">
        <f t="shared" si="0"/>
        <v>3</v>
      </c>
      <c r="Q11" s="20" t="s">
        <v>69</v>
      </c>
      <c r="R11" s="21" t="s">
        <v>70</v>
      </c>
      <c r="S11" s="21" t="s">
        <v>71</v>
      </c>
      <c r="T11" s="21" t="s">
        <v>72</v>
      </c>
      <c r="U11" s="23" t="s">
        <v>73</v>
      </c>
      <c r="V11" s="24" t="s">
        <v>74</v>
      </c>
      <c r="W11" s="16">
        <f>AVERAGE(F11:F23)*$D11/3</f>
        <v>3.0769230769230771E-2</v>
      </c>
      <c r="X11" s="16">
        <f>AVERAGE(H11:H23)*$D11/3</f>
        <v>5.000000000000001E-2</v>
      </c>
      <c r="Y11" s="16">
        <f>AVERAGE(J11:J23)*$D11/3</f>
        <v>3.4615384615384624E-2</v>
      </c>
      <c r="Z11" s="16">
        <f>AVERAGE(L11:L23)*$D11/3</f>
        <v>4.6153846153846156E-2</v>
      </c>
      <c r="AA11" s="16">
        <f>AVERAGE(N11:N23)*$D11/3</f>
        <v>3.7179487179487179E-2</v>
      </c>
      <c r="AB11" s="16">
        <f>AVERAGE(P11:P23)*$D11/3</f>
        <v>5.000000000000001E-2</v>
      </c>
    </row>
    <row r="12" spans="1:28" ht="31.2">
      <c r="A12" s="25"/>
      <c r="B12" s="25"/>
      <c r="C12" s="15" t="s">
        <v>75</v>
      </c>
      <c r="D12" s="16"/>
      <c r="E12" s="17" t="str">
        <f t="shared" si="1"/>
        <v>C</v>
      </c>
      <c r="F12" s="17">
        <v>3</v>
      </c>
      <c r="G12" s="17" t="str">
        <f t="shared" si="2"/>
        <v>C</v>
      </c>
      <c r="H12" s="17">
        <v>3</v>
      </c>
      <c r="I12" s="17" t="str">
        <f t="shared" si="3"/>
        <v>C</v>
      </c>
      <c r="J12" s="18">
        <v>3</v>
      </c>
      <c r="K12" s="17" t="str">
        <f t="shared" si="4"/>
        <v>C</v>
      </c>
      <c r="L12" s="17">
        <v>3</v>
      </c>
      <c r="M12" s="19" t="s">
        <v>26</v>
      </c>
      <c r="N12" s="17">
        <f t="shared" si="0"/>
        <v>3</v>
      </c>
      <c r="O12" s="19" t="s">
        <v>26</v>
      </c>
      <c r="P12" s="17">
        <f t="shared" si="0"/>
        <v>3</v>
      </c>
      <c r="Q12" s="20"/>
      <c r="R12" s="27" t="s">
        <v>76</v>
      </c>
      <c r="S12" s="27" t="s">
        <v>77</v>
      </c>
      <c r="T12" s="27" t="s">
        <v>78</v>
      </c>
      <c r="U12" s="23" t="s">
        <v>79</v>
      </c>
      <c r="V12" s="24" t="s">
        <v>80</v>
      </c>
      <c r="W12" s="16"/>
      <c r="X12" s="16"/>
      <c r="Y12" s="16"/>
      <c r="Z12" s="16"/>
      <c r="AA12" s="16"/>
      <c r="AB12" s="16"/>
    </row>
    <row r="13" spans="1:28" ht="31.2">
      <c r="A13" s="25"/>
      <c r="B13" s="25"/>
      <c r="C13" s="15" t="s">
        <v>81</v>
      </c>
      <c r="D13" s="16"/>
      <c r="E13" s="17" t="str">
        <f t="shared" si="1"/>
        <v>C</v>
      </c>
      <c r="F13" s="17">
        <v>3</v>
      </c>
      <c r="G13" s="17" t="str">
        <f t="shared" si="2"/>
        <v>C</v>
      </c>
      <c r="H13" s="17">
        <v>3</v>
      </c>
      <c r="I13" s="17" t="str">
        <f t="shared" si="3"/>
        <v>C</v>
      </c>
      <c r="J13" s="18">
        <v>3</v>
      </c>
      <c r="K13" s="17" t="str">
        <f t="shared" si="4"/>
        <v>C</v>
      </c>
      <c r="L13" s="17">
        <v>3</v>
      </c>
      <c r="M13" s="19" t="s">
        <v>26</v>
      </c>
      <c r="N13" s="17">
        <f t="shared" si="0"/>
        <v>3</v>
      </c>
      <c r="O13" s="19" t="s">
        <v>26</v>
      </c>
      <c r="P13" s="17">
        <f t="shared" si="0"/>
        <v>3</v>
      </c>
      <c r="Q13" s="20"/>
      <c r="R13" s="27"/>
      <c r="S13" s="27"/>
      <c r="T13" s="27"/>
      <c r="U13" s="23" t="s">
        <v>82</v>
      </c>
      <c r="V13" s="24" t="s">
        <v>83</v>
      </c>
      <c r="W13" s="16"/>
      <c r="X13" s="16"/>
      <c r="Y13" s="16"/>
      <c r="Z13" s="16"/>
      <c r="AA13" s="16"/>
      <c r="AB13" s="16"/>
    </row>
    <row r="14" spans="1:28" ht="15.6">
      <c r="A14" s="25"/>
      <c r="B14" s="25"/>
      <c r="C14" s="15" t="s">
        <v>84</v>
      </c>
      <c r="D14" s="16"/>
      <c r="E14" s="17" t="str">
        <f t="shared" si="1"/>
        <v>C</v>
      </c>
      <c r="F14" s="17">
        <v>3</v>
      </c>
      <c r="G14" s="17" t="str">
        <f t="shared" si="2"/>
        <v>C</v>
      </c>
      <c r="H14" s="17">
        <v>3</v>
      </c>
      <c r="I14" s="17" t="str">
        <f t="shared" si="3"/>
        <v>C</v>
      </c>
      <c r="J14" s="18">
        <v>3</v>
      </c>
      <c r="K14" s="17" t="str">
        <f t="shared" si="4"/>
        <v>C</v>
      </c>
      <c r="L14" s="17">
        <v>3</v>
      </c>
      <c r="M14" s="19" t="s">
        <v>26</v>
      </c>
      <c r="N14" s="17">
        <f t="shared" si="0"/>
        <v>3</v>
      </c>
      <c r="O14" s="19" t="s">
        <v>26</v>
      </c>
      <c r="P14" s="17">
        <f t="shared" si="0"/>
        <v>3</v>
      </c>
      <c r="Q14" s="20"/>
      <c r="R14" s="27"/>
      <c r="S14" s="27"/>
      <c r="T14" s="27"/>
      <c r="U14" s="23" t="s">
        <v>85</v>
      </c>
      <c r="V14" s="24" t="s">
        <v>86</v>
      </c>
      <c r="W14" s="16"/>
      <c r="X14" s="16"/>
      <c r="Y14" s="16"/>
      <c r="Z14" s="16"/>
      <c r="AA14" s="16"/>
      <c r="AB14" s="16"/>
    </row>
    <row r="15" spans="1:28" ht="78">
      <c r="A15" s="25"/>
      <c r="B15" s="25"/>
      <c r="C15" s="15" t="s">
        <v>87</v>
      </c>
      <c r="D15" s="16"/>
      <c r="E15" s="17" t="str">
        <f t="shared" si="1"/>
        <v>C</v>
      </c>
      <c r="F15" s="17">
        <v>3</v>
      </c>
      <c r="G15" s="17" t="str">
        <f t="shared" si="2"/>
        <v>C</v>
      </c>
      <c r="H15" s="17">
        <v>3</v>
      </c>
      <c r="I15" s="17" t="str">
        <f t="shared" si="3"/>
        <v>C</v>
      </c>
      <c r="J15" s="18">
        <v>3</v>
      </c>
      <c r="K15" s="17" t="str">
        <f t="shared" si="4"/>
        <v>C</v>
      </c>
      <c r="L15" s="17">
        <v>3</v>
      </c>
      <c r="M15" s="19" t="s">
        <v>26</v>
      </c>
      <c r="N15" s="17">
        <f t="shared" si="0"/>
        <v>3</v>
      </c>
      <c r="O15" s="19" t="s">
        <v>26</v>
      </c>
      <c r="P15" s="17">
        <f t="shared" si="0"/>
        <v>3</v>
      </c>
      <c r="Q15" s="20"/>
      <c r="R15" s="27"/>
      <c r="S15" s="27"/>
      <c r="T15" s="27"/>
      <c r="U15" s="23" t="s">
        <v>88</v>
      </c>
      <c r="V15" s="24" t="s">
        <v>89</v>
      </c>
      <c r="W15" s="16"/>
      <c r="X15" s="16"/>
      <c r="Y15" s="16"/>
      <c r="Z15" s="16"/>
      <c r="AA15" s="16"/>
      <c r="AB15" s="16"/>
    </row>
    <row r="16" spans="1:28" ht="31.2">
      <c r="A16" s="25"/>
      <c r="B16" s="25"/>
      <c r="C16" s="15" t="s">
        <v>90</v>
      </c>
      <c r="D16" s="16"/>
      <c r="E16" s="17" t="str">
        <f t="shared" si="1"/>
        <v>C</v>
      </c>
      <c r="F16" s="17">
        <v>3</v>
      </c>
      <c r="G16" s="17" t="str">
        <f t="shared" si="2"/>
        <v>C</v>
      </c>
      <c r="H16" s="17">
        <v>3</v>
      </c>
      <c r="I16" s="17" t="str">
        <f t="shared" si="3"/>
        <v>C</v>
      </c>
      <c r="J16" s="18">
        <v>3</v>
      </c>
      <c r="K16" s="17" t="str">
        <f t="shared" si="4"/>
        <v>C</v>
      </c>
      <c r="L16" s="17">
        <v>3</v>
      </c>
      <c r="M16" s="19" t="s">
        <v>26</v>
      </c>
      <c r="N16" s="17">
        <f t="shared" si="0"/>
        <v>3</v>
      </c>
      <c r="O16" s="19" t="s">
        <v>26</v>
      </c>
      <c r="P16" s="17">
        <f t="shared" si="0"/>
        <v>3</v>
      </c>
      <c r="Q16" s="20"/>
      <c r="R16" s="27"/>
      <c r="S16" s="27"/>
      <c r="T16" s="27"/>
      <c r="U16" s="23" t="s">
        <v>91</v>
      </c>
      <c r="V16" s="24" t="s">
        <v>92</v>
      </c>
      <c r="W16" s="16"/>
      <c r="X16" s="16"/>
      <c r="Y16" s="16"/>
      <c r="Z16" s="16"/>
      <c r="AA16" s="16"/>
      <c r="AB16" s="16"/>
    </row>
    <row r="17" spans="1:28" ht="31.2">
      <c r="A17" s="25"/>
      <c r="B17" s="25"/>
      <c r="C17" s="15" t="s">
        <v>93</v>
      </c>
      <c r="D17" s="16"/>
      <c r="E17" s="17" t="str">
        <f t="shared" si="1"/>
        <v>C</v>
      </c>
      <c r="F17" s="17">
        <v>3</v>
      </c>
      <c r="G17" s="17" t="str">
        <f t="shared" si="2"/>
        <v>C</v>
      </c>
      <c r="H17" s="17">
        <v>3</v>
      </c>
      <c r="I17" s="17" t="str">
        <f t="shared" si="3"/>
        <v>C</v>
      </c>
      <c r="J17" s="18">
        <v>3</v>
      </c>
      <c r="K17" s="17" t="str">
        <f t="shared" si="4"/>
        <v>C</v>
      </c>
      <c r="L17" s="17">
        <v>3</v>
      </c>
      <c r="M17" s="19" t="s">
        <v>26</v>
      </c>
      <c r="N17" s="17">
        <f t="shared" si="0"/>
        <v>3</v>
      </c>
      <c r="O17" s="19" t="s">
        <v>26</v>
      </c>
      <c r="P17" s="17">
        <f t="shared" si="0"/>
        <v>3</v>
      </c>
      <c r="Q17" s="20"/>
      <c r="R17" s="27"/>
      <c r="S17" s="27"/>
      <c r="T17" s="27"/>
      <c r="U17" s="23" t="s">
        <v>94</v>
      </c>
      <c r="V17" s="24" t="s">
        <v>95</v>
      </c>
      <c r="W17" s="16"/>
      <c r="X17" s="16"/>
      <c r="Y17" s="16"/>
      <c r="Z17" s="16"/>
      <c r="AA17" s="16"/>
      <c r="AB17" s="16"/>
    </row>
    <row r="18" spans="1:28" ht="46.8">
      <c r="A18" s="25"/>
      <c r="B18" s="25"/>
      <c r="C18" s="15" t="s">
        <v>96</v>
      </c>
      <c r="D18" s="16"/>
      <c r="E18" s="17" t="str">
        <f t="shared" si="1"/>
        <v>NC</v>
      </c>
      <c r="F18" s="28">
        <v>0</v>
      </c>
      <c r="G18" s="17" t="str">
        <f t="shared" si="2"/>
        <v>C</v>
      </c>
      <c r="H18" s="28">
        <v>3</v>
      </c>
      <c r="I18" s="17" t="str">
        <f t="shared" si="3"/>
        <v>C</v>
      </c>
      <c r="J18" s="18">
        <v>3</v>
      </c>
      <c r="K18" s="17" t="str">
        <f t="shared" si="4"/>
        <v>NC</v>
      </c>
      <c r="L18" s="18">
        <v>0</v>
      </c>
      <c r="M18" s="19" t="s">
        <v>97</v>
      </c>
      <c r="N18" s="17">
        <f t="shared" si="0"/>
        <v>1</v>
      </c>
      <c r="O18" s="19" t="s">
        <v>26</v>
      </c>
      <c r="P18" s="17">
        <f t="shared" si="0"/>
        <v>3</v>
      </c>
      <c r="Q18" s="29" t="s">
        <v>98</v>
      </c>
      <c r="R18" s="29" t="s">
        <v>99</v>
      </c>
      <c r="S18" s="29" t="s">
        <v>100</v>
      </c>
      <c r="T18" s="30" t="s">
        <v>101</v>
      </c>
      <c r="U18" s="23" t="s">
        <v>102</v>
      </c>
      <c r="V18" s="24" t="s">
        <v>103</v>
      </c>
      <c r="W18" s="16"/>
      <c r="X18" s="16"/>
      <c r="Y18" s="16"/>
      <c r="Z18" s="16"/>
      <c r="AA18" s="16"/>
      <c r="AB18" s="16"/>
    </row>
    <row r="19" spans="1:28" ht="31.2">
      <c r="A19" s="25"/>
      <c r="B19" s="25"/>
      <c r="C19" s="15" t="s">
        <v>104</v>
      </c>
      <c r="D19" s="16"/>
      <c r="E19" s="17" t="str">
        <f t="shared" si="1"/>
        <v>NC</v>
      </c>
      <c r="F19" s="28">
        <v>0</v>
      </c>
      <c r="G19" s="17" t="str">
        <f t="shared" si="2"/>
        <v>C</v>
      </c>
      <c r="H19" s="28">
        <v>3</v>
      </c>
      <c r="I19" s="17" t="str">
        <f t="shared" si="3"/>
        <v>NC</v>
      </c>
      <c r="J19" s="18">
        <v>0</v>
      </c>
      <c r="K19" s="17" t="str">
        <f t="shared" si="4"/>
        <v>C</v>
      </c>
      <c r="L19" s="18">
        <v>3</v>
      </c>
      <c r="M19" s="19" t="s">
        <v>97</v>
      </c>
      <c r="N19" s="17">
        <f t="shared" si="0"/>
        <v>1</v>
      </c>
      <c r="O19" s="19" t="s">
        <v>26</v>
      </c>
      <c r="P19" s="17">
        <f t="shared" si="0"/>
        <v>3</v>
      </c>
      <c r="Q19" s="29"/>
      <c r="R19" s="29"/>
      <c r="S19" s="29"/>
      <c r="T19" s="30" t="s">
        <v>105</v>
      </c>
      <c r="U19" s="23" t="s">
        <v>106</v>
      </c>
      <c r="V19" s="24" t="s">
        <v>107</v>
      </c>
      <c r="W19" s="16"/>
      <c r="X19" s="16"/>
      <c r="Y19" s="16"/>
      <c r="Z19" s="16"/>
      <c r="AA19" s="16"/>
      <c r="AB19" s="16"/>
    </row>
    <row r="20" spans="1:28" ht="15.6">
      <c r="A20" s="25"/>
      <c r="B20" s="25"/>
      <c r="C20" s="15" t="s">
        <v>108</v>
      </c>
      <c r="D20" s="16"/>
      <c r="E20" s="17" t="str">
        <f t="shared" si="1"/>
        <v>NC</v>
      </c>
      <c r="F20" s="28">
        <v>0</v>
      </c>
      <c r="G20" s="17" t="str">
        <f t="shared" si="2"/>
        <v>C</v>
      </c>
      <c r="H20" s="28">
        <v>3</v>
      </c>
      <c r="I20" s="17" t="str">
        <f t="shared" si="3"/>
        <v>NC</v>
      </c>
      <c r="J20" s="18">
        <v>0</v>
      </c>
      <c r="K20" s="17" t="str">
        <f t="shared" si="4"/>
        <v>C</v>
      </c>
      <c r="L20" s="18">
        <v>3</v>
      </c>
      <c r="M20" s="19" t="s">
        <v>97</v>
      </c>
      <c r="N20" s="17">
        <f t="shared" si="0"/>
        <v>1</v>
      </c>
      <c r="O20" s="19" t="s">
        <v>26</v>
      </c>
      <c r="P20" s="17">
        <f t="shared" si="0"/>
        <v>3</v>
      </c>
      <c r="Q20" s="29"/>
      <c r="R20" s="29"/>
      <c r="S20" s="29"/>
      <c r="T20" s="30"/>
      <c r="U20" s="23" t="s">
        <v>109</v>
      </c>
      <c r="V20" s="24" t="s">
        <v>110</v>
      </c>
      <c r="W20" s="16"/>
      <c r="X20" s="16"/>
      <c r="Y20" s="16"/>
      <c r="Z20" s="16"/>
      <c r="AA20" s="16"/>
      <c r="AB20" s="16"/>
    </row>
    <row r="21" spans="1:28" ht="31.2">
      <c r="A21" s="25"/>
      <c r="B21" s="25"/>
      <c r="C21" s="15" t="s">
        <v>111</v>
      </c>
      <c r="D21" s="16"/>
      <c r="E21" s="17" t="str">
        <f t="shared" si="1"/>
        <v>NC</v>
      </c>
      <c r="F21" s="28">
        <v>0</v>
      </c>
      <c r="G21" s="17" t="str">
        <f t="shared" si="2"/>
        <v>C</v>
      </c>
      <c r="H21" s="28">
        <v>3</v>
      </c>
      <c r="I21" s="17" t="str">
        <f t="shared" si="3"/>
        <v>NC</v>
      </c>
      <c r="J21" s="18">
        <v>0</v>
      </c>
      <c r="K21" s="17" t="str">
        <f t="shared" si="4"/>
        <v>C</v>
      </c>
      <c r="L21" s="18">
        <v>3</v>
      </c>
      <c r="M21" s="19" t="s">
        <v>97</v>
      </c>
      <c r="N21" s="17">
        <f t="shared" si="0"/>
        <v>1</v>
      </c>
      <c r="O21" s="19" t="s">
        <v>26</v>
      </c>
      <c r="P21" s="17">
        <f t="shared" si="0"/>
        <v>3</v>
      </c>
      <c r="Q21" s="29"/>
      <c r="R21" s="29"/>
      <c r="S21" s="29"/>
      <c r="T21" s="30"/>
      <c r="U21" s="23" t="s">
        <v>112</v>
      </c>
      <c r="V21" s="24" t="s">
        <v>113</v>
      </c>
      <c r="W21" s="16"/>
      <c r="X21" s="16"/>
      <c r="Y21" s="16"/>
      <c r="Z21" s="16"/>
      <c r="AA21" s="16"/>
      <c r="AB21" s="16"/>
    </row>
    <row r="22" spans="1:28" ht="15.6">
      <c r="A22" s="25"/>
      <c r="B22" s="25"/>
      <c r="C22" s="15" t="s">
        <v>114</v>
      </c>
      <c r="D22" s="16"/>
      <c r="E22" s="17" t="str">
        <f t="shared" si="1"/>
        <v>NC</v>
      </c>
      <c r="F22" s="28">
        <v>0</v>
      </c>
      <c r="G22" s="17" t="str">
        <f t="shared" si="2"/>
        <v>C</v>
      </c>
      <c r="H22" s="28">
        <v>3</v>
      </c>
      <c r="I22" s="17" t="str">
        <f t="shared" si="3"/>
        <v>NC</v>
      </c>
      <c r="J22" s="18">
        <v>0</v>
      </c>
      <c r="K22" s="17" t="str">
        <f t="shared" si="4"/>
        <v>C</v>
      </c>
      <c r="L22" s="18">
        <v>3</v>
      </c>
      <c r="M22" s="19" t="s">
        <v>97</v>
      </c>
      <c r="N22" s="17">
        <f t="shared" si="0"/>
        <v>1</v>
      </c>
      <c r="O22" s="19" t="s">
        <v>26</v>
      </c>
      <c r="P22" s="17">
        <f t="shared" si="0"/>
        <v>3</v>
      </c>
      <c r="Q22" s="29"/>
      <c r="R22" s="29"/>
      <c r="S22" s="29"/>
      <c r="T22" s="30"/>
      <c r="U22" s="23" t="s">
        <v>115</v>
      </c>
      <c r="V22" s="24" t="s">
        <v>116</v>
      </c>
      <c r="W22" s="16"/>
      <c r="X22" s="16"/>
      <c r="Y22" s="16"/>
      <c r="Z22" s="16"/>
      <c r="AA22" s="16"/>
      <c r="AB22" s="16"/>
    </row>
    <row r="23" spans="1:28" ht="31.2">
      <c r="A23" s="25"/>
      <c r="B23" s="25"/>
      <c r="C23" s="15" t="s">
        <v>117</v>
      </c>
      <c r="D23" s="16"/>
      <c r="E23" s="17" t="str">
        <f t="shared" si="1"/>
        <v>C</v>
      </c>
      <c r="F23" s="17">
        <v>3</v>
      </c>
      <c r="G23" s="17" t="str">
        <f t="shared" si="2"/>
        <v>C</v>
      </c>
      <c r="H23" s="17">
        <v>3</v>
      </c>
      <c r="I23" s="17" t="str">
        <f t="shared" si="3"/>
        <v>C</v>
      </c>
      <c r="J23" s="18">
        <v>3</v>
      </c>
      <c r="K23" s="17" t="str">
        <f t="shared" si="4"/>
        <v>C</v>
      </c>
      <c r="L23" s="17">
        <v>3</v>
      </c>
      <c r="M23" s="19" t="s">
        <v>26</v>
      </c>
      <c r="N23" s="17">
        <f t="shared" si="0"/>
        <v>3</v>
      </c>
      <c r="O23" s="19" t="s">
        <v>26</v>
      </c>
      <c r="P23" s="17">
        <f t="shared" si="0"/>
        <v>3</v>
      </c>
      <c r="Q23" s="21" t="s">
        <v>118</v>
      </c>
      <c r="R23" s="21" t="s">
        <v>119</v>
      </c>
      <c r="S23" s="21" t="s">
        <v>120</v>
      </c>
      <c r="T23" s="26"/>
      <c r="U23" s="23" t="s">
        <v>121</v>
      </c>
      <c r="V23" s="24" t="s">
        <v>122</v>
      </c>
      <c r="W23" s="16"/>
      <c r="X23" s="16"/>
      <c r="Y23" s="16"/>
      <c r="Z23" s="16"/>
      <c r="AA23" s="16"/>
      <c r="AB23" s="16"/>
    </row>
    <row r="24" spans="1:28" ht="57.6">
      <c r="A24" s="13">
        <v>3</v>
      </c>
      <c r="B24" s="14" t="s">
        <v>123</v>
      </c>
      <c r="C24" s="15" t="s">
        <v>124</v>
      </c>
      <c r="D24" s="16">
        <v>0.14000000000000001</v>
      </c>
      <c r="E24" s="17" t="str">
        <f t="shared" si="1"/>
        <v>PC</v>
      </c>
      <c r="F24" s="17">
        <v>1</v>
      </c>
      <c r="G24" s="17" t="str">
        <f t="shared" si="2"/>
        <v>C</v>
      </c>
      <c r="H24" s="17">
        <v>3</v>
      </c>
      <c r="I24" s="17" t="str">
        <f t="shared" si="3"/>
        <v>C</v>
      </c>
      <c r="J24" s="18">
        <v>3</v>
      </c>
      <c r="K24" s="17" t="str">
        <f t="shared" si="4"/>
        <v>C</v>
      </c>
      <c r="L24" s="17">
        <v>3</v>
      </c>
      <c r="M24" s="19" t="s">
        <v>26</v>
      </c>
      <c r="N24" s="17">
        <f t="shared" si="0"/>
        <v>3</v>
      </c>
      <c r="O24" s="19" t="s">
        <v>26</v>
      </c>
      <c r="P24" s="17">
        <f t="shared" si="0"/>
        <v>3</v>
      </c>
      <c r="Q24" s="31" t="s">
        <v>125</v>
      </c>
      <c r="R24" s="21" t="s">
        <v>126</v>
      </c>
      <c r="S24" s="21" t="s">
        <v>127</v>
      </c>
      <c r="T24" s="21" t="s">
        <v>128</v>
      </c>
      <c r="U24" s="23" t="s">
        <v>129</v>
      </c>
      <c r="V24" s="24" t="s">
        <v>130</v>
      </c>
      <c r="W24" s="16">
        <f>AVERAGE(F24:F38)*$D24/3</f>
        <v>5.6000000000000001E-2</v>
      </c>
      <c r="X24" s="16">
        <f>AVERAGE(H24:H38)*$D24/3</f>
        <v>9.9555555555555564E-2</v>
      </c>
      <c r="Y24" s="16">
        <f>AVERAGE(J24:J38)*$D24/3</f>
        <v>0.12755555555555556</v>
      </c>
      <c r="Z24" s="16">
        <f>AVERAGE(L24:L38)*$D24/3</f>
        <v>0.10888888888888891</v>
      </c>
      <c r="AA24" s="16">
        <f>AVERAGE(N24:N38)*$D24/3</f>
        <v>0.14000000000000001</v>
      </c>
      <c r="AB24" s="16">
        <f>AVERAGE(P24:P38)*$D24/3</f>
        <v>0.14000000000000001</v>
      </c>
    </row>
    <row r="25" spans="1:28" ht="31.2">
      <c r="A25" s="25"/>
      <c r="B25" s="25"/>
      <c r="C25" s="15" t="s">
        <v>131</v>
      </c>
      <c r="D25" s="16"/>
      <c r="E25" s="17" t="str">
        <f t="shared" si="1"/>
        <v>C</v>
      </c>
      <c r="F25" s="17">
        <v>3</v>
      </c>
      <c r="G25" s="17" t="str">
        <f t="shared" si="2"/>
        <v>C</v>
      </c>
      <c r="H25" s="17">
        <v>3</v>
      </c>
      <c r="I25" s="17" t="str">
        <f t="shared" si="3"/>
        <v>C</v>
      </c>
      <c r="J25" s="18">
        <v>3</v>
      </c>
      <c r="K25" s="17" t="str">
        <f t="shared" si="4"/>
        <v>PC</v>
      </c>
      <c r="L25" s="17">
        <v>1</v>
      </c>
      <c r="M25" s="19" t="s">
        <v>26</v>
      </c>
      <c r="N25" s="17">
        <f t="shared" si="0"/>
        <v>3</v>
      </c>
      <c r="O25" s="19" t="s">
        <v>26</v>
      </c>
      <c r="P25" s="17">
        <f t="shared" si="0"/>
        <v>3</v>
      </c>
      <c r="Q25" s="21" t="s">
        <v>132</v>
      </c>
      <c r="R25" s="21" t="s">
        <v>133</v>
      </c>
      <c r="S25" s="21" t="s">
        <v>134</v>
      </c>
      <c r="T25" s="21" t="s">
        <v>135</v>
      </c>
      <c r="U25" s="23" t="s">
        <v>136</v>
      </c>
      <c r="V25" s="24" t="s">
        <v>137</v>
      </c>
      <c r="W25" s="16"/>
      <c r="X25" s="16"/>
      <c r="Y25" s="16"/>
      <c r="Z25" s="16"/>
      <c r="AA25" s="16"/>
      <c r="AB25" s="16"/>
    </row>
    <row r="26" spans="1:28" ht="31.2">
      <c r="A26" s="25"/>
      <c r="B26" s="25"/>
      <c r="C26" s="15" t="s">
        <v>138</v>
      </c>
      <c r="D26" s="16"/>
      <c r="E26" s="17" t="str">
        <f t="shared" si="1"/>
        <v>NC</v>
      </c>
      <c r="F26" s="17">
        <v>0</v>
      </c>
      <c r="G26" s="17" t="str">
        <f t="shared" si="2"/>
        <v>PC</v>
      </c>
      <c r="H26" s="17">
        <v>1</v>
      </c>
      <c r="I26" s="17" t="str">
        <f t="shared" si="3"/>
        <v>PC</v>
      </c>
      <c r="J26" s="18">
        <v>1</v>
      </c>
      <c r="K26" s="17" t="str">
        <f t="shared" si="4"/>
        <v>PC</v>
      </c>
      <c r="L26" s="17">
        <v>1</v>
      </c>
      <c r="M26" s="19" t="s">
        <v>26</v>
      </c>
      <c r="N26" s="17">
        <f t="shared" si="0"/>
        <v>3</v>
      </c>
      <c r="O26" s="19" t="s">
        <v>26</v>
      </c>
      <c r="P26" s="17">
        <f t="shared" si="0"/>
        <v>3</v>
      </c>
      <c r="Q26" s="32" t="s">
        <v>125</v>
      </c>
      <c r="R26" s="21" t="s">
        <v>139</v>
      </c>
      <c r="S26" s="21" t="s">
        <v>140</v>
      </c>
      <c r="T26" s="21" t="s">
        <v>141</v>
      </c>
      <c r="U26" s="23" t="s">
        <v>142</v>
      </c>
      <c r="V26" s="24" t="s">
        <v>143</v>
      </c>
      <c r="W26" s="16"/>
      <c r="X26" s="16"/>
      <c r="Y26" s="16"/>
      <c r="Z26" s="16"/>
      <c r="AA26" s="16"/>
      <c r="AB26" s="16"/>
    </row>
    <row r="27" spans="1:28" ht="43.2" customHeight="1">
      <c r="A27" s="25"/>
      <c r="B27" s="25"/>
      <c r="C27" s="15" t="s">
        <v>144</v>
      </c>
      <c r="D27" s="16"/>
      <c r="E27" s="17" t="str">
        <f t="shared" si="1"/>
        <v>NC</v>
      </c>
      <c r="F27" s="17">
        <v>0</v>
      </c>
      <c r="G27" s="17" t="str">
        <f t="shared" si="2"/>
        <v>PC</v>
      </c>
      <c r="H27" s="17">
        <v>1</v>
      </c>
      <c r="I27" s="17" t="str">
        <f t="shared" si="3"/>
        <v>C</v>
      </c>
      <c r="J27" s="18">
        <v>3</v>
      </c>
      <c r="K27" s="17" t="str">
        <f t="shared" si="4"/>
        <v>C</v>
      </c>
      <c r="L27" s="17">
        <v>3</v>
      </c>
      <c r="M27" s="19" t="s">
        <v>26</v>
      </c>
      <c r="N27" s="17">
        <f t="shared" si="0"/>
        <v>3</v>
      </c>
      <c r="O27" s="19" t="s">
        <v>26</v>
      </c>
      <c r="P27" s="17">
        <f t="shared" si="0"/>
        <v>3</v>
      </c>
      <c r="Q27" s="32"/>
      <c r="R27" s="21" t="s">
        <v>145</v>
      </c>
      <c r="S27" s="21" t="s">
        <v>146</v>
      </c>
      <c r="T27" s="21" t="s">
        <v>147</v>
      </c>
      <c r="U27" s="23" t="s">
        <v>148</v>
      </c>
      <c r="V27" s="24" t="s">
        <v>149</v>
      </c>
      <c r="W27" s="16"/>
      <c r="X27" s="16"/>
      <c r="Y27" s="16"/>
      <c r="Z27" s="16"/>
      <c r="AA27" s="16"/>
      <c r="AB27" s="16"/>
    </row>
    <row r="28" spans="1:28" ht="31.2">
      <c r="A28" s="25"/>
      <c r="B28" s="25"/>
      <c r="C28" s="15" t="s">
        <v>150</v>
      </c>
      <c r="D28" s="16"/>
      <c r="E28" s="17" t="str">
        <f t="shared" si="1"/>
        <v>C</v>
      </c>
      <c r="F28" s="17">
        <v>3</v>
      </c>
      <c r="G28" s="17" t="str">
        <f t="shared" si="2"/>
        <v>PC</v>
      </c>
      <c r="H28" s="17">
        <v>1</v>
      </c>
      <c r="I28" s="17" t="str">
        <f t="shared" si="3"/>
        <v>C</v>
      </c>
      <c r="J28" s="18">
        <v>3</v>
      </c>
      <c r="K28" s="17" t="str">
        <f t="shared" si="4"/>
        <v>C</v>
      </c>
      <c r="L28" s="17">
        <v>3</v>
      </c>
      <c r="M28" s="19" t="s">
        <v>26</v>
      </c>
      <c r="N28" s="17">
        <f t="shared" si="0"/>
        <v>3</v>
      </c>
      <c r="O28" s="19" t="s">
        <v>26</v>
      </c>
      <c r="P28" s="17">
        <f t="shared" si="0"/>
        <v>3</v>
      </c>
      <c r="Q28" s="21" t="s">
        <v>151</v>
      </c>
      <c r="R28" s="21" t="s">
        <v>152</v>
      </c>
      <c r="S28" s="21" t="s">
        <v>134</v>
      </c>
      <c r="T28" s="21" t="s">
        <v>153</v>
      </c>
      <c r="U28" s="23" t="s">
        <v>154</v>
      </c>
      <c r="V28" s="24" t="s">
        <v>155</v>
      </c>
      <c r="W28" s="16"/>
      <c r="X28" s="16"/>
      <c r="Y28" s="16"/>
      <c r="Z28" s="16"/>
      <c r="AA28" s="16"/>
      <c r="AB28" s="16"/>
    </row>
    <row r="29" spans="1:28" ht="45">
      <c r="A29" s="25"/>
      <c r="B29" s="25"/>
      <c r="C29" s="15" t="s">
        <v>156</v>
      </c>
      <c r="D29" s="16"/>
      <c r="E29" s="17" t="str">
        <f t="shared" si="1"/>
        <v>PC</v>
      </c>
      <c r="F29" s="17">
        <v>1</v>
      </c>
      <c r="G29" s="17" t="str">
        <f t="shared" si="2"/>
        <v>NC</v>
      </c>
      <c r="H29" s="17">
        <v>0</v>
      </c>
      <c r="I29" s="17" t="str">
        <f t="shared" si="3"/>
        <v>C</v>
      </c>
      <c r="J29" s="18">
        <v>3</v>
      </c>
      <c r="K29" s="17" t="str">
        <f t="shared" si="4"/>
        <v>C</v>
      </c>
      <c r="L29" s="17">
        <v>3</v>
      </c>
      <c r="M29" s="19" t="s">
        <v>26</v>
      </c>
      <c r="N29" s="17">
        <f t="shared" si="0"/>
        <v>3</v>
      </c>
      <c r="O29" s="19" t="s">
        <v>26</v>
      </c>
      <c r="P29" s="17">
        <f t="shared" si="0"/>
        <v>3</v>
      </c>
      <c r="Q29" s="31" t="s">
        <v>125</v>
      </c>
      <c r="R29" s="21" t="s">
        <v>157</v>
      </c>
      <c r="S29" s="21" t="s">
        <v>158</v>
      </c>
      <c r="T29" s="21" t="s">
        <v>159</v>
      </c>
      <c r="U29" s="23" t="s">
        <v>160</v>
      </c>
      <c r="V29" s="24" t="s">
        <v>161</v>
      </c>
      <c r="W29" s="16"/>
      <c r="X29" s="16"/>
      <c r="Y29" s="16"/>
      <c r="Z29" s="16"/>
      <c r="AA29" s="16"/>
      <c r="AB29" s="16"/>
    </row>
    <row r="30" spans="1:28" ht="31.2">
      <c r="A30" s="25"/>
      <c r="B30" s="25"/>
      <c r="C30" s="15" t="s">
        <v>162</v>
      </c>
      <c r="D30" s="16"/>
      <c r="E30" s="17" t="str">
        <f t="shared" si="1"/>
        <v>PC</v>
      </c>
      <c r="F30" s="17">
        <v>1</v>
      </c>
      <c r="G30" s="17" t="str">
        <f t="shared" si="2"/>
        <v>C</v>
      </c>
      <c r="H30" s="17">
        <v>3</v>
      </c>
      <c r="I30" s="17" t="str">
        <f t="shared" si="3"/>
        <v>C</v>
      </c>
      <c r="J30" s="18">
        <v>3</v>
      </c>
      <c r="K30" s="17" t="str">
        <f t="shared" si="4"/>
        <v>PC</v>
      </c>
      <c r="L30" s="17">
        <v>1</v>
      </c>
      <c r="M30" s="19" t="s">
        <v>26</v>
      </c>
      <c r="N30" s="17">
        <f t="shared" si="0"/>
        <v>3</v>
      </c>
      <c r="O30" s="19" t="s">
        <v>26</v>
      </c>
      <c r="P30" s="17">
        <f t="shared" si="0"/>
        <v>3</v>
      </c>
      <c r="Q30" s="21" t="s">
        <v>163</v>
      </c>
      <c r="R30" s="21" t="s">
        <v>164</v>
      </c>
      <c r="S30" s="21" t="s">
        <v>134</v>
      </c>
      <c r="T30" s="21" t="s">
        <v>165</v>
      </c>
      <c r="U30" s="23" t="s">
        <v>166</v>
      </c>
      <c r="V30" s="24" t="s">
        <v>167</v>
      </c>
      <c r="W30" s="16"/>
      <c r="X30" s="16"/>
      <c r="Y30" s="16"/>
      <c r="Z30" s="16"/>
      <c r="AA30" s="16"/>
      <c r="AB30" s="16"/>
    </row>
    <row r="31" spans="1:28" ht="30" customHeight="1">
      <c r="A31" s="25"/>
      <c r="B31" s="25"/>
      <c r="C31" s="15" t="s">
        <v>168</v>
      </c>
      <c r="D31" s="16"/>
      <c r="E31" s="17" t="str">
        <f t="shared" si="1"/>
        <v>C</v>
      </c>
      <c r="F31" s="17">
        <v>3</v>
      </c>
      <c r="G31" s="17" t="str">
        <f t="shared" si="2"/>
        <v>C</v>
      </c>
      <c r="H31" s="17">
        <v>3</v>
      </c>
      <c r="I31" s="17" t="str">
        <f t="shared" si="3"/>
        <v>C</v>
      </c>
      <c r="J31" s="18">
        <v>3</v>
      </c>
      <c r="K31" s="17" t="str">
        <f t="shared" si="4"/>
        <v>C</v>
      </c>
      <c r="L31" s="17">
        <v>3</v>
      </c>
      <c r="M31" s="19" t="s">
        <v>26</v>
      </c>
      <c r="N31" s="17">
        <f t="shared" si="0"/>
        <v>3</v>
      </c>
      <c r="O31" s="19" t="s">
        <v>26</v>
      </c>
      <c r="P31" s="17">
        <f t="shared" si="0"/>
        <v>3</v>
      </c>
      <c r="Q31" s="33" t="s">
        <v>125</v>
      </c>
      <c r="R31" s="21" t="s">
        <v>169</v>
      </c>
      <c r="S31" s="21" t="s">
        <v>134</v>
      </c>
      <c r="T31" s="21" t="s">
        <v>170</v>
      </c>
      <c r="U31" s="23" t="s">
        <v>171</v>
      </c>
      <c r="V31" s="24" t="s">
        <v>172</v>
      </c>
      <c r="W31" s="16"/>
      <c r="X31" s="16"/>
      <c r="Y31" s="16"/>
      <c r="Z31" s="16"/>
      <c r="AA31" s="16"/>
      <c r="AB31" s="16"/>
    </row>
    <row r="32" spans="1:28" ht="30">
      <c r="A32" s="25"/>
      <c r="B32" s="25"/>
      <c r="C32" s="15" t="s">
        <v>173</v>
      </c>
      <c r="D32" s="16"/>
      <c r="E32" s="17" t="str">
        <f t="shared" si="1"/>
        <v>C</v>
      </c>
      <c r="F32" s="17">
        <v>3</v>
      </c>
      <c r="G32" s="17" t="str">
        <f t="shared" si="2"/>
        <v>C</v>
      </c>
      <c r="H32" s="17">
        <v>3</v>
      </c>
      <c r="I32" s="17" t="str">
        <f t="shared" si="3"/>
        <v>C</v>
      </c>
      <c r="J32" s="18">
        <v>3</v>
      </c>
      <c r="K32" s="17" t="str">
        <f t="shared" si="4"/>
        <v>C</v>
      </c>
      <c r="L32" s="17">
        <v>3</v>
      </c>
      <c r="M32" s="19" t="s">
        <v>26</v>
      </c>
      <c r="N32" s="17">
        <f t="shared" si="0"/>
        <v>3</v>
      </c>
      <c r="O32" s="19" t="s">
        <v>26</v>
      </c>
      <c r="P32" s="17">
        <f t="shared" si="0"/>
        <v>3</v>
      </c>
      <c r="Q32" s="33"/>
      <c r="R32" s="21" t="s">
        <v>174</v>
      </c>
      <c r="S32" s="21" t="s">
        <v>134</v>
      </c>
      <c r="T32" s="21" t="s">
        <v>175</v>
      </c>
      <c r="U32" s="23" t="s">
        <v>176</v>
      </c>
      <c r="V32" s="24" t="s">
        <v>177</v>
      </c>
      <c r="W32" s="16"/>
      <c r="X32" s="16"/>
      <c r="Y32" s="16"/>
      <c r="Z32" s="16"/>
      <c r="AA32" s="16"/>
      <c r="AB32" s="16"/>
    </row>
    <row r="33" spans="1:28" ht="31.2">
      <c r="A33" s="25"/>
      <c r="B33" s="25"/>
      <c r="C33" s="15" t="s">
        <v>178</v>
      </c>
      <c r="D33" s="16"/>
      <c r="E33" s="17" t="str">
        <f t="shared" si="1"/>
        <v>C</v>
      </c>
      <c r="F33" s="17">
        <v>3</v>
      </c>
      <c r="G33" s="17" t="str">
        <f t="shared" si="2"/>
        <v>C</v>
      </c>
      <c r="H33" s="17">
        <v>3</v>
      </c>
      <c r="I33" s="17" t="str">
        <f t="shared" si="3"/>
        <v>PC</v>
      </c>
      <c r="J33" s="18">
        <v>1</v>
      </c>
      <c r="K33" s="17" t="str">
        <f t="shared" si="4"/>
        <v>PC</v>
      </c>
      <c r="L33" s="17">
        <v>1</v>
      </c>
      <c r="M33" s="19" t="s">
        <v>26</v>
      </c>
      <c r="N33" s="17">
        <f t="shared" si="0"/>
        <v>3</v>
      </c>
      <c r="O33" s="19" t="s">
        <v>26</v>
      </c>
      <c r="P33" s="17">
        <f t="shared" si="0"/>
        <v>3</v>
      </c>
      <c r="Q33" s="33"/>
      <c r="R33" s="21" t="s">
        <v>179</v>
      </c>
      <c r="S33" s="21" t="s">
        <v>134</v>
      </c>
      <c r="T33" s="21" t="s">
        <v>180</v>
      </c>
      <c r="U33" s="23" t="s">
        <v>181</v>
      </c>
      <c r="V33" s="24" t="s">
        <v>182</v>
      </c>
      <c r="W33" s="16"/>
      <c r="X33" s="16"/>
      <c r="Y33" s="16"/>
      <c r="Z33" s="16"/>
      <c r="AA33" s="16"/>
      <c r="AB33" s="16"/>
    </row>
    <row r="34" spans="1:28" ht="60" customHeight="1">
      <c r="A34" s="25"/>
      <c r="B34" s="25"/>
      <c r="C34" s="15" t="s">
        <v>183</v>
      </c>
      <c r="D34" s="16"/>
      <c r="E34" s="17" t="str">
        <f t="shared" si="1"/>
        <v>NC</v>
      </c>
      <c r="F34" s="17">
        <v>0</v>
      </c>
      <c r="G34" s="17" t="str">
        <f t="shared" si="2"/>
        <v>PC</v>
      </c>
      <c r="H34" s="17">
        <v>1</v>
      </c>
      <c r="I34" s="17" t="str">
        <f t="shared" si="3"/>
        <v>C</v>
      </c>
      <c r="J34" s="18">
        <v>3</v>
      </c>
      <c r="K34" s="17" t="str">
        <f t="shared" si="4"/>
        <v>C</v>
      </c>
      <c r="L34" s="17">
        <v>3</v>
      </c>
      <c r="M34" s="19" t="s">
        <v>26</v>
      </c>
      <c r="N34" s="17">
        <f t="shared" si="0"/>
        <v>3</v>
      </c>
      <c r="O34" s="19" t="s">
        <v>26</v>
      </c>
      <c r="P34" s="17">
        <f t="shared" si="0"/>
        <v>3</v>
      </c>
      <c r="Q34" s="33"/>
      <c r="R34" s="21" t="s">
        <v>184</v>
      </c>
      <c r="S34" s="21" t="s">
        <v>185</v>
      </c>
      <c r="T34" s="21" t="s">
        <v>186</v>
      </c>
      <c r="U34" s="23" t="s">
        <v>187</v>
      </c>
      <c r="V34" s="24" t="s">
        <v>188</v>
      </c>
      <c r="W34" s="16"/>
      <c r="X34" s="16"/>
      <c r="Y34" s="16"/>
      <c r="Z34" s="16"/>
      <c r="AA34" s="16"/>
      <c r="AB34" s="16"/>
    </row>
    <row r="35" spans="1:28" ht="45">
      <c r="A35" s="25"/>
      <c r="B35" s="25"/>
      <c r="C35" s="15" t="s">
        <v>189</v>
      </c>
      <c r="D35" s="16"/>
      <c r="E35" s="17" t="str">
        <f t="shared" si="1"/>
        <v>NC</v>
      </c>
      <c r="F35" s="17">
        <v>0</v>
      </c>
      <c r="G35" s="17" t="str">
        <f t="shared" si="2"/>
        <v>C</v>
      </c>
      <c r="H35" s="17">
        <v>3</v>
      </c>
      <c r="I35" s="17" t="str">
        <f t="shared" si="3"/>
        <v>C</v>
      </c>
      <c r="J35" s="18">
        <v>3</v>
      </c>
      <c r="K35" s="17" t="str">
        <f t="shared" si="4"/>
        <v>C</v>
      </c>
      <c r="L35" s="17">
        <v>3</v>
      </c>
      <c r="M35" s="19" t="s">
        <v>26</v>
      </c>
      <c r="N35" s="17">
        <f t="shared" si="0"/>
        <v>3</v>
      </c>
      <c r="O35" s="19" t="s">
        <v>26</v>
      </c>
      <c r="P35" s="17">
        <f t="shared" si="0"/>
        <v>3</v>
      </c>
      <c r="Q35" s="33"/>
      <c r="R35" s="21" t="s">
        <v>190</v>
      </c>
      <c r="S35" s="21" t="s">
        <v>191</v>
      </c>
      <c r="T35" s="21" t="s">
        <v>192</v>
      </c>
      <c r="U35" s="23" t="s">
        <v>193</v>
      </c>
      <c r="V35" s="24" t="s">
        <v>194</v>
      </c>
      <c r="W35" s="16"/>
      <c r="X35" s="16"/>
      <c r="Y35" s="16"/>
      <c r="Z35" s="16"/>
      <c r="AA35" s="16"/>
      <c r="AB35" s="16"/>
    </row>
    <row r="36" spans="1:28" ht="62.4">
      <c r="A36" s="25"/>
      <c r="B36" s="25"/>
      <c r="C36" s="15" t="s">
        <v>195</v>
      </c>
      <c r="D36" s="16"/>
      <c r="E36" s="17" t="str">
        <f t="shared" si="1"/>
        <v>NC</v>
      </c>
      <c r="F36" s="17">
        <v>0</v>
      </c>
      <c r="G36" s="17" t="str">
        <f t="shared" si="2"/>
        <v>C</v>
      </c>
      <c r="H36" s="17">
        <v>3</v>
      </c>
      <c r="I36" s="17" t="str">
        <f t="shared" si="3"/>
        <v>C</v>
      </c>
      <c r="J36" s="18">
        <v>3</v>
      </c>
      <c r="K36" s="17" t="str">
        <f t="shared" si="4"/>
        <v>PC</v>
      </c>
      <c r="L36" s="17">
        <v>1</v>
      </c>
      <c r="M36" s="19" t="s">
        <v>26</v>
      </c>
      <c r="N36" s="17">
        <f t="shared" si="0"/>
        <v>3</v>
      </c>
      <c r="O36" s="19" t="s">
        <v>26</v>
      </c>
      <c r="P36" s="17">
        <f t="shared" si="0"/>
        <v>3</v>
      </c>
      <c r="Q36" s="33"/>
      <c r="R36" s="21" t="s">
        <v>196</v>
      </c>
      <c r="S36" s="21" t="s">
        <v>197</v>
      </c>
      <c r="T36" s="21" t="s">
        <v>198</v>
      </c>
      <c r="U36" s="23" t="s">
        <v>199</v>
      </c>
      <c r="V36" s="24" t="s">
        <v>200</v>
      </c>
      <c r="W36" s="16"/>
      <c r="X36" s="16"/>
      <c r="Y36" s="16"/>
      <c r="Z36" s="16"/>
      <c r="AA36" s="16"/>
      <c r="AB36" s="16"/>
    </row>
    <row r="37" spans="1:28" ht="45">
      <c r="A37" s="25"/>
      <c r="B37" s="25"/>
      <c r="C37" s="15" t="s">
        <v>201</v>
      </c>
      <c r="D37" s="16"/>
      <c r="E37" s="17" t="str">
        <f t="shared" si="1"/>
        <v>NC</v>
      </c>
      <c r="F37" s="17">
        <v>0</v>
      </c>
      <c r="G37" s="17" t="str">
        <f t="shared" si="2"/>
        <v>PC</v>
      </c>
      <c r="H37" s="17">
        <v>1</v>
      </c>
      <c r="I37" s="17" t="str">
        <f t="shared" si="3"/>
        <v>C</v>
      </c>
      <c r="J37" s="18">
        <v>3</v>
      </c>
      <c r="K37" s="17" t="str">
        <f t="shared" si="4"/>
        <v>C</v>
      </c>
      <c r="L37" s="17">
        <v>3</v>
      </c>
      <c r="M37" s="19" t="s">
        <v>26</v>
      </c>
      <c r="N37" s="17">
        <f t="shared" si="0"/>
        <v>3</v>
      </c>
      <c r="O37" s="19" t="s">
        <v>26</v>
      </c>
      <c r="P37" s="17">
        <f t="shared" si="0"/>
        <v>3</v>
      </c>
      <c r="Q37" s="33"/>
      <c r="R37" s="21" t="s">
        <v>202</v>
      </c>
      <c r="S37" s="21" t="s">
        <v>134</v>
      </c>
      <c r="T37" s="21" t="s">
        <v>203</v>
      </c>
      <c r="U37" s="23" t="s">
        <v>204</v>
      </c>
      <c r="V37" s="24" t="s">
        <v>205</v>
      </c>
      <c r="W37" s="16"/>
      <c r="X37" s="16"/>
      <c r="Y37" s="16"/>
      <c r="Z37" s="16"/>
      <c r="AA37" s="16"/>
      <c r="AB37" s="16"/>
    </row>
    <row r="38" spans="1:28" ht="60">
      <c r="A38" s="25"/>
      <c r="B38" s="25"/>
      <c r="C38" s="15" t="s">
        <v>206</v>
      </c>
      <c r="D38" s="16"/>
      <c r="E38" s="17" t="str">
        <f t="shared" si="1"/>
        <v>NC</v>
      </c>
      <c r="F38" s="17">
        <v>0</v>
      </c>
      <c r="G38" s="17" t="str">
        <f t="shared" si="2"/>
        <v>C</v>
      </c>
      <c r="H38" s="17">
        <v>3</v>
      </c>
      <c r="I38" s="17" t="str">
        <f t="shared" si="3"/>
        <v>C</v>
      </c>
      <c r="J38" s="18">
        <v>3</v>
      </c>
      <c r="K38" s="17" t="str">
        <f t="shared" si="4"/>
        <v>C</v>
      </c>
      <c r="L38" s="17">
        <v>3</v>
      </c>
      <c r="M38" s="19" t="s">
        <v>26</v>
      </c>
      <c r="N38" s="17">
        <f t="shared" si="0"/>
        <v>3</v>
      </c>
      <c r="O38" s="19" t="s">
        <v>26</v>
      </c>
      <c r="P38" s="17">
        <f t="shared" si="0"/>
        <v>3</v>
      </c>
      <c r="Q38" s="33"/>
      <c r="R38" s="21" t="s">
        <v>207</v>
      </c>
      <c r="S38" s="21" t="s">
        <v>134</v>
      </c>
      <c r="T38" s="21" t="s">
        <v>208</v>
      </c>
      <c r="U38" s="23" t="s">
        <v>209</v>
      </c>
      <c r="V38" s="24" t="s">
        <v>210</v>
      </c>
      <c r="W38" s="16"/>
      <c r="X38" s="16"/>
      <c r="Y38" s="16"/>
      <c r="Z38" s="16"/>
      <c r="AA38" s="16"/>
      <c r="AB38" s="16"/>
    </row>
    <row r="39" spans="1:28" ht="57.6">
      <c r="A39" s="13">
        <v>4</v>
      </c>
      <c r="B39" s="14" t="s">
        <v>211</v>
      </c>
      <c r="C39" s="15" t="s">
        <v>212</v>
      </c>
      <c r="D39" s="16">
        <v>7.0000000000000007E-2</v>
      </c>
      <c r="E39" s="17" t="str">
        <f t="shared" si="1"/>
        <v>C</v>
      </c>
      <c r="F39" s="17">
        <v>3</v>
      </c>
      <c r="G39" s="17" t="str">
        <f t="shared" si="2"/>
        <v>C</v>
      </c>
      <c r="H39" s="17">
        <v>3</v>
      </c>
      <c r="I39" s="17" t="str">
        <f t="shared" si="3"/>
        <v>C</v>
      </c>
      <c r="J39" s="18">
        <v>3</v>
      </c>
      <c r="K39" s="17" t="str">
        <f t="shared" si="4"/>
        <v>PC</v>
      </c>
      <c r="L39" s="17">
        <v>1</v>
      </c>
      <c r="M39" s="19" t="s">
        <v>26</v>
      </c>
      <c r="N39" s="17">
        <f t="shared" si="0"/>
        <v>3</v>
      </c>
      <c r="O39" s="19" t="s">
        <v>26</v>
      </c>
      <c r="P39" s="17">
        <f t="shared" si="0"/>
        <v>3</v>
      </c>
      <c r="Q39" s="21" t="s">
        <v>213</v>
      </c>
      <c r="R39" s="21" t="s">
        <v>214</v>
      </c>
      <c r="S39" s="21" t="s">
        <v>215</v>
      </c>
      <c r="T39" s="21" t="s">
        <v>216</v>
      </c>
      <c r="U39" s="23" t="s">
        <v>217</v>
      </c>
      <c r="V39" s="24" t="s">
        <v>218</v>
      </c>
      <c r="W39" s="16">
        <f>AVERAGE(F39:F54)*$D39/3</f>
        <v>6.7083333333333342E-2</v>
      </c>
      <c r="X39" s="16">
        <f>AVERAGE(H39:H54)*$D39/3</f>
        <v>6.4166666666666664E-2</v>
      </c>
      <c r="Y39" s="16">
        <f>AVERAGE(J39:J54)*$D39/3</f>
        <v>6.4166666666666664E-2</v>
      </c>
      <c r="Z39" s="16">
        <f>AVERAGE(L39:L54)*$D39/3</f>
        <v>5.541666666666667E-2</v>
      </c>
      <c r="AA39" s="16">
        <f>AVERAGE(N39:N54)*$D39/3</f>
        <v>7.0000000000000007E-2</v>
      </c>
      <c r="AB39" s="16">
        <f>AVERAGE(P39:P54)*$D39/3</f>
        <v>7.0000000000000007E-2</v>
      </c>
    </row>
    <row r="40" spans="1:28" ht="31.2">
      <c r="A40" s="25"/>
      <c r="B40" s="25"/>
      <c r="C40" s="15" t="s">
        <v>219</v>
      </c>
      <c r="D40" s="16"/>
      <c r="E40" s="17" t="str">
        <f t="shared" si="1"/>
        <v>C</v>
      </c>
      <c r="F40" s="17">
        <v>3</v>
      </c>
      <c r="G40" s="17" t="str">
        <f t="shared" si="2"/>
        <v>C</v>
      </c>
      <c r="H40" s="17">
        <v>3</v>
      </c>
      <c r="I40" s="17" t="str">
        <f t="shared" si="3"/>
        <v>C</v>
      </c>
      <c r="J40" s="18">
        <v>3</v>
      </c>
      <c r="K40" s="17" t="str">
        <f t="shared" si="4"/>
        <v>PC</v>
      </c>
      <c r="L40" s="17">
        <v>1</v>
      </c>
      <c r="M40" s="19" t="s">
        <v>26</v>
      </c>
      <c r="N40" s="17">
        <f t="shared" si="0"/>
        <v>3</v>
      </c>
      <c r="O40" s="19" t="s">
        <v>26</v>
      </c>
      <c r="P40" s="17">
        <f t="shared" si="0"/>
        <v>3</v>
      </c>
      <c r="Q40" s="21" t="s">
        <v>220</v>
      </c>
      <c r="R40" s="27" t="s">
        <v>221</v>
      </c>
      <c r="S40" s="21" t="s">
        <v>222</v>
      </c>
      <c r="T40" s="21" t="s">
        <v>223</v>
      </c>
      <c r="U40" s="23" t="s">
        <v>224</v>
      </c>
      <c r="V40" s="24" t="s">
        <v>225</v>
      </c>
      <c r="W40" s="16"/>
      <c r="X40" s="16"/>
      <c r="Y40" s="16"/>
      <c r="Z40" s="16"/>
      <c r="AA40" s="16"/>
      <c r="AB40" s="16"/>
    </row>
    <row r="41" spans="1:28" ht="30">
      <c r="A41" s="25"/>
      <c r="B41" s="25"/>
      <c r="C41" s="15" t="s">
        <v>226</v>
      </c>
      <c r="D41" s="16"/>
      <c r="E41" s="17" t="str">
        <f t="shared" si="1"/>
        <v>C</v>
      </c>
      <c r="F41" s="17">
        <v>3</v>
      </c>
      <c r="G41" s="17" t="str">
        <f t="shared" si="2"/>
        <v>C</v>
      </c>
      <c r="H41" s="17">
        <v>3</v>
      </c>
      <c r="I41" s="17" t="str">
        <f t="shared" si="3"/>
        <v>C</v>
      </c>
      <c r="J41" s="18">
        <v>3</v>
      </c>
      <c r="K41" s="17" t="str">
        <f t="shared" si="4"/>
        <v>C</v>
      </c>
      <c r="L41" s="17">
        <v>3</v>
      </c>
      <c r="M41" s="19" t="s">
        <v>26</v>
      </c>
      <c r="N41" s="17">
        <f t="shared" si="0"/>
        <v>3</v>
      </c>
      <c r="O41" s="19" t="s">
        <v>26</v>
      </c>
      <c r="P41" s="17">
        <f t="shared" si="0"/>
        <v>3</v>
      </c>
      <c r="Q41" s="21" t="s">
        <v>227</v>
      </c>
      <c r="R41" s="27"/>
      <c r="S41" s="21" t="s">
        <v>228</v>
      </c>
      <c r="T41" s="21" t="s">
        <v>229</v>
      </c>
      <c r="U41" s="23" t="s">
        <v>230</v>
      </c>
      <c r="V41" s="24" t="s">
        <v>231</v>
      </c>
      <c r="W41" s="16"/>
      <c r="X41" s="16"/>
      <c r="Y41" s="16"/>
      <c r="Z41" s="16"/>
      <c r="AA41" s="16"/>
      <c r="AB41" s="16"/>
    </row>
    <row r="42" spans="1:28" ht="31.2">
      <c r="A42" s="25"/>
      <c r="B42" s="25"/>
      <c r="C42" s="15" t="s">
        <v>232</v>
      </c>
      <c r="D42" s="16"/>
      <c r="E42" s="17" t="str">
        <f t="shared" si="1"/>
        <v>C</v>
      </c>
      <c r="F42" s="17">
        <v>3</v>
      </c>
      <c r="G42" s="17" t="str">
        <f t="shared" si="2"/>
        <v>PC</v>
      </c>
      <c r="H42" s="17">
        <v>1</v>
      </c>
      <c r="I42" s="17" t="str">
        <f t="shared" si="3"/>
        <v>C</v>
      </c>
      <c r="J42" s="18">
        <v>3</v>
      </c>
      <c r="K42" s="17" t="str">
        <f t="shared" si="4"/>
        <v>C</v>
      </c>
      <c r="L42" s="17">
        <v>3</v>
      </c>
      <c r="M42" s="19" t="s">
        <v>26</v>
      </c>
      <c r="N42" s="17">
        <f t="shared" si="0"/>
        <v>3</v>
      </c>
      <c r="O42" s="19" t="s">
        <v>26</v>
      </c>
      <c r="P42" s="17">
        <f t="shared" si="0"/>
        <v>3</v>
      </c>
      <c r="Q42" s="21" t="s">
        <v>233</v>
      </c>
      <c r="R42" s="21" t="s">
        <v>234</v>
      </c>
      <c r="S42" s="21" t="s">
        <v>235</v>
      </c>
      <c r="T42" s="21" t="s">
        <v>236</v>
      </c>
      <c r="U42" s="23" t="s">
        <v>237</v>
      </c>
      <c r="V42" s="24" t="s">
        <v>238</v>
      </c>
      <c r="W42" s="16"/>
      <c r="X42" s="16"/>
      <c r="Y42" s="16"/>
      <c r="Z42" s="16"/>
      <c r="AA42" s="16"/>
      <c r="AB42" s="16"/>
    </row>
    <row r="43" spans="1:28" ht="43.2">
      <c r="A43" s="25"/>
      <c r="B43" s="25"/>
      <c r="C43" s="15" t="s">
        <v>239</v>
      </c>
      <c r="D43" s="16"/>
      <c r="E43" s="17" t="str">
        <f t="shared" si="1"/>
        <v>C</v>
      </c>
      <c r="F43" s="17">
        <v>3</v>
      </c>
      <c r="G43" s="17" t="str">
        <f t="shared" si="2"/>
        <v>C</v>
      </c>
      <c r="H43" s="17">
        <v>3</v>
      </c>
      <c r="I43" s="17" t="str">
        <f t="shared" si="3"/>
        <v>C</v>
      </c>
      <c r="J43" s="18">
        <v>3</v>
      </c>
      <c r="K43" s="17" t="str">
        <f t="shared" si="4"/>
        <v>PC</v>
      </c>
      <c r="L43" s="17">
        <v>1</v>
      </c>
      <c r="M43" s="19" t="s">
        <v>26</v>
      </c>
      <c r="N43" s="17">
        <f t="shared" si="0"/>
        <v>3</v>
      </c>
      <c r="O43" s="19" t="s">
        <v>26</v>
      </c>
      <c r="P43" s="17">
        <f t="shared" si="0"/>
        <v>3</v>
      </c>
      <c r="Q43" s="21" t="s">
        <v>240</v>
      </c>
      <c r="R43" s="21" t="s">
        <v>241</v>
      </c>
      <c r="S43" s="21" t="s">
        <v>242</v>
      </c>
      <c r="T43" s="21" t="s">
        <v>243</v>
      </c>
      <c r="U43" s="23" t="s">
        <v>244</v>
      </c>
      <c r="V43" s="24" t="s">
        <v>245</v>
      </c>
      <c r="W43" s="16"/>
      <c r="X43" s="16"/>
      <c r="Y43" s="16"/>
      <c r="Z43" s="16"/>
      <c r="AA43" s="16"/>
      <c r="AB43" s="16"/>
    </row>
    <row r="44" spans="1:28" ht="28.8">
      <c r="A44" s="25"/>
      <c r="B44" s="25"/>
      <c r="C44" s="15" t="s">
        <v>246</v>
      </c>
      <c r="D44" s="16"/>
      <c r="E44" s="17" t="str">
        <f t="shared" si="1"/>
        <v>C</v>
      </c>
      <c r="F44" s="17">
        <v>3</v>
      </c>
      <c r="G44" s="17" t="str">
        <f t="shared" si="2"/>
        <v>C</v>
      </c>
      <c r="H44" s="17">
        <v>3</v>
      </c>
      <c r="I44" s="17" t="str">
        <f t="shared" si="3"/>
        <v>C</v>
      </c>
      <c r="J44" s="18">
        <v>3</v>
      </c>
      <c r="K44" s="17" t="str">
        <f t="shared" si="4"/>
        <v>C</v>
      </c>
      <c r="L44" s="17">
        <v>3</v>
      </c>
      <c r="M44" s="19" t="s">
        <v>26</v>
      </c>
      <c r="N44" s="17">
        <f t="shared" si="0"/>
        <v>3</v>
      </c>
      <c r="O44" s="19" t="s">
        <v>26</v>
      </c>
      <c r="P44" s="17">
        <f t="shared" si="0"/>
        <v>3</v>
      </c>
      <c r="Q44" s="21" t="s">
        <v>247</v>
      </c>
      <c r="R44" s="21" t="s">
        <v>248</v>
      </c>
      <c r="S44" s="21" t="s">
        <v>249</v>
      </c>
      <c r="T44" s="21" t="s">
        <v>250</v>
      </c>
      <c r="U44" s="23" t="s">
        <v>251</v>
      </c>
      <c r="V44" s="24" t="s">
        <v>252</v>
      </c>
      <c r="W44" s="16"/>
      <c r="X44" s="16"/>
      <c r="Y44" s="16"/>
      <c r="Z44" s="16"/>
      <c r="AA44" s="16"/>
      <c r="AB44" s="16"/>
    </row>
    <row r="45" spans="1:28" ht="30">
      <c r="A45" s="25"/>
      <c r="B45" s="25"/>
      <c r="C45" s="15" t="s">
        <v>253</v>
      </c>
      <c r="D45" s="16"/>
      <c r="E45" s="17" t="str">
        <f t="shared" si="1"/>
        <v>C</v>
      </c>
      <c r="F45" s="17">
        <v>3</v>
      </c>
      <c r="G45" s="17" t="str">
        <f t="shared" si="2"/>
        <v>C</v>
      </c>
      <c r="H45" s="17">
        <v>3</v>
      </c>
      <c r="I45" s="17" t="str">
        <f t="shared" si="3"/>
        <v>C</v>
      </c>
      <c r="J45" s="18">
        <v>3</v>
      </c>
      <c r="K45" s="17" t="str">
        <f t="shared" si="4"/>
        <v>C</v>
      </c>
      <c r="L45" s="17">
        <v>3</v>
      </c>
      <c r="M45" s="19" t="s">
        <v>26</v>
      </c>
      <c r="N45" s="17">
        <f t="shared" si="0"/>
        <v>3</v>
      </c>
      <c r="O45" s="19" t="s">
        <v>26</v>
      </c>
      <c r="P45" s="17">
        <f t="shared" si="0"/>
        <v>3</v>
      </c>
      <c r="Q45" s="21" t="s">
        <v>254</v>
      </c>
      <c r="R45" s="21" t="s">
        <v>255</v>
      </c>
      <c r="S45" s="21" t="s">
        <v>256</v>
      </c>
      <c r="T45" s="21" t="s">
        <v>257</v>
      </c>
      <c r="U45" s="23" t="s">
        <v>258</v>
      </c>
      <c r="V45" s="24" t="s">
        <v>259</v>
      </c>
      <c r="W45" s="16"/>
      <c r="X45" s="16"/>
      <c r="Y45" s="16"/>
      <c r="Z45" s="16"/>
      <c r="AA45" s="16"/>
      <c r="AB45" s="16"/>
    </row>
    <row r="46" spans="1:28" ht="30">
      <c r="A46" s="25"/>
      <c r="B46" s="25"/>
      <c r="C46" s="15" t="s">
        <v>260</v>
      </c>
      <c r="D46" s="16"/>
      <c r="E46" s="17" t="str">
        <f t="shared" si="1"/>
        <v>C</v>
      </c>
      <c r="F46" s="17">
        <v>3</v>
      </c>
      <c r="G46" s="17" t="str">
        <f t="shared" si="2"/>
        <v>C</v>
      </c>
      <c r="H46" s="17">
        <v>3</v>
      </c>
      <c r="I46" s="17" t="str">
        <f t="shared" si="3"/>
        <v>C</v>
      </c>
      <c r="J46" s="18">
        <v>3</v>
      </c>
      <c r="K46" s="17" t="str">
        <f t="shared" si="4"/>
        <v>C</v>
      </c>
      <c r="L46" s="17">
        <v>3</v>
      </c>
      <c r="M46" s="19" t="s">
        <v>26</v>
      </c>
      <c r="N46" s="17">
        <f t="shared" si="0"/>
        <v>3</v>
      </c>
      <c r="O46" s="19" t="s">
        <v>26</v>
      </c>
      <c r="P46" s="17">
        <f t="shared" si="0"/>
        <v>3</v>
      </c>
      <c r="Q46" s="21" t="s">
        <v>261</v>
      </c>
      <c r="R46" s="21" t="s">
        <v>262</v>
      </c>
      <c r="S46" s="21" t="s">
        <v>263</v>
      </c>
      <c r="T46" s="21" t="s">
        <v>264</v>
      </c>
      <c r="U46" s="23" t="s">
        <v>265</v>
      </c>
      <c r="V46" s="24" t="s">
        <v>266</v>
      </c>
      <c r="W46" s="16"/>
      <c r="X46" s="16"/>
      <c r="Y46" s="16"/>
      <c r="Z46" s="16"/>
      <c r="AA46" s="16"/>
      <c r="AB46" s="16"/>
    </row>
    <row r="47" spans="1:28" ht="28.8">
      <c r="A47" s="25"/>
      <c r="B47" s="25"/>
      <c r="C47" s="15" t="s">
        <v>267</v>
      </c>
      <c r="D47" s="16"/>
      <c r="E47" s="17" t="str">
        <f t="shared" si="1"/>
        <v>C</v>
      </c>
      <c r="F47" s="17">
        <v>3</v>
      </c>
      <c r="G47" s="17" t="str">
        <f t="shared" si="2"/>
        <v>C</v>
      </c>
      <c r="H47" s="17">
        <v>3</v>
      </c>
      <c r="I47" s="17" t="str">
        <f t="shared" si="3"/>
        <v>C</v>
      </c>
      <c r="J47" s="18">
        <v>3</v>
      </c>
      <c r="K47" s="17" t="str">
        <f t="shared" si="4"/>
        <v>C</v>
      </c>
      <c r="L47" s="17">
        <v>3</v>
      </c>
      <c r="M47" s="19" t="s">
        <v>26</v>
      </c>
      <c r="N47" s="17">
        <f t="shared" si="0"/>
        <v>3</v>
      </c>
      <c r="O47" s="19" t="s">
        <v>26</v>
      </c>
      <c r="P47" s="17">
        <f t="shared" si="0"/>
        <v>3</v>
      </c>
      <c r="Q47" s="21" t="s">
        <v>268</v>
      </c>
      <c r="R47" s="21" t="s">
        <v>269</v>
      </c>
      <c r="S47" s="21" t="s">
        <v>270</v>
      </c>
      <c r="T47" s="21" t="s">
        <v>271</v>
      </c>
      <c r="U47" s="23" t="s">
        <v>272</v>
      </c>
      <c r="V47" s="24" t="s">
        <v>273</v>
      </c>
      <c r="W47" s="16"/>
      <c r="X47" s="16"/>
      <c r="Y47" s="16"/>
      <c r="Z47" s="16"/>
      <c r="AA47" s="16"/>
      <c r="AB47" s="16"/>
    </row>
    <row r="48" spans="1:28" ht="43.2">
      <c r="A48" s="25"/>
      <c r="B48" s="25"/>
      <c r="C48" s="15" t="s">
        <v>274</v>
      </c>
      <c r="D48" s="16"/>
      <c r="E48" s="17" t="str">
        <f t="shared" si="1"/>
        <v>C</v>
      </c>
      <c r="F48" s="17">
        <v>3</v>
      </c>
      <c r="G48" s="17" t="str">
        <f t="shared" si="2"/>
        <v>C</v>
      </c>
      <c r="H48" s="17">
        <v>3</v>
      </c>
      <c r="I48" s="17" t="str">
        <f t="shared" si="3"/>
        <v>C</v>
      </c>
      <c r="J48" s="18">
        <v>3</v>
      </c>
      <c r="K48" s="17" t="str">
        <f t="shared" si="4"/>
        <v>C</v>
      </c>
      <c r="L48" s="17">
        <v>3</v>
      </c>
      <c r="M48" s="19" t="s">
        <v>26</v>
      </c>
      <c r="N48" s="17">
        <f t="shared" si="0"/>
        <v>3</v>
      </c>
      <c r="O48" s="19" t="s">
        <v>26</v>
      </c>
      <c r="P48" s="17">
        <f t="shared" si="0"/>
        <v>3</v>
      </c>
      <c r="Q48" s="21" t="s">
        <v>275</v>
      </c>
      <c r="R48" s="21" t="s">
        <v>276</v>
      </c>
      <c r="S48" s="21" t="s">
        <v>277</v>
      </c>
      <c r="T48" s="21" t="s">
        <v>278</v>
      </c>
      <c r="U48" s="23" t="s">
        <v>279</v>
      </c>
      <c r="V48" s="24" t="s">
        <v>280</v>
      </c>
      <c r="W48" s="16"/>
      <c r="X48" s="16"/>
      <c r="Y48" s="16"/>
      <c r="Z48" s="16"/>
      <c r="AA48" s="16"/>
      <c r="AB48" s="16"/>
    </row>
    <row r="49" spans="1:28" ht="43.2">
      <c r="A49" s="25"/>
      <c r="B49" s="25"/>
      <c r="C49" s="15" t="s">
        <v>281</v>
      </c>
      <c r="D49" s="16"/>
      <c r="E49" s="17" t="str">
        <f t="shared" si="1"/>
        <v>C</v>
      </c>
      <c r="F49" s="17">
        <v>3</v>
      </c>
      <c r="G49" s="17" t="str">
        <f t="shared" si="2"/>
        <v>C</v>
      </c>
      <c r="H49" s="17">
        <v>3</v>
      </c>
      <c r="I49" s="17" t="str">
        <f t="shared" si="3"/>
        <v>C</v>
      </c>
      <c r="J49" s="18">
        <v>3</v>
      </c>
      <c r="K49" s="17" t="str">
        <f t="shared" si="4"/>
        <v>C</v>
      </c>
      <c r="L49" s="17">
        <v>3</v>
      </c>
      <c r="M49" s="19" t="s">
        <v>26</v>
      </c>
      <c r="N49" s="17">
        <f t="shared" si="0"/>
        <v>3</v>
      </c>
      <c r="O49" s="19" t="s">
        <v>26</v>
      </c>
      <c r="P49" s="17">
        <f t="shared" si="0"/>
        <v>3</v>
      </c>
      <c r="Q49" s="21" t="s">
        <v>282</v>
      </c>
      <c r="R49" s="21" t="s">
        <v>283</v>
      </c>
      <c r="S49" s="21" t="s">
        <v>284</v>
      </c>
      <c r="T49" s="21" t="s">
        <v>285</v>
      </c>
      <c r="U49" s="23" t="s">
        <v>286</v>
      </c>
      <c r="V49" s="24" t="s">
        <v>287</v>
      </c>
      <c r="W49" s="16"/>
      <c r="X49" s="16"/>
      <c r="Y49" s="16"/>
      <c r="Z49" s="16"/>
      <c r="AA49" s="16"/>
      <c r="AB49" s="16"/>
    </row>
    <row r="50" spans="1:28" ht="28.8">
      <c r="A50" s="25"/>
      <c r="B50" s="25"/>
      <c r="C50" s="15" t="s">
        <v>288</v>
      </c>
      <c r="D50" s="16"/>
      <c r="E50" s="17" t="str">
        <f t="shared" si="1"/>
        <v>C</v>
      </c>
      <c r="F50" s="17">
        <v>3</v>
      </c>
      <c r="G50" s="17" t="str">
        <f t="shared" si="2"/>
        <v>C</v>
      </c>
      <c r="H50" s="17">
        <v>3</v>
      </c>
      <c r="I50" s="17" t="str">
        <f t="shared" si="3"/>
        <v>C</v>
      </c>
      <c r="J50" s="18">
        <v>3</v>
      </c>
      <c r="K50" s="17" t="str">
        <f t="shared" si="4"/>
        <v>C</v>
      </c>
      <c r="L50" s="17">
        <v>3</v>
      </c>
      <c r="M50" s="19" t="s">
        <v>26</v>
      </c>
      <c r="N50" s="17">
        <f t="shared" si="0"/>
        <v>3</v>
      </c>
      <c r="O50" s="19" t="s">
        <v>26</v>
      </c>
      <c r="P50" s="17">
        <f t="shared" si="0"/>
        <v>3</v>
      </c>
      <c r="Q50" s="21" t="s">
        <v>289</v>
      </c>
      <c r="R50" s="21" t="s">
        <v>290</v>
      </c>
      <c r="S50" s="21" t="s">
        <v>291</v>
      </c>
      <c r="T50" s="21" t="s">
        <v>292</v>
      </c>
      <c r="U50" s="23" t="s">
        <v>293</v>
      </c>
      <c r="V50" s="24" t="s">
        <v>294</v>
      </c>
      <c r="W50" s="16"/>
      <c r="X50" s="16"/>
      <c r="Y50" s="16"/>
      <c r="Z50" s="16"/>
      <c r="AA50" s="16"/>
      <c r="AB50" s="16"/>
    </row>
    <row r="51" spans="1:28" ht="28.8">
      <c r="A51" s="25"/>
      <c r="B51" s="25"/>
      <c r="C51" s="15" t="s">
        <v>295</v>
      </c>
      <c r="D51" s="16"/>
      <c r="E51" s="17" t="str">
        <f t="shared" si="1"/>
        <v>C</v>
      </c>
      <c r="F51" s="17">
        <v>3</v>
      </c>
      <c r="G51" s="17" t="str">
        <f t="shared" si="2"/>
        <v>C</v>
      </c>
      <c r="H51" s="17">
        <v>3</v>
      </c>
      <c r="I51" s="17" t="str">
        <f t="shared" si="3"/>
        <v>C</v>
      </c>
      <c r="J51" s="18">
        <v>3</v>
      </c>
      <c r="K51" s="17" t="str">
        <f t="shared" si="4"/>
        <v>C</v>
      </c>
      <c r="L51" s="17">
        <v>3</v>
      </c>
      <c r="M51" s="19" t="s">
        <v>26</v>
      </c>
      <c r="N51" s="17">
        <f t="shared" si="0"/>
        <v>3</v>
      </c>
      <c r="O51" s="19" t="s">
        <v>26</v>
      </c>
      <c r="P51" s="17">
        <f t="shared" si="0"/>
        <v>3</v>
      </c>
      <c r="Q51" s="21" t="s">
        <v>296</v>
      </c>
      <c r="R51" s="21" t="s">
        <v>297</v>
      </c>
      <c r="S51" s="21" t="s">
        <v>298</v>
      </c>
      <c r="T51" s="21" t="s">
        <v>299</v>
      </c>
      <c r="U51" s="23" t="s">
        <v>300</v>
      </c>
      <c r="V51" s="24" t="s">
        <v>301</v>
      </c>
      <c r="W51" s="16"/>
      <c r="X51" s="16"/>
      <c r="Y51" s="16"/>
      <c r="Z51" s="16"/>
      <c r="AA51" s="16"/>
      <c r="AB51" s="16"/>
    </row>
    <row r="52" spans="1:28" ht="43.2">
      <c r="A52" s="25"/>
      <c r="B52" s="25"/>
      <c r="C52" s="15" t="s">
        <v>302</v>
      </c>
      <c r="D52" s="16"/>
      <c r="E52" s="17" t="str">
        <f t="shared" si="1"/>
        <v>C</v>
      </c>
      <c r="F52" s="17">
        <v>3</v>
      </c>
      <c r="G52" s="17" t="str">
        <f t="shared" si="2"/>
        <v>C</v>
      </c>
      <c r="H52" s="17">
        <v>3</v>
      </c>
      <c r="I52" s="17" t="str">
        <f t="shared" si="3"/>
        <v>C</v>
      </c>
      <c r="J52" s="18">
        <v>3</v>
      </c>
      <c r="K52" s="17" t="str">
        <f t="shared" si="4"/>
        <v>C</v>
      </c>
      <c r="L52" s="17">
        <v>3</v>
      </c>
      <c r="M52" s="19" t="s">
        <v>26</v>
      </c>
      <c r="N52" s="17">
        <f t="shared" si="0"/>
        <v>3</v>
      </c>
      <c r="O52" s="19" t="s">
        <v>26</v>
      </c>
      <c r="P52" s="17">
        <f t="shared" si="0"/>
        <v>3</v>
      </c>
      <c r="Q52" s="21" t="s">
        <v>303</v>
      </c>
      <c r="R52" s="21" t="s">
        <v>304</v>
      </c>
      <c r="S52" s="21" t="s">
        <v>305</v>
      </c>
      <c r="T52" s="21" t="s">
        <v>306</v>
      </c>
      <c r="U52" s="23" t="s">
        <v>307</v>
      </c>
      <c r="V52" s="24" t="s">
        <v>308</v>
      </c>
      <c r="W52" s="16"/>
      <c r="X52" s="16"/>
      <c r="Y52" s="16"/>
      <c r="Z52" s="16"/>
      <c r="AA52" s="16"/>
      <c r="AB52" s="16"/>
    </row>
    <row r="53" spans="1:28" ht="31.2">
      <c r="A53" s="25"/>
      <c r="B53" s="25"/>
      <c r="C53" s="15" t="s">
        <v>309</v>
      </c>
      <c r="D53" s="16"/>
      <c r="E53" s="17" t="str">
        <f t="shared" si="1"/>
        <v>C</v>
      </c>
      <c r="F53" s="17">
        <v>3</v>
      </c>
      <c r="G53" s="17" t="str">
        <f t="shared" si="2"/>
        <v>C</v>
      </c>
      <c r="H53" s="17">
        <v>3</v>
      </c>
      <c r="I53" s="17" t="str">
        <f t="shared" si="3"/>
        <v>PC</v>
      </c>
      <c r="J53" s="18">
        <v>1</v>
      </c>
      <c r="K53" s="17" t="str">
        <f t="shared" si="4"/>
        <v>PC</v>
      </c>
      <c r="L53" s="17">
        <v>1</v>
      </c>
      <c r="M53" s="19" t="s">
        <v>26</v>
      </c>
      <c r="N53" s="17">
        <f t="shared" si="0"/>
        <v>3</v>
      </c>
      <c r="O53" s="19" t="s">
        <v>26</v>
      </c>
      <c r="P53" s="17">
        <f t="shared" si="0"/>
        <v>3</v>
      </c>
      <c r="Q53" s="21" t="s">
        <v>310</v>
      </c>
      <c r="R53" s="21" t="s">
        <v>311</v>
      </c>
      <c r="S53" s="21" t="s">
        <v>222</v>
      </c>
      <c r="T53" s="21" t="s">
        <v>312</v>
      </c>
      <c r="U53" s="23" t="s">
        <v>313</v>
      </c>
      <c r="V53" s="24" t="s">
        <v>314</v>
      </c>
      <c r="W53" s="16"/>
      <c r="X53" s="16"/>
      <c r="Y53" s="16"/>
      <c r="Z53" s="16"/>
      <c r="AA53" s="16"/>
      <c r="AB53" s="16"/>
    </row>
    <row r="54" spans="1:28" ht="75">
      <c r="A54" s="25"/>
      <c r="B54" s="25"/>
      <c r="C54" s="15" t="s">
        <v>315</v>
      </c>
      <c r="D54" s="16"/>
      <c r="E54" s="17" t="str">
        <f t="shared" si="1"/>
        <v>PC</v>
      </c>
      <c r="F54" s="17">
        <v>1</v>
      </c>
      <c r="G54" s="17" t="str">
        <f t="shared" si="2"/>
        <v>PC</v>
      </c>
      <c r="H54" s="17">
        <v>1</v>
      </c>
      <c r="I54" s="17" t="str">
        <f t="shared" si="3"/>
        <v>PC</v>
      </c>
      <c r="J54" s="18">
        <v>1</v>
      </c>
      <c r="K54" s="17" t="str">
        <f t="shared" si="4"/>
        <v>PC</v>
      </c>
      <c r="L54" s="17">
        <v>1</v>
      </c>
      <c r="M54" s="19" t="s">
        <v>26</v>
      </c>
      <c r="N54" s="17">
        <f t="shared" si="0"/>
        <v>3</v>
      </c>
      <c r="O54" s="19" t="s">
        <v>26</v>
      </c>
      <c r="P54" s="17">
        <f t="shared" si="0"/>
        <v>3</v>
      </c>
      <c r="Q54" s="21" t="s">
        <v>316</v>
      </c>
      <c r="R54" s="21" t="s">
        <v>317</v>
      </c>
      <c r="S54" s="21" t="s">
        <v>318</v>
      </c>
      <c r="T54" s="21" t="s">
        <v>319</v>
      </c>
      <c r="U54" s="23" t="s">
        <v>320</v>
      </c>
      <c r="V54" s="24" t="s">
        <v>321</v>
      </c>
      <c r="W54" s="16"/>
      <c r="X54" s="16"/>
      <c r="Y54" s="16"/>
      <c r="Z54" s="16"/>
      <c r="AA54" s="16"/>
      <c r="AB54" s="16"/>
    </row>
    <row r="55" spans="1:28" ht="57.6">
      <c r="A55" s="13">
        <v>5</v>
      </c>
      <c r="B55" s="14" t="s">
        <v>322</v>
      </c>
      <c r="C55" s="15" t="s">
        <v>323</v>
      </c>
      <c r="D55" s="16">
        <v>0.15</v>
      </c>
      <c r="E55" s="17" t="str">
        <f t="shared" si="1"/>
        <v>PC</v>
      </c>
      <c r="F55" s="17">
        <v>1</v>
      </c>
      <c r="G55" s="17" t="str">
        <f t="shared" si="2"/>
        <v>C</v>
      </c>
      <c r="H55" s="17">
        <v>3</v>
      </c>
      <c r="I55" s="17" t="str">
        <f t="shared" si="3"/>
        <v>C</v>
      </c>
      <c r="J55" s="18">
        <v>3</v>
      </c>
      <c r="K55" s="17" t="str">
        <f t="shared" si="4"/>
        <v>C</v>
      </c>
      <c r="L55" s="17">
        <v>3</v>
      </c>
      <c r="M55" s="19" t="s">
        <v>26</v>
      </c>
      <c r="N55" s="17">
        <f t="shared" si="0"/>
        <v>3</v>
      </c>
      <c r="O55" s="19" t="s">
        <v>26</v>
      </c>
      <c r="P55" s="17">
        <f t="shared" si="0"/>
        <v>3</v>
      </c>
      <c r="Q55" s="21" t="s">
        <v>324</v>
      </c>
      <c r="R55" s="21" t="s">
        <v>325</v>
      </c>
      <c r="S55" s="21" t="s">
        <v>326</v>
      </c>
      <c r="T55" s="21" t="s">
        <v>327</v>
      </c>
      <c r="U55" s="23" t="s">
        <v>328</v>
      </c>
      <c r="V55" s="24" t="s">
        <v>329</v>
      </c>
      <c r="W55" s="16">
        <f>AVERAGE(F55:F90)*$D55/3</f>
        <v>1.8055555555555554E-2</v>
      </c>
      <c r="X55" s="16">
        <f>AVERAGE(H55:H90)*$D55/3</f>
        <v>0.12638888888888888</v>
      </c>
      <c r="Y55" s="16">
        <f>AVERAGE(J55:J90)*$D55/3</f>
        <v>0.14444444444444443</v>
      </c>
      <c r="Z55" s="16">
        <f>AVERAGE(L55:L90)*$D55/3</f>
        <v>0.10277777777777776</v>
      </c>
      <c r="AA55" s="16">
        <f>AVERAGE(N55:N90)*$D55/3</f>
        <v>0.13888888888888887</v>
      </c>
      <c r="AB55" s="16">
        <f>AVERAGE(P55:P90)*$D55/3</f>
        <v>0.14444444444444443</v>
      </c>
    </row>
    <row r="56" spans="1:28" ht="28.8" customHeight="1">
      <c r="A56" s="25"/>
      <c r="B56" s="25"/>
      <c r="C56" s="15" t="s">
        <v>330</v>
      </c>
      <c r="D56" s="16"/>
      <c r="E56" s="17" t="str">
        <f t="shared" si="1"/>
        <v>C</v>
      </c>
      <c r="F56" s="17">
        <v>3</v>
      </c>
      <c r="G56" s="17" t="str">
        <f t="shared" si="2"/>
        <v>C</v>
      </c>
      <c r="H56" s="17">
        <v>3</v>
      </c>
      <c r="I56" s="17" t="str">
        <f t="shared" si="3"/>
        <v>PC</v>
      </c>
      <c r="J56" s="18">
        <v>1</v>
      </c>
      <c r="K56" s="17" t="str">
        <f t="shared" si="4"/>
        <v>C</v>
      </c>
      <c r="L56" s="17">
        <v>3</v>
      </c>
      <c r="M56" s="19" t="s">
        <v>26</v>
      </c>
      <c r="N56" s="17">
        <f t="shared" si="0"/>
        <v>3</v>
      </c>
      <c r="O56" s="19" t="s">
        <v>26</v>
      </c>
      <c r="P56" s="17">
        <f t="shared" si="0"/>
        <v>3</v>
      </c>
      <c r="Q56" s="21" t="s">
        <v>331</v>
      </c>
      <c r="R56" s="21" t="s">
        <v>332</v>
      </c>
      <c r="S56" s="21" t="s">
        <v>333</v>
      </c>
      <c r="T56" s="21" t="s">
        <v>334</v>
      </c>
      <c r="U56" s="23" t="s">
        <v>335</v>
      </c>
      <c r="V56" s="24" t="s">
        <v>336</v>
      </c>
      <c r="W56" s="16"/>
      <c r="X56" s="16"/>
      <c r="Y56" s="16"/>
      <c r="Z56" s="16"/>
      <c r="AA56" s="16"/>
      <c r="AB56" s="16"/>
    </row>
    <row r="57" spans="1:28" ht="28.8" customHeight="1">
      <c r="A57" s="25"/>
      <c r="B57" s="25"/>
      <c r="C57" s="15" t="s">
        <v>337</v>
      </c>
      <c r="D57" s="16"/>
      <c r="E57" s="17" t="str">
        <f t="shared" si="1"/>
        <v>C</v>
      </c>
      <c r="F57" s="17">
        <v>3</v>
      </c>
      <c r="G57" s="17" t="str">
        <f t="shared" si="2"/>
        <v>C</v>
      </c>
      <c r="H57" s="17">
        <v>3</v>
      </c>
      <c r="I57" s="17" t="str">
        <f t="shared" si="3"/>
        <v>C</v>
      </c>
      <c r="J57" s="18">
        <v>3</v>
      </c>
      <c r="K57" s="17" t="str">
        <f t="shared" si="4"/>
        <v>PC</v>
      </c>
      <c r="L57" s="17">
        <v>1</v>
      </c>
      <c r="M57" s="19" t="s">
        <v>26</v>
      </c>
      <c r="N57" s="17">
        <f t="shared" si="0"/>
        <v>3</v>
      </c>
      <c r="O57" s="19" t="s">
        <v>26</v>
      </c>
      <c r="P57" s="17">
        <f t="shared" si="0"/>
        <v>3</v>
      </c>
      <c r="Q57" s="21" t="s">
        <v>338</v>
      </c>
      <c r="R57" s="21" t="s">
        <v>339</v>
      </c>
      <c r="S57" s="21" t="s">
        <v>340</v>
      </c>
      <c r="T57" s="21" t="s">
        <v>341</v>
      </c>
      <c r="U57" s="23" t="s">
        <v>342</v>
      </c>
      <c r="V57" s="24" t="s">
        <v>343</v>
      </c>
      <c r="W57" s="16"/>
      <c r="X57" s="16"/>
      <c r="Y57" s="16"/>
      <c r="Z57" s="16"/>
      <c r="AA57" s="16"/>
      <c r="AB57" s="16"/>
    </row>
    <row r="58" spans="1:28" ht="31.2">
      <c r="A58" s="25"/>
      <c r="B58" s="25"/>
      <c r="C58" s="15" t="s">
        <v>344</v>
      </c>
      <c r="D58" s="16"/>
      <c r="E58" s="17" t="str">
        <f t="shared" si="1"/>
        <v>NC</v>
      </c>
      <c r="F58" s="17">
        <v>0</v>
      </c>
      <c r="G58" s="17" t="str">
        <f t="shared" si="2"/>
        <v>C</v>
      </c>
      <c r="H58" s="17">
        <v>3</v>
      </c>
      <c r="I58" s="17" t="str">
        <f t="shared" si="3"/>
        <v>C</v>
      </c>
      <c r="J58" s="17">
        <v>3</v>
      </c>
      <c r="K58" s="17" t="str">
        <f t="shared" si="4"/>
        <v>C</v>
      </c>
      <c r="L58" s="17">
        <v>3</v>
      </c>
      <c r="M58" s="19" t="s">
        <v>26</v>
      </c>
      <c r="N58" s="17">
        <f t="shared" si="0"/>
        <v>3</v>
      </c>
      <c r="O58" s="19" t="s">
        <v>26</v>
      </c>
      <c r="P58" s="17">
        <f t="shared" si="0"/>
        <v>3</v>
      </c>
      <c r="Q58" s="21" t="s">
        <v>345</v>
      </c>
      <c r="R58" s="21" t="s">
        <v>346</v>
      </c>
      <c r="S58" s="21" t="s">
        <v>347</v>
      </c>
      <c r="T58" s="21" t="s">
        <v>348</v>
      </c>
      <c r="U58" s="23" t="s">
        <v>349</v>
      </c>
      <c r="V58" s="24" t="s">
        <v>350</v>
      </c>
      <c r="W58" s="16"/>
      <c r="X58" s="16"/>
      <c r="Y58" s="16"/>
      <c r="Z58" s="16"/>
      <c r="AA58" s="16"/>
      <c r="AB58" s="16"/>
    </row>
    <row r="59" spans="1:28" ht="28.8">
      <c r="A59" s="25"/>
      <c r="B59" s="25"/>
      <c r="C59" s="15" t="s">
        <v>351</v>
      </c>
      <c r="D59" s="16"/>
      <c r="E59" s="17" t="str">
        <f t="shared" si="1"/>
        <v>NC</v>
      </c>
      <c r="F59" s="17">
        <v>0</v>
      </c>
      <c r="G59" s="17" t="str">
        <f t="shared" si="2"/>
        <v>C</v>
      </c>
      <c r="H59" s="17">
        <v>3</v>
      </c>
      <c r="I59" s="17" t="str">
        <f t="shared" si="3"/>
        <v>C</v>
      </c>
      <c r="J59" s="17">
        <v>3</v>
      </c>
      <c r="K59" s="17" t="str">
        <f t="shared" si="4"/>
        <v>C</v>
      </c>
      <c r="L59" s="17">
        <v>3</v>
      </c>
      <c r="M59" s="19" t="s">
        <v>26</v>
      </c>
      <c r="N59" s="17">
        <f t="shared" si="0"/>
        <v>3</v>
      </c>
      <c r="O59" s="19" t="s">
        <v>26</v>
      </c>
      <c r="P59" s="17">
        <f t="shared" si="0"/>
        <v>3</v>
      </c>
      <c r="Q59" s="21" t="s">
        <v>352</v>
      </c>
      <c r="R59" s="21" t="s">
        <v>353</v>
      </c>
      <c r="S59" s="21" t="s">
        <v>354</v>
      </c>
      <c r="T59" s="21" t="s">
        <v>355</v>
      </c>
      <c r="U59" s="23" t="s">
        <v>356</v>
      </c>
      <c r="V59" s="24" t="s">
        <v>357</v>
      </c>
      <c r="W59" s="16"/>
      <c r="X59" s="16"/>
      <c r="Y59" s="16"/>
      <c r="Z59" s="16"/>
      <c r="AA59" s="16"/>
      <c r="AB59" s="16"/>
    </row>
    <row r="60" spans="1:28" ht="28.8">
      <c r="A60" s="25"/>
      <c r="B60" s="25"/>
      <c r="C60" s="15" t="s">
        <v>358</v>
      </c>
      <c r="D60" s="16"/>
      <c r="E60" s="17" t="str">
        <f t="shared" si="1"/>
        <v>NC</v>
      </c>
      <c r="F60" s="17">
        <v>0</v>
      </c>
      <c r="G60" s="17" t="str">
        <f t="shared" si="2"/>
        <v>C</v>
      </c>
      <c r="H60" s="17">
        <v>3</v>
      </c>
      <c r="I60" s="17" t="str">
        <f t="shared" si="3"/>
        <v>C</v>
      </c>
      <c r="J60" s="17">
        <v>3</v>
      </c>
      <c r="K60" s="17" t="str">
        <f t="shared" si="4"/>
        <v>C</v>
      </c>
      <c r="L60" s="17">
        <v>3</v>
      </c>
      <c r="M60" s="19" t="s">
        <v>26</v>
      </c>
      <c r="N60" s="17">
        <f t="shared" si="0"/>
        <v>3</v>
      </c>
      <c r="O60" s="19" t="s">
        <v>26</v>
      </c>
      <c r="P60" s="17">
        <f t="shared" si="0"/>
        <v>3</v>
      </c>
      <c r="Q60" s="21" t="s">
        <v>359</v>
      </c>
      <c r="R60" s="21" t="s">
        <v>360</v>
      </c>
      <c r="S60" s="21" t="s">
        <v>361</v>
      </c>
      <c r="T60" s="21" t="s">
        <v>362</v>
      </c>
      <c r="U60" s="23" t="s">
        <v>363</v>
      </c>
      <c r="V60" s="24" t="s">
        <v>364</v>
      </c>
      <c r="W60" s="16"/>
      <c r="X60" s="16"/>
      <c r="Y60" s="16"/>
      <c r="Z60" s="16"/>
      <c r="AA60" s="16"/>
      <c r="AB60" s="16"/>
    </row>
    <row r="61" spans="1:28" ht="28.8">
      <c r="A61" s="25"/>
      <c r="B61" s="25"/>
      <c r="C61" s="15" t="s">
        <v>365</v>
      </c>
      <c r="D61" s="16"/>
      <c r="E61" s="17" t="str">
        <f t="shared" si="1"/>
        <v>NC</v>
      </c>
      <c r="F61" s="17">
        <v>0</v>
      </c>
      <c r="G61" s="17" t="str">
        <f t="shared" si="2"/>
        <v>C</v>
      </c>
      <c r="H61" s="17">
        <v>3</v>
      </c>
      <c r="I61" s="17" t="str">
        <f t="shared" si="3"/>
        <v>C</v>
      </c>
      <c r="J61" s="17">
        <v>3</v>
      </c>
      <c r="K61" s="17" t="str">
        <f t="shared" si="4"/>
        <v>PC</v>
      </c>
      <c r="L61" s="17">
        <v>1</v>
      </c>
      <c r="M61" s="19" t="s">
        <v>26</v>
      </c>
      <c r="N61" s="17">
        <f t="shared" si="0"/>
        <v>3</v>
      </c>
      <c r="O61" s="19" t="s">
        <v>26</v>
      </c>
      <c r="P61" s="17">
        <f t="shared" si="0"/>
        <v>3</v>
      </c>
      <c r="Q61" s="21" t="s">
        <v>366</v>
      </c>
      <c r="R61" s="21" t="s">
        <v>367</v>
      </c>
      <c r="S61" s="21" t="s">
        <v>368</v>
      </c>
      <c r="T61" s="21" t="s">
        <v>369</v>
      </c>
      <c r="U61" s="23" t="s">
        <v>370</v>
      </c>
      <c r="V61" s="24" t="s">
        <v>371</v>
      </c>
      <c r="W61" s="16"/>
      <c r="X61" s="16"/>
      <c r="Y61" s="16"/>
      <c r="Z61" s="16"/>
      <c r="AA61" s="16"/>
      <c r="AB61" s="16"/>
    </row>
    <row r="62" spans="1:28" ht="28.8">
      <c r="A62" s="25"/>
      <c r="B62" s="25"/>
      <c r="C62" s="15" t="s">
        <v>372</v>
      </c>
      <c r="D62" s="16"/>
      <c r="E62" s="17" t="str">
        <f t="shared" si="1"/>
        <v>NC</v>
      </c>
      <c r="F62" s="17">
        <v>0</v>
      </c>
      <c r="G62" s="17" t="str">
        <f t="shared" si="2"/>
        <v>C</v>
      </c>
      <c r="H62" s="17">
        <v>3</v>
      </c>
      <c r="I62" s="17" t="str">
        <f t="shared" si="3"/>
        <v>C</v>
      </c>
      <c r="J62" s="17">
        <v>3</v>
      </c>
      <c r="K62" s="17" t="str">
        <f t="shared" si="4"/>
        <v>C</v>
      </c>
      <c r="L62" s="17">
        <v>3</v>
      </c>
      <c r="M62" s="19" t="s">
        <v>26</v>
      </c>
      <c r="N62" s="17">
        <f t="shared" si="0"/>
        <v>3</v>
      </c>
      <c r="O62" s="19" t="s">
        <v>26</v>
      </c>
      <c r="P62" s="17">
        <f t="shared" si="0"/>
        <v>3</v>
      </c>
      <c r="Q62" s="21" t="s">
        <v>373</v>
      </c>
      <c r="R62" s="21" t="s">
        <v>374</v>
      </c>
      <c r="S62" s="21" t="s">
        <v>375</v>
      </c>
      <c r="T62" s="21" t="s">
        <v>376</v>
      </c>
      <c r="U62" s="23" t="s">
        <v>377</v>
      </c>
      <c r="V62" s="24" t="s">
        <v>378</v>
      </c>
      <c r="W62" s="16"/>
      <c r="X62" s="16"/>
      <c r="Y62" s="16"/>
      <c r="Z62" s="16"/>
      <c r="AA62" s="16"/>
      <c r="AB62" s="16"/>
    </row>
    <row r="63" spans="1:28" ht="31.2">
      <c r="A63" s="25"/>
      <c r="B63" s="25"/>
      <c r="C63" s="15" t="s">
        <v>379</v>
      </c>
      <c r="D63" s="16"/>
      <c r="E63" s="17" t="str">
        <f t="shared" si="1"/>
        <v>NC</v>
      </c>
      <c r="F63" s="17">
        <v>0</v>
      </c>
      <c r="G63" s="17" t="str">
        <f t="shared" si="2"/>
        <v>C</v>
      </c>
      <c r="H63" s="17">
        <v>3</v>
      </c>
      <c r="I63" s="17" t="str">
        <f t="shared" si="3"/>
        <v>C</v>
      </c>
      <c r="J63" s="17">
        <v>3</v>
      </c>
      <c r="K63" s="17" t="str">
        <f t="shared" si="4"/>
        <v>C</v>
      </c>
      <c r="L63" s="17">
        <v>3</v>
      </c>
      <c r="M63" s="19" t="s">
        <v>26</v>
      </c>
      <c r="N63" s="17">
        <f t="shared" si="0"/>
        <v>3</v>
      </c>
      <c r="O63" s="19" t="s">
        <v>26</v>
      </c>
      <c r="P63" s="17">
        <f t="shared" si="0"/>
        <v>3</v>
      </c>
      <c r="Q63" s="21" t="s">
        <v>380</v>
      </c>
      <c r="R63" s="21" t="s">
        <v>283</v>
      </c>
      <c r="S63" s="21" t="s">
        <v>381</v>
      </c>
      <c r="T63" s="21" t="s">
        <v>382</v>
      </c>
      <c r="U63" s="23" t="s">
        <v>383</v>
      </c>
      <c r="V63" s="24" t="s">
        <v>384</v>
      </c>
      <c r="W63" s="16"/>
      <c r="X63" s="16"/>
      <c r="Y63" s="16"/>
      <c r="Z63" s="16"/>
      <c r="AA63" s="16"/>
      <c r="AB63" s="16"/>
    </row>
    <row r="64" spans="1:28" ht="62.4">
      <c r="A64" s="25"/>
      <c r="B64" s="25"/>
      <c r="C64" s="15" t="s">
        <v>385</v>
      </c>
      <c r="D64" s="16"/>
      <c r="E64" s="17" t="str">
        <f t="shared" si="1"/>
        <v>NC</v>
      </c>
      <c r="F64" s="17">
        <v>0</v>
      </c>
      <c r="G64" s="17" t="str">
        <f t="shared" si="2"/>
        <v>C</v>
      </c>
      <c r="H64" s="17">
        <v>3</v>
      </c>
      <c r="I64" s="17" t="str">
        <f t="shared" si="3"/>
        <v>C</v>
      </c>
      <c r="J64" s="17">
        <v>3</v>
      </c>
      <c r="K64" s="17" t="str">
        <f t="shared" si="4"/>
        <v>C</v>
      </c>
      <c r="L64" s="17">
        <v>3</v>
      </c>
      <c r="M64" s="19" t="s">
        <v>26</v>
      </c>
      <c r="N64" s="17">
        <f t="shared" si="0"/>
        <v>3</v>
      </c>
      <c r="O64" s="19" t="s">
        <v>26</v>
      </c>
      <c r="P64" s="17">
        <f t="shared" si="0"/>
        <v>3</v>
      </c>
      <c r="Q64" s="21" t="s">
        <v>386</v>
      </c>
      <c r="R64" s="21" t="s">
        <v>387</v>
      </c>
      <c r="S64" s="21" t="s">
        <v>388</v>
      </c>
      <c r="T64" s="21" t="s">
        <v>389</v>
      </c>
      <c r="U64" s="23" t="s">
        <v>390</v>
      </c>
      <c r="V64" s="24" t="s">
        <v>391</v>
      </c>
      <c r="W64" s="16"/>
      <c r="X64" s="16"/>
      <c r="Y64" s="16"/>
      <c r="Z64" s="16"/>
      <c r="AA64" s="16"/>
      <c r="AB64" s="16"/>
    </row>
    <row r="65" spans="1:28" ht="30" customHeight="1">
      <c r="A65" s="25"/>
      <c r="B65" s="25"/>
      <c r="C65" s="15" t="s">
        <v>392</v>
      </c>
      <c r="D65" s="16"/>
      <c r="E65" s="17" t="str">
        <f t="shared" si="1"/>
        <v>NC</v>
      </c>
      <c r="F65" s="17">
        <v>0</v>
      </c>
      <c r="G65" s="17" t="str">
        <f t="shared" si="2"/>
        <v>C</v>
      </c>
      <c r="H65" s="17">
        <v>3</v>
      </c>
      <c r="I65" s="17" t="str">
        <f t="shared" si="3"/>
        <v>C</v>
      </c>
      <c r="J65" s="18">
        <v>3</v>
      </c>
      <c r="K65" s="17" t="str">
        <f t="shared" si="4"/>
        <v>PC</v>
      </c>
      <c r="L65" s="17">
        <v>1</v>
      </c>
      <c r="M65" s="19" t="s">
        <v>97</v>
      </c>
      <c r="N65" s="17">
        <f t="shared" si="0"/>
        <v>1</v>
      </c>
      <c r="O65" s="19" t="s">
        <v>26</v>
      </c>
      <c r="P65" s="17">
        <f t="shared" si="0"/>
        <v>3</v>
      </c>
      <c r="Q65" s="21" t="s">
        <v>393</v>
      </c>
      <c r="R65" s="21" t="s">
        <v>394</v>
      </c>
      <c r="S65" s="21" t="s">
        <v>395</v>
      </c>
      <c r="T65" s="21" t="s">
        <v>396</v>
      </c>
      <c r="U65" s="23" t="s">
        <v>397</v>
      </c>
      <c r="V65" s="24" t="s">
        <v>398</v>
      </c>
      <c r="W65" s="16"/>
      <c r="X65" s="16"/>
      <c r="Y65" s="16"/>
      <c r="Z65" s="16"/>
      <c r="AA65" s="16"/>
      <c r="AB65" s="16"/>
    </row>
    <row r="66" spans="1:28" ht="28.8">
      <c r="A66" s="25"/>
      <c r="B66" s="25"/>
      <c r="C66" s="15" t="s">
        <v>399</v>
      </c>
      <c r="D66" s="16"/>
      <c r="E66" s="17" t="str">
        <f t="shared" si="1"/>
        <v>NC</v>
      </c>
      <c r="F66" s="17">
        <v>0</v>
      </c>
      <c r="G66" s="17" t="str">
        <f t="shared" si="2"/>
        <v>C</v>
      </c>
      <c r="H66" s="17">
        <v>3</v>
      </c>
      <c r="I66" s="17" t="str">
        <f t="shared" si="3"/>
        <v>C</v>
      </c>
      <c r="J66" s="18">
        <v>3</v>
      </c>
      <c r="K66" s="17" t="str">
        <f t="shared" si="4"/>
        <v>C</v>
      </c>
      <c r="L66" s="17">
        <v>3</v>
      </c>
      <c r="M66" s="19" t="s">
        <v>97</v>
      </c>
      <c r="N66" s="17">
        <f t="shared" si="0"/>
        <v>1</v>
      </c>
      <c r="O66" s="19" t="s">
        <v>26</v>
      </c>
      <c r="P66" s="17">
        <f t="shared" si="0"/>
        <v>3</v>
      </c>
      <c r="Q66" s="21" t="s">
        <v>400</v>
      </c>
      <c r="R66" s="21" t="s">
        <v>401</v>
      </c>
      <c r="S66" s="21" t="s">
        <v>340</v>
      </c>
      <c r="T66" s="21" t="s">
        <v>402</v>
      </c>
      <c r="U66" s="23" t="s">
        <v>403</v>
      </c>
      <c r="V66" s="24" t="s">
        <v>404</v>
      </c>
      <c r="W66" s="16"/>
      <c r="X66" s="16"/>
      <c r="Y66" s="16"/>
      <c r="Z66" s="16"/>
      <c r="AA66" s="16"/>
      <c r="AB66" s="16"/>
    </row>
    <row r="67" spans="1:28" ht="28.8" customHeight="1">
      <c r="A67" s="25"/>
      <c r="B67" s="25"/>
      <c r="C67" s="15" t="s">
        <v>405</v>
      </c>
      <c r="D67" s="16"/>
      <c r="E67" s="17" t="str">
        <f t="shared" si="1"/>
        <v>NC</v>
      </c>
      <c r="F67" s="28">
        <v>0</v>
      </c>
      <c r="G67" s="17" t="str">
        <f t="shared" si="2"/>
        <v>C</v>
      </c>
      <c r="H67" s="28">
        <v>3</v>
      </c>
      <c r="I67" s="17" t="str">
        <f t="shared" si="3"/>
        <v>C</v>
      </c>
      <c r="J67" s="28">
        <v>3</v>
      </c>
      <c r="K67" s="17" t="str">
        <f t="shared" si="4"/>
        <v>C</v>
      </c>
      <c r="L67" s="28">
        <v>3</v>
      </c>
      <c r="M67" s="19" t="s">
        <v>26</v>
      </c>
      <c r="N67" s="17">
        <f t="shared" ref="N67:N130" si="5">IF(M67="C",3,IF(M67="PC",1,IF(M67="NC",0,"")))</f>
        <v>3</v>
      </c>
      <c r="O67" s="19" t="s">
        <v>26</v>
      </c>
      <c r="P67" s="17">
        <f t="shared" ref="P67:P130" si="6">IF(O67="C",3,IF(O67="PC",1,IF(O67="NC",0,"")))</f>
        <v>3</v>
      </c>
      <c r="Q67" s="21" t="s">
        <v>406</v>
      </c>
      <c r="R67" s="21" t="s">
        <v>407</v>
      </c>
      <c r="S67" s="21" t="s">
        <v>340</v>
      </c>
      <c r="T67" s="21" t="s">
        <v>408</v>
      </c>
      <c r="U67" s="23" t="s">
        <v>409</v>
      </c>
      <c r="V67" s="24" t="s">
        <v>410</v>
      </c>
      <c r="W67" s="16"/>
      <c r="X67" s="16"/>
      <c r="Y67" s="16"/>
      <c r="Z67" s="16"/>
      <c r="AA67" s="16"/>
      <c r="AB67" s="16"/>
    </row>
    <row r="68" spans="1:28" ht="28.8">
      <c r="A68" s="25"/>
      <c r="B68" s="25"/>
      <c r="C68" s="15" t="s">
        <v>411</v>
      </c>
      <c r="D68" s="16"/>
      <c r="E68" s="17" t="str">
        <f t="shared" ref="E68:E131" si="7">IF(F68=3,"C",IF(F68=1,"PC",IF(F68=0,"NC","")))</f>
        <v>NC</v>
      </c>
      <c r="F68" s="28">
        <v>0</v>
      </c>
      <c r="G68" s="17" t="str">
        <f t="shared" ref="G68:G131" si="8">IF(H68=3,"C",IF(H68=1,"PC",IF(H68=0,"NC","")))</f>
        <v>C</v>
      </c>
      <c r="H68" s="28">
        <v>3</v>
      </c>
      <c r="I68" s="17" t="str">
        <f t="shared" ref="I68:I131" si="9">IF(J68=3,"C",IF(J68=1,"PC",IF(J68=0,"NC","")))</f>
        <v>C</v>
      </c>
      <c r="J68" s="28">
        <v>3</v>
      </c>
      <c r="K68" s="17" t="str">
        <f t="shared" ref="K68:K131" si="10">IF(L68=3,"C",IF(L68=1,"PC",IF(L68=0,"NC","")))</f>
        <v>C</v>
      </c>
      <c r="L68" s="28">
        <v>3</v>
      </c>
      <c r="M68" s="19" t="s">
        <v>26</v>
      </c>
      <c r="N68" s="17">
        <f t="shared" si="5"/>
        <v>3</v>
      </c>
      <c r="O68" s="19" t="s">
        <v>26</v>
      </c>
      <c r="P68" s="17">
        <f t="shared" si="6"/>
        <v>3</v>
      </c>
      <c r="Q68" s="21" t="s">
        <v>412</v>
      </c>
      <c r="R68" s="21" t="s">
        <v>413</v>
      </c>
      <c r="S68" s="21" t="s">
        <v>414</v>
      </c>
      <c r="T68" s="21" t="s">
        <v>415</v>
      </c>
      <c r="U68" s="23" t="s">
        <v>416</v>
      </c>
      <c r="V68" s="24" t="s">
        <v>417</v>
      </c>
      <c r="W68" s="16"/>
      <c r="X68" s="16"/>
      <c r="Y68" s="16"/>
      <c r="Z68" s="16"/>
      <c r="AA68" s="16"/>
      <c r="AB68" s="16"/>
    </row>
    <row r="69" spans="1:28" ht="28.8">
      <c r="A69" s="25"/>
      <c r="B69" s="25"/>
      <c r="C69" s="15" t="s">
        <v>418</v>
      </c>
      <c r="D69" s="16"/>
      <c r="E69" s="17" t="str">
        <f t="shared" si="7"/>
        <v>NC</v>
      </c>
      <c r="F69" s="28">
        <v>0</v>
      </c>
      <c r="G69" s="17" t="str">
        <f t="shared" si="8"/>
        <v>C</v>
      </c>
      <c r="H69" s="28">
        <v>3</v>
      </c>
      <c r="I69" s="17" t="str">
        <f t="shared" si="9"/>
        <v>C</v>
      </c>
      <c r="J69" s="28">
        <v>3</v>
      </c>
      <c r="K69" s="17" t="str">
        <f t="shared" si="10"/>
        <v>PC</v>
      </c>
      <c r="L69" s="28">
        <v>1</v>
      </c>
      <c r="M69" s="19" t="s">
        <v>26</v>
      </c>
      <c r="N69" s="17">
        <f t="shared" si="5"/>
        <v>3</v>
      </c>
      <c r="O69" s="19" t="s">
        <v>26</v>
      </c>
      <c r="P69" s="17">
        <f t="shared" si="6"/>
        <v>3</v>
      </c>
      <c r="Q69" s="21" t="s">
        <v>419</v>
      </c>
      <c r="R69" s="21" t="s">
        <v>420</v>
      </c>
      <c r="S69" s="21" t="s">
        <v>421</v>
      </c>
      <c r="T69" s="21" t="s">
        <v>422</v>
      </c>
      <c r="U69" s="23" t="s">
        <v>423</v>
      </c>
      <c r="V69" s="24" t="s">
        <v>424</v>
      </c>
      <c r="W69" s="16"/>
      <c r="X69" s="16"/>
      <c r="Y69" s="16"/>
      <c r="Z69" s="16"/>
      <c r="AA69" s="16"/>
      <c r="AB69" s="16"/>
    </row>
    <row r="70" spans="1:28" ht="28.8">
      <c r="A70" s="25"/>
      <c r="B70" s="25"/>
      <c r="C70" s="15" t="s">
        <v>425</v>
      </c>
      <c r="D70" s="16"/>
      <c r="E70" s="17" t="str">
        <f t="shared" si="7"/>
        <v>NC</v>
      </c>
      <c r="F70" s="28">
        <v>0</v>
      </c>
      <c r="G70" s="17" t="str">
        <f t="shared" si="8"/>
        <v>C</v>
      </c>
      <c r="H70" s="28">
        <v>3</v>
      </c>
      <c r="I70" s="17" t="str">
        <f t="shared" si="9"/>
        <v>C</v>
      </c>
      <c r="J70" s="28">
        <v>3</v>
      </c>
      <c r="K70" s="17" t="str">
        <f t="shared" si="10"/>
        <v>C</v>
      </c>
      <c r="L70" s="28">
        <v>3</v>
      </c>
      <c r="M70" s="19" t="s">
        <v>26</v>
      </c>
      <c r="N70" s="17">
        <f t="shared" si="5"/>
        <v>3</v>
      </c>
      <c r="O70" s="19" t="s">
        <v>26</v>
      </c>
      <c r="P70" s="17">
        <f t="shared" si="6"/>
        <v>3</v>
      </c>
      <c r="Q70" s="21" t="s">
        <v>426</v>
      </c>
      <c r="R70" s="21" t="s">
        <v>427</v>
      </c>
      <c r="S70" s="21" t="s">
        <v>428</v>
      </c>
      <c r="T70" s="21" t="s">
        <v>429</v>
      </c>
      <c r="U70" s="23" t="s">
        <v>430</v>
      </c>
      <c r="V70" s="24" t="s">
        <v>431</v>
      </c>
      <c r="W70" s="16"/>
      <c r="X70" s="16"/>
      <c r="Y70" s="16"/>
      <c r="Z70" s="16"/>
      <c r="AA70" s="16"/>
      <c r="AB70" s="16"/>
    </row>
    <row r="71" spans="1:28" ht="31.2">
      <c r="A71" s="25"/>
      <c r="B71" s="25"/>
      <c r="C71" s="15" t="s">
        <v>432</v>
      </c>
      <c r="D71" s="16"/>
      <c r="E71" s="17" t="str">
        <f t="shared" si="7"/>
        <v>NC</v>
      </c>
      <c r="F71" s="28">
        <v>0</v>
      </c>
      <c r="G71" s="17" t="str">
        <f t="shared" si="8"/>
        <v>C</v>
      </c>
      <c r="H71" s="28">
        <v>3</v>
      </c>
      <c r="I71" s="17" t="str">
        <f t="shared" si="9"/>
        <v>C</v>
      </c>
      <c r="J71" s="28">
        <v>3</v>
      </c>
      <c r="K71" s="17" t="str">
        <f t="shared" si="10"/>
        <v>C</v>
      </c>
      <c r="L71" s="28">
        <v>3</v>
      </c>
      <c r="M71" s="19" t="s">
        <v>26</v>
      </c>
      <c r="N71" s="17">
        <f t="shared" si="5"/>
        <v>3</v>
      </c>
      <c r="O71" s="19" t="s">
        <v>26</v>
      </c>
      <c r="P71" s="17">
        <f t="shared" si="6"/>
        <v>3</v>
      </c>
      <c r="Q71" s="21" t="s">
        <v>433</v>
      </c>
      <c r="R71" s="21" t="s">
        <v>434</v>
      </c>
      <c r="S71" s="21" t="s">
        <v>435</v>
      </c>
      <c r="T71" s="21" t="s">
        <v>436</v>
      </c>
      <c r="U71" s="23" t="s">
        <v>437</v>
      </c>
      <c r="V71" s="24" t="s">
        <v>438</v>
      </c>
      <c r="W71" s="16"/>
      <c r="X71" s="16"/>
      <c r="Y71" s="16"/>
      <c r="Z71" s="16"/>
      <c r="AA71" s="16"/>
      <c r="AB71" s="16"/>
    </row>
    <row r="72" spans="1:28" ht="28.8">
      <c r="A72" s="25"/>
      <c r="B72" s="25"/>
      <c r="C72" s="15" t="s">
        <v>439</v>
      </c>
      <c r="D72" s="16"/>
      <c r="E72" s="17" t="str">
        <f t="shared" si="7"/>
        <v>NC</v>
      </c>
      <c r="F72" s="28">
        <v>0</v>
      </c>
      <c r="G72" s="17" t="str">
        <f t="shared" si="8"/>
        <v>C</v>
      </c>
      <c r="H72" s="28">
        <v>3</v>
      </c>
      <c r="I72" s="17" t="str">
        <f t="shared" si="9"/>
        <v>C</v>
      </c>
      <c r="J72" s="28">
        <v>3</v>
      </c>
      <c r="K72" s="17" t="str">
        <f t="shared" si="10"/>
        <v>C</v>
      </c>
      <c r="L72" s="28">
        <v>3</v>
      </c>
      <c r="M72" s="19" t="s">
        <v>26</v>
      </c>
      <c r="N72" s="17">
        <f t="shared" si="5"/>
        <v>3</v>
      </c>
      <c r="O72" s="19" t="s">
        <v>26</v>
      </c>
      <c r="P72" s="17">
        <f t="shared" si="6"/>
        <v>3</v>
      </c>
      <c r="Q72" s="21" t="s">
        <v>440</v>
      </c>
      <c r="R72" s="21" t="s">
        <v>283</v>
      </c>
      <c r="S72" s="21" t="s">
        <v>441</v>
      </c>
      <c r="T72" s="21" t="s">
        <v>442</v>
      </c>
      <c r="U72" s="23" t="s">
        <v>443</v>
      </c>
      <c r="V72" s="24" t="s">
        <v>444</v>
      </c>
      <c r="W72" s="16"/>
      <c r="X72" s="16"/>
      <c r="Y72" s="16"/>
      <c r="Z72" s="16"/>
      <c r="AA72" s="16"/>
      <c r="AB72" s="16"/>
    </row>
    <row r="73" spans="1:28" ht="43.2">
      <c r="A73" s="25"/>
      <c r="B73" s="25"/>
      <c r="C73" s="15" t="s">
        <v>445</v>
      </c>
      <c r="D73" s="16"/>
      <c r="E73" s="17" t="str">
        <f t="shared" si="7"/>
        <v>C</v>
      </c>
      <c r="F73" s="17">
        <v>3</v>
      </c>
      <c r="G73" s="17" t="str">
        <f t="shared" si="8"/>
        <v>C</v>
      </c>
      <c r="H73" s="17">
        <v>3</v>
      </c>
      <c r="I73" s="17" t="str">
        <f t="shared" si="9"/>
        <v>C</v>
      </c>
      <c r="J73" s="18">
        <v>3</v>
      </c>
      <c r="K73" s="17" t="str">
        <f t="shared" si="10"/>
        <v>PC</v>
      </c>
      <c r="L73" s="17">
        <v>1</v>
      </c>
      <c r="M73" s="19" t="s">
        <v>26</v>
      </c>
      <c r="N73" s="17">
        <f t="shared" si="5"/>
        <v>3</v>
      </c>
      <c r="O73" s="19" t="s">
        <v>26</v>
      </c>
      <c r="P73" s="17">
        <f t="shared" si="6"/>
        <v>3</v>
      </c>
      <c r="Q73" s="21" t="s">
        <v>446</v>
      </c>
      <c r="R73" s="21" t="s">
        <v>447</v>
      </c>
      <c r="S73" s="21" t="s">
        <v>448</v>
      </c>
      <c r="T73" s="21" t="s">
        <v>449</v>
      </c>
      <c r="U73" s="23" t="s">
        <v>450</v>
      </c>
      <c r="V73" s="24" t="s">
        <v>451</v>
      </c>
      <c r="W73" s="16"/>
      <c r="X73" s="16"/>
      <c r="Y73" s="16"/>
      <c r="Z73" s="16"/>
      <c r="AA73" s="16"/>
      <c r="AB73" s="16"/>
    </row>
    <row r="74" spans="1:28" ht="46.8">
      <c r="A74" s="25"/>
      <c r="B74" s="25"/>
      <c r="C74" s="15" t="s">
        <v>452</v>
      </c>
      <c r="D74" s="16"/>
      <c r="E74" s="17" t="str">
        <f t="shared" si="7"/>
        <v>NC</v>
      </c>
      <c r="F74" s="17">
        <v>0</v>
      </c>
      <c r="G74" s="17" t="str">
        <f t="shared" si="8"/>
        <v>C</v>
      </c>
      <c r="H74" s="17">
        <v>3</v>
      </c>
      <c r="I74" s="17" t="str">
        <f t="shared" si="9"/>
        <v>C</v>
      </c>
      <c r="J74" s="18">
        <v>3</v>
      </c>
      <c r="K74" s="17" t="str">
        <f t="shared" si="10"/>
        <v>PC</v>
      </c>
      <c r="L74" s="17">
        <v>1</v>
      </c>
      <c r="M74" s="19" t="s">
        <v>26</v>
      </c>
      <c r="N74" s="17">
        <f t="shared" si="5"/>
        <v>3</v>
      </c>
      <c r="O74" s="19" t="s">
        <v>26</v>
      </c>
      <c r="P74" s="17">
        <f t="shared" si="6"/>
        <v>3</v>
      </c>
      <c r="Q74" s="21" t="s">
        <v>453</v>
      </c>
      <c r="R74" s="21" t="s">
        <v>454</v>
      </c>
      <c r="S74" s="21" t="s">
        <v>455</v>
      </c>
      <c r="T74" s="34" t="s">
        <v>456</v>
      </c>
      <c r="U74" s="23" t="s">
        <v>457</v>
      </c>
      <c r="V74" s="24" t="s">
        <v>458</v>
      </c>
      <c r="W74" s="16"/>
      <c r="X74" s="16"/>
      <c r="Y74" s="16"/>
      <c r="Z74" s="16"/>
      <c r="AA74" s="16"/>
      <c r="AB74" s="16"/>
    </row>
    <row r="75" spans="1:28" ht="45">
      <c r="A75" s="25"/>
      <c r="B75" s="25"/>
      <c r="C75" s="15" t="s">
        <v>459</v>
      </c>
      <c r="D75" s="16"/>
      <c r="E75" s="17" t="str">
        <f t="shared" si="7"/>
        <v>NC</v>
      </c>
      <c r="F75" s="17">
        <v>0</v>
      </c>
      <c r="G75" s="17" t="str">
        <f t="shared" si="8"/>
        <v>C</v>
      </c>
      <c r="H75" s="17">
        <v>3</v>
      </c>
      <c r="I75" s="17" t="str">
        <f t="shared" si="9"/>
        <v>C</v>
      </c>
      <c r="J75" s="18">
        <v>3</v>
      </c>
      <c r="K75" s="17" t="str">
        <f t="shared" si="10"/>
        <v>PC</v>
      </c>
      <c r="L75" s="17">
        <v>1</v>
      </c>
      <c r="M75" s="19" t="s">
        <v>97</v>
      </c>
      <c r="N75" s="17">
        <f t="shared" si="5"/>
        <v>1</v>
      </c>
      <c r="O75" s="19" t="s">
        <v>26</v>
      </c>
      <c r="P75" s="17">
        <f t="shared" si="6"/>
        <v>3</v>
      </c>
      <c r="Q75" s="21" t="s">
        <v>460</v>
      </c>
      <c r="R75" s="21" t="s">
        <v>461</v>
      </c>
      <c r="S75" s="21" t="s">
        <v>462</v>
      </c>
      <c r="T75" s="21" t="s">
        <v>463</v>
      </c>
      <c r="U75" s="23" t="s">
        <v>464</v>
      </c>
      <c r="V75" s="24" t="s">
        <v>465</v>
      </c>
      <c r="W75" s="16"/>
      <c r="X75" s="16"/>
      <c r="Y75" s="16"/>
      <c r="Z75" s="16"/>
      <c r="AA75" s="16"/>
      <c r="AB75" s="16"/>
    </row>
    <row r="76" spans="1:28" ht="45">
      <c r="A76" s="25"/>
      <c r="B76" s="25"/>
      <c r="C76" s="15" t="s">
        <v>466</v>
      </c>
      <c r="D76" s="16"/>
      <c r="E76" s="17" t="str">
        <f t="shared" si="7"/>
        <v>NC</v>
      </c>
      <c r="F76" s="17">
        <v>0</v>
      </c>
      <c r="G76" s="17" t="str">
        <f t="shared" si="8"/>
        <v>PC</v>
      </c>
      <c r="H76" s="17">
        <v>1</v>
      </c>
      <c r="I76" s="17" t="str">
        <f t="shared" si="9"/>
        <v>C</v>
      </c>
      <c r="J76" s="18">
        <v>3</v>
      </c>
      <c r="K76" s="17" t="str">
        <f t="shared" si="10"/>
        <v>PC</v>
      </c>
      <c r="L76" s="17">
        <v>1</v>
      </c>
      <c r="M76" s="19" t="s">
        <v>26</v>
      </c>
      <c r="N76" s="17">
        <f t="shared" si="5"/>
        <v>3</v>
      </c>
      <c r="O76" s="19" t="s">
        <v>26</v>
      </c>
      <c r="P76" s="17">
        <f t="shared" si="6"/>
        <v>3</v>
      </c>
      <c r="Q76" s="21" t="s">
        <v>467</v>
      </c>
      <c r="R76" s="21" t="s">
        <v>468</v>
      </c>
      <c r="S76" s="21" t="s">
        <v>469</v>
      </c>
      <c r="T76" s="21" t="s">
        <v>470</v>
      </c>
      <c r="U76" s="23" t="s">
        <v>471</v>
      </c>
      <c r="V76" s="24" t="s">
        <v>472</v>
      </c>
      <c r="W76" s="16"/>
      <c r="X76" s="16"/>
      <c r="Y76" s="16"/>
      <c r="Z76" s="16"/>
      <c r="AA76" s="16"/>
      <c r="AB76" s="16"/>
    </row>
    <row r="77" spans="1:28" ht="60">
      <c r="A77" s="25"/>
      <c r="B77" s="25"/>
      <c r="C77" s="15" t="s">
        <v>473</v>
      </c>
      <c r="D77" s="16"/>
      <c r="E77" s="17" t="str">
        <f t="shared" si="7"/>
        <v>NC</v>
      </c>
      <c r="F77" s="17">
        <v>0</v>
      </c>
      <c r="G77" s="17" t="str">
        <f t="shared" si="8"/>
        <v>C</v>
      </c>
      <c r="H77" s="17">
        <v>3</v>
      </c>
      <c r="I77" s="17" t="str">
        <f t="shared" si="9"/>
        <v>PC</v>
      </c>
      <c r="J77" s="17">
        <v>1</v>
      </c>
      <c r="K77" s="17" t="str">
        <f t="shared" si="10"/>
        <v>PC</v>
      </c>
      <c r="L77" s="17">
        <v>1</v>
      </c>
      <c r="M77" s="19" t="s">
        <v>26</v>
      </c>
      <c r="N77" s="17">
        <f t="shared" si="5"/>
        <v>3</v>
      </c>
      <c r="O77" s="19" t="s">
        <v>26</v>
      </c>
      <c r="P77" s="17">
        <f t="shared" si="6"/>
        <v>3</v>
      </c>
      <c r="Q77" s="21" t="s">
        <v>474</v>
      </c>
      <c r="R77" s="21" t="s">
        <v>475</v>
      </c>
      <c r="S77" s="21" t="s">
        <v>476</v>
      </c>
      <c r="T77" s="21" t="s">
        <v>477</v>
      </c>
      <c r="U77" s="23" t="s">
        <v>478</v>
      </c>
      <c r="V77" s="24" t="s">
        <v>479</v>
      </c>
      <c r="W77" s="16"/>
      <c r="X77" s="16"/>
      <c r="Y77" s="16"/>
      <c r="Z77" s="16"/>
      <c r="AA77" s="16"/>
      <c r="AB77" s="16"/>
    </row>
    <row r="78" spans="1:28" ht="43.2">
      <c r="A78" s="25"/>
      <c r="B78" s="25"/>
      <c r="C78" s="15" t="s">
        <v>480</v>
      </c>
      <c r="D78" s="16"/>
      <c r="E78" s="17" t="str">
        <f t="shared" si="7"/>
        <v>NC</v>
      </c>
      <c r="F78" s="17">
        <v>0</v>
      </c>
      <c r="G78" s="17" t="str">
        <f t="shared" si="8"/>
        <v>C</v>
      </c>
      <c r="H78" s="17">
        <v>3</v>
      </c>
      <c r="I78" s="17" t="str">
        <f t="shared" si="9"/>
        <v>C</v>
      </c>
      <c r="J78" s="17">
        <v>3</v>
      </c>
      <c r="K78" s="17" t="str">
        <f t="shared" si="10"/>
        <v>PC</v>
      </c>
      <c r="L78" s="17">
        <v>1</v>
      </c>
      <c r="M78" s="19" t="s">
        <v>26</v>
      </c>
      <c r="N78" s="17">
        <f t="shared" si="5"/>
        <v>3</v>
      </c>
      <c r="O78" s="19" t="s">
        <v>26</v>
      </c>
      <c r="P78" s="17">
        <f t="shared" si="6"/>
        <v>3</v>
      </c>
      <c r="Q78" s="21" t="s">
        <v>481</v>
      </c>
      <c r="R78" s="21" t="s">
        <v>482</v>
      </c>
      <c r="S78" s="21" t="s">
        <v>483</v>
      </c>
      <c r="T78" s="21" t="s">
        <v>484</v>
      </c>
      <c r="U78" s="23" t="s">
        <v>485</v>
      </c>
      <c r="V78" s="24" t="s">
        <v>486</v>
      </c>
      <c r="W78" s="16"/>
      <c r="X78" s="16"/>
      <c r="Y78" s="16"/>
      <c r="Z78" s="16"/>
      <c r="AA78" s="16"/>
      <c r="AB78" s="16"/>
    </row>
    <row r="79" spans="1:28" ht="43.2">
      <c r="A79" s="25"/>
      <c r="B79" s="25"/>
      <c r="C79" s="15" t="s">
        <v>487</v>
      </c>
      <c r="D79" s="16"/>
      <c r="E79" s="17" t="str">
        <f t="shared" si="7"/>
        <v>NC</v>
      </c>
      <c r="F79" s="17">
        <v>0</v>
      </c>
      <c r="G79" s="17" t="str">
        <f t="shared" si="8"/>
        <v>C</v>
      </c>
      <c r="H79" s="17">
        <v>3</v>
      </c>
      <c r="I79" s="17" t="str">
        <f t="shared" si="9"/>
        <v>C</v>
      </c>
      <c r="J79" s="17">
        <v>3</v>
      </c>
      <c r="K79" s="17" t="str">
        <f t="shared" si="10"/>
        <v>C</v>
      </c>
      <c r="L79" s="17">
        <v>3</v>
      </c>
      <c r="M79" s="19" t="s">
        <v>26</v>
      </c>
      <c r="N79" s="17">
        <f t="shared" si="5"/>
        <v>3</v>
      </c>
      <c r="O79" s="19" t="s">
        <v>26</v>
      </c>
      <c r="P79" s="17">
        <f t="shared" si="6"/>
        <v>3</v>
      </c>
      <c r="Q79" s="21" t="s">
        <v>488</v>
      </c>
      <c r="R79" s="21" t="s">
        <v>489</v>
      </c>
      <c r="S79" s="21" t="s">
        <v>490</v>
      </c>
      <c r="T79" s="21" t="s">
        <v>491</v>
      </c>
      <c r="U79" s="23" t="s">
        <v>492</v>
      </c>
      <c r="V79" s="24" t="s">
        <v>493</v>
      </c>
      <c r="W79" s="16"/>
      <c r="X79" s="16"/>
      <c r="Y79" s="16"/>
      <c r="Z79" s="16"/>
      <c r="AA79" s="16"/>
      <c r="AB79" s="16"/>
    </row>
    <row r="80" spans="1:28" ht="43.2">
      <c r="A80" s="25"/>
      <c r="B80" s="25"/>
      <c r="C80" s="15" t="s">
        <v>494</v>
      </c>
      <c r="D80" s="16"/>
      <c r="E80" s="17" t="str">
        <f t="shared" si="7"/>
        <v>NC</v>
      </c>
      <c r="F80" s="17">
        <v>0</v>
      </c>
      <c r="G80" s="17" t="str">
        <f t="shared" si="8"/>
        <v>C</v>
      </c>
      <c r="H80" s="17">
        <v>3</v>
      </c>
      <c r="I80" s="17" t="str">
        <f t="shared" si="9"/>
        <v>C</v>
      </c>
      <c r="J80" s="17">
        <v>3</v>
      </c>
      <c r="K80" s="17" t="str">
        <f t="shared" si="10"/>
        <v>C</v>
      </c>
      <c r="L80" s="17">
        <v>3</v>
      </c>
      <c r="M80" s="19" t="s">
        <v>26</v>
      </c>
      <c r="N80" s="17">
        <f t="shared" si="5"/>
        <v>3</v>
      </c>
      <c r="O80" s="19" t="s">
        <v>26</v>
      </c>
      <c r="P80" s="17">
        <f t="shared" si="6"/>
        <v>3</v>
      </c>
      <c r="Q80" s="21" t="s">
        <v>495</v>
      </c>
      <c r="R80" s="21" t="s">
        <v>496</v>
      </c>
      <c r="S80" s="21" t="s">
        <v>497</v>
      </c>
      <c r="T80" s="21" t="s">
        <v>498</v>
      </c>
      <c r="U80" s="23" t="s">
        <v>499</v>
      </c>
      <c r="V80" s="24" t="s">
        <v>500</v>
      </c>
      <c r="W80" s="16"/>
      <c r="X80" s="16"/>
      <c r="Y80" s="16"/>
      <c r="Z80" s="16"/>
      <c r="AA80" s="16"/>
      <c r="AB80" s="16"/>
    </row>
    <row r="81" spans="1:28" ht="43.2">
      <c r="A81" s="25"/>
      <c r="B81" s="25"/>
      <c r="C81" s="15" t="s">
        <v>501</v>
      </c>
      <c r="D81" s="16"/>
      <c r="E81" s="17" t="str">
        <f t="shared" si="7"/>
        <v>NC</v>
      </c>
      <c r="F81" s="17">
        <v>0</v>
      </c>
      <c r="G81" s="17" t="str">
        <f t="shared" si="8"/>
        <v>C</v>
      </c>
      <c r="H81" s="17">
        <v>3</v>
      </c>
      <c r="I81" s="17" t="str">
        <f t="shared" si="9"/>
        <v>C</v>
      </c>
      <c r="J81" s="17">
        <v>3</v>
      </c>
      <c r="K81" s="17" t="str">
        <f t="shared" si="10"/>
        <v>PC</v>
      </c>
      <c r="L81" s="17">
        <v>1</v>
      </c>
      <c r="M81" s="19" t="s">
        <v>26</v>
      </c>
      <c r="N81" s="17">
        <f t="shared" si="5"/>
        <v>3</v>
      </c>
      <c r="O81" s="19" t="s">
        <v>26</v>
      </c>
      <c r="P81" s="17">
        <f t="shared" si="6"/>
        <v>3</v>
      </c>
      <c r="Q81" s="21" t="s">
        <v>502</v>
      </c>
      <c r="R81" s="21" t="s">
        <v>503</v>
      </c>
      <c r="S81" s="21" t="s">
        <v>504</v>
      </c>
      <c r="T81" s="21" t="s">
        <v>505</v>
      </c>
      <c r="U81" s="23" t="s">
        <v>506</v>
      </c>
      <c r="V81" s="24" t="s">
        <v>507</v>
      </c>
      <c r="W81" s="16"/>
      <c r="X81" s="16"/>
      <c r="Y81" s="16"/>
      <c r="Z81" s="16"/>
      <c r="AA81" s="16"/>
      <c r="AB81" s="16"/>
    </row>
    <row r="82" spans="1:28" ht="60">
      <c r="A82" s="25"/>
      <c r="B82" s="25"/>
      <c r="C82" s="15" t="s">
        <v>508</v>
      </c>
      <c r="D82" s="16"/>
      <c r="E82" s="17" t="str">
        <f t="shared" si="7"/>
        <v>NC</v>
      </c>
      <c r="F82" s="17">
        <v>0</v>
      </c>
      <c r="G82" s="17" t="str">
        <f t="shared" si="8"/>
        <v>PC</v>
      </c>
      <c r="H82" s="17">
        <v>1</v>
      </c>
      <c r="I82" s="17" t="str">
        <f t="shared" si="9"/>
        <v>C</v>
      </c>
      <c r="J82" s="17">
        <v>3</v>
      </c>
      <c r="K82" s="17" t="str">
        <f t="shared" si="10"/>
        <v>PC</v>
      </c>
      <c r="L82" s="17">
        <v>1</v>
      </c>
      <c r="M82" s="19" t="s">
        <v>26</v>
      </c>
      <c r="N82" s="17">
        <f t="shared" si="5"/>
        <v>3</v>
      </c>
      <c r="O82" s="19" t="s">
        <v>26</v>
      </c>
      <c r="P82" s="17">
        <f t="shared" si="6"/>
        <v>3</v>
      </c>
      <c r="Q82" s="21" t="s">
        <v>509</v>
      </c>
      <c r="R82" s="21" t="s">
        <v>510</v>
      </c>
      <c r="S82" s="21" t="s">
        <v>511</v>
      </c>
      <c r="T82" s="21" t="s">
        <v>512</v>
      </c>
      <c r="U82" s="23" t="s">
        <v>513</v>
      </c>
      <c r="V82" s="24" t="s">
        <v>514</v>
      </c>
      <c r="W82" s="16"/>
      <c r="X82" s="16"/>
      <c r="Y82" s="16"/>
      <c r="Z82" s="16"/>
      <c r="AA82" s="16"/>
      <c r="AB82" s="16"/>
    </row>
    <row r="83" spans="1:28" ht="43.2">
      <c r="A83" s="25"/>
      <c r="B83" s="25"/>
      <c r="C83" s="15" t="s">
        <v>515</v>
      </c>
      <c r="D83" s="16"/>
      <c r="E83" s="17" t="str">
        <f t="shared" si="7"/>
        <v>NC</v>
      </c>
      <c r="F83" s="17">
        <v>0</v>
      </c>
      <c r="G83" s="17" t="str">
        <f t="shared" si="8"/>
        <v>PC</v>
      </c>
      <c r="H83" s="17">
        <v>1</v>
      </c>
      <c r="I83" s="17" t="str">
        <f t="shared" si="9"/>
        <v>C</v>
      </c>
      <c r="J83" s="17">
        <v>3</v>
      </c>
      <c r="K83" s="17" t="str">
        <f t="shared" si="10"/>
        <v>PC</v>
      </c>
      <c r="L83" s="17">
        <v>1</v>
      </c>
      <c r="M83" s="19" t="s">
        <v>26</v>
      </c>
      <c r="N83" s="17">
        <f t="shared" si="5"/>
        <v>3</v>
      </c>
      <c r="O83" s="19" t="s">
        <v>26</v>
      </c>
      <c r="P83" s="17">
        <f t="shared" si="6"/>
        <v>3</v>
      </c>
      <c r="Q83" s="21" t="s">
        <v>516</v>
      </c>
      <c r="R83" s="21" t="s">
        <v>517</v>
      </c>
      <c r="S83" s="21" t="s">
        <v>518</v>
      </c>
      <c r="T83" s="21" t="s">
        <v>519</v>
      </c>
      <c r="U83" s="23" t="s">
        <v>520</v>
      </c>
      <c r="V83" s="24" t="s">
        <v>521</v>
      </c>
      <c r="W83" s="16"/>
      <c r="X83" s="16"/>
      <c r="Y83" s="16"/>
      <c r="Z83" s="16"/>
      <c r="AA83" s="16"/>
      <c r="AB83" s="16"/>
    </row>
    <row r="84" spans="1:28" ht="43.2">
      <c r="A84" s="25"/>
      <c r="B84" s="25"/>
      <c r="C84" s="15" t="s">
        <v>522</v>
      </c>
      <c r="D84" s="16"/>
      <c r="E84" s="17" t="str">
        <f t="shared" si="7"/>
        <v>NC</v>
      </c>
      <c r="F84" s="17">
        <v>0</v>
      </c>
      <c r="G84" s="17" t="str">
        <f t="shared" si="8"/>
        <v>PC</v>
      </c>
      <c r="H84" s="17">
        <v>1</v>
      </c>
      <c r="I84" s="17" t="str">
        <f t="shared" si="9"/>
        <v>C</v>
      </c>
      <c r="J84" s="17">
        <v>3</v>
      </c>
      <c r="K84" s="17" t="str">
        <f t="shared" si="10"/>
        <v>PC</v>
      </c>
      <c r="L84" s="17">
        <v>1</v>
      </c>
      <c r="M84" s="19" t="s">
        <v>26</v>
      </c>
      <c r="N84" s="17">
        <f t="shared" si="5"/>
        <v>3</v>
      </c>
      <c r="O84" s="19" t="s">
        <v>26</v>
      </c>
      <c r="P84" s="17">
        <f t="shared" si="6"/>
        <v>3</v>
      </c>
      <c r="Q84" s="21" t="s">
        <v>523</v>
      </c>
      <c r="R84" s="21" t="s">
        <v>524</v>
      </c>
      <c r="S84" s="21" t="s">
        <v>511</v>
      </c>
      <c r="T84" s="21" t="s">
        <v>525</v>
      </c>
      <c r="U84" s="23" t="s">
        <v>526</v>
      </c>
      <c r="V84" s="24" t="s">
        <v>527</v>
      </c>
      <c r="W84" s="16"/>
      <c r="X84" s="16"/>
      <c r="Y84" s="16"/>
      <c r="Z84" s="16"/>
      <c r="AA84" s="16"/>
      <c r="AB84" s="16"/>
    </row>
    <row r="85" spans="1:28" ht="45">
      <c r="A85" s="25"/>
      <c r="B85" s="25"/>
      <c r="C85" s="15" t="s">
        <v>528</v>
      </c>
      <c r="D85" s="16"/>
      <c r="E85" s="17" t="str">
        <f t="shared" si="7"/>
        <v>NC</v>
      </c>
      <c r="F85" s="17">
        <v>0</v>
      </c>
      <c r="G85" s="17" t="str">
        <f t="shared" si="8"/>
        <v>NC</v>
      </c>
      <c r="H85" s="17">
        <v>0</v>
      </c>
      <c r="I85" s="17" t="str">
        <f t="shared" si="9"/>
        <v>C</v>
      </c>
      <c r="J85" s="17">
        <v>3</v>
      </c>
      <c r="K85" s="17" t="str">
        <f t="shared" si="10"/>
        <v>PC</v>
      </c>
      <c r="L85" s="17">
        <v>1</v>
      </c>
      <c r="M85" s="19" t="s">
        <v>26</v>
      </c>
      <c r="N85" s="17">
        <f t="shared" si="5"/>
        <v>3</v>
      </c>
      <c r="O85" s="19" t="s">
        <v>26</v>
      </c>
      <c r="P85" s="17">
        <f t="shared" si="6"/>
        <v>3</v>
      </c>
      <c r="Q85" s="21" t="s">
        <v>529</v>
      </c>
      <c r="R85" s="21" t="s">
        <v>530</v>
      </c>
      <c r="S85" s="21" t="s">
        <v>531</v>
      </c>
      <c r="T85" s="21" t="s">
        <v>532</v>
      </c>
      <c r="U85" s="23" t="s">
        <v>533</v>
      </c>
      <c r="V85" s="24" t="s">
        <v>534</v>
      </c>
      <c r="W85" s="16"/>
      <c r="X85" s="16"/>
      <c r="Y85" s="16"/>
      <c r="Z85" s="16"/>
      <c r="AA85" s="16"/>
      <c r="AB85" s="16"/>
    </row>
    <row r="86" spans="1:28" ht="30">
      <c r="A86" s="25"/>
      <c r="B86" s="25"/>
      <c r="C86" s="15" t="s">
        <v>535</v>
      </c>
      <c r="D86" s="16"/>
      <c r="E86" s="17" t="str">
        <f t="shared" si="7"/>
        <v>C</v>
      </c>
      <c r="F86" s="17">
        <v>3</v>
      </c>
      <c r="G86" s="17" t="str">
        <f t="shared" si="8"/>
        <v>PC</v>
      </c>
      <c r="H86" s="17">
        <v>1</v>
      </c>
      <c r="I86" s="17" t="str">
        <f t="shared" si="9"/>
        <v>C</v>
      </c>
      <c r="J86" s="17">
        <v>3</v>
      </c>
      <c r="K86" s="17" t="str">
        <f t="shared" si="10"/>
        <v>PC</v>
      </c>
      <c r="L86" s="17">
        <v>1</v>
      </c>
      <c r="M86" s="19" t="s">
        <v>26</v>
      </c>
      <c r="N86" s="17">
        <f t="shared" si="5"/>
        <v>3</v>
      </c>
      <c r="O86" s="19" t="s">
        <v>26</v>
      </c>
      <c r="P86" s="17">
        <f t="shared" si="6"/>
        <v>3</v>
      </c>
      <c r="Q86" s="21" t="s">
        <v>536</v>
      </c>
      <c r="R86" s="21" t="s">
        <v>537</v>
      </c>
      <c r="S86" s="21" t="s">
        <v>340</v>
      </c>
      <c r="T86" s="21" t="s">
        <v>538</v>
      </c>
      <c r="U86" s="23" t="s">
        <v>539</v>
      </c>
      <c r="V86" s="24" t="s">
        <v>540</v>
      </c>
      <c r="W86" s="16"/>
      <c r="X86" s="16"/>
      <c r="Y86" s="16"/>
      <c r="Z86" s="16"/>
      <c r="AA86" s="16"/>
      <c r="AB86" s="16"/>
    </row>
    <row r="87" spans="1:28" ht="28.8">
      <c r="A87" s="25"/>
      <c r="B87" s="25"/>
      <c r="C87" s="15" t="s">
        <v>541</v>
      </c>
      <c r="D87" s="16"/>
      <c r="E87" s="17" t="str">
        <f t="shared" si="7"/>
        <v>NC</v>
      </c>
      <c r="F87" s="17">
        <v>0</v>
      </c>
      <c r="G87" s="17" t="str">
        <f t="shared" si="8"/>
        <v>C</v>
      </c>
      <c r="H87" s="17">
        <v>3</v>
      </c>
      <c r="I87" s="17" t="str">
        <f t="shared" si="9"/>
        <v>C</v>
      </c>
      <c r="J87" s="17">
        <v>3</v>
      </c>
      <c r="K87" s="17" t="str">
        <f t="shared" si="10"/>
        <v>C</v>
      </c>
      <c r="L87" s="17">
        <v>3</v>
      </c>
      <c r="M87" s="19" t="s">
        <v>26</v>
      </c>
      <c r="N87" s="17">
        <f t="shared" si="5"/>
        <v>3</v>
      </c>
      <c r="O87" s="19" t="s">
        <v>26</v>
      </c>
      <c r="P87" s="17">
        <f t="shared" si="6"/>
        <v>3</v>
      </c>
      <c r="Q87" s="21" t="s">
        <v>542</v>
      </c>
      <c r="R87" s="21" t="s">
        <v>543</v>
      </c>
      <c r="S87" s="21" t="s">
        <v>544</v>
      </c>
      <c r="T87" s="21" t="s">
        <v>545</v>
      </c>
      <c r="U87" s="23" t="s">
        <v>546</v>
      </c>
      <c r="V87" s="24" t="s">
        <v>547</v>
      </c>
      <c r="W87" s="16"/>
      <c r="X87" s="16"/>
      <c r="Y87" s="16"/>
      <c r="Z87" s="16"/>
      <c r="AA87" s="16"/>
      <c r="AB87" s="16"/>
    </row>
    <row r="88" spans="1:28" ht="45">
      <c r="A88" s="25"/>
      <c r="B88" s="25"/>
      <c r="C88" s="15" t="s">
        <v>548</v>
      </c>
      <c r="D88" s="16"/>
      <c r="E88" s="17" t="str">
        <f t="shared" si="7"/>
        <v>NC</v>
      </c>
      <c r="F88" s="17">
        <v>0</v>
      </c>
      <c r="G88" s="17" t="str">
        <f t="shared" si="8"/>
        <v>PC</v>
      </c>
      <c r="H88" s="17">
        <v>1</v>
      </c>
      <c r="I88" s="17" t="str">
        <f t="shared" si="9"/>
        <v>C</v>
      </c>
      <c r="J88" s="17">
        <v>3</v>
      </c>
      <c r="K88" s="17" t="str">
        <f t="shared" si="10"/>
        <v>PC</v>
      </c>
      <c r="L88" s="17">
        <v>1</v>
      </c>
      <c r="M88" s="19" t="s">
        <v>26</v>
      </c>
      <c r="N88" s="17">
        <f t="shared" si="5"/>
        <v>3</v>
      </c>
      <c r="O88" s="19" t="s">
        <v>97</v>
      </c>
      <c r="P88" s="17">
        <f t="shared" si="6"/>
        <v>1</v>
      </c>
      <c r="Q88" s="21" t="s">
        <v>549</v>
      </c>
      <c r="R88" s="21" t="s">
        <v>550</v>
      </c>
      <c r="S88" s="21" t="s">
        <v>551</v>
      </c>
      <c r="T88" s="21" t="s">
        <v>552</v>
      </c>
      <c r="U88" s="23" t="s">
        <v>553</v>
      </c>
      <c r="V88" s="24" t="s">
        <v>554</v>
      </c>
      <c r="W88" s="16"/>
      <c r="X88" s="16"/>
      <c r="Y88" s="16"/>
      <c r="Z88" s="16"/>
      <c r="AA88" s="16"/>
      <c r="AB88" s="16"/>
    </row>
    <row r="89" spans="1:28" ht="43.2">
      <c r="A89" s="25"/>
      <c r="B89" s="25"/>
      <c r="C89" s="15" t="s">
        <v>555</v>
      </c>
      <c r="D89" s="16"/>
      <c r="E89" s="17" t="str">
        <f t="shared" si="7"/>
        <v>NC</v>
      </c>
      <c r="F89" s="17">
        <v>0</v>
      </c>
      <c r="G89" s="17" t="str">
        <f t="shared" si="8"/>
        <v>PC</v>
      </c>
      <c r="H89" s="17">
        <v>1</v>
      </c>
      <c r="I89" s="17" t="str">
        <f t="shared" si="9"/>
        <v>C</v>
      </c>
      <c r="J89" s="17">
        <v>3</v>
      </c>
      <c r="K89" s="17" t="str">
        <f t="shared" si="10"/>
        <v>C</v>
      </c>
      <c r="L89" s="17">
        <v>3</v>
      </c>
      <c r="M89" s="19" t="s">
        <v>97</v>
      </c>
      <c r="N89" s="17">
        <f t="shared" si="5"/>
        <v>1</v>
      </c>
      <c r="O89" s="19" t="s">
        <v>97</v>
      </c>
      <c r="P89" s="17">
        <f t="shared" si="6"/>
        <v>1</v>
      </c>
      <c r="Q89" s="21" t="s">
        <v>556</v>
      </c>
      <c r="R89" s="21" t="s">
        <v>557</v>
      </c>
      <c r="S89" s="21" t="s">
        <v>558</v>
      </c>
      <c r="T89" s="21" t="s">
        <v>559</v>
      </c>
      <c r="U89" s="23" t="s">
        <v>560</v>
      </c>
      <c r="V89" s="24" t="s">
        <v>561</v>
      </c>
      <c r="W89" s="16"/>
      <c r="X89" s="16"/>
      <c r="Y89" s="16"/>
      <c r="Z89" s="16"/>
      <c r="AA89" s="16"/>
      <c r="AB89" s="16"/>
    </row>
    <row r="90" spans="1:28" ht="43.2">
      <c r="A90" s="25"/>
      <c r="B90" s="25"/>
      <c r="C90" s="15" t="s">
        <v>562</v>
      </c>
      <c r="D90" s="16"/>
      <c r="E90" s="17" t="str">
        <f t="shared" si="7"/>
        <v>NC</v>
      </c>
      <c r="F90" s="17">
        <v>0</v>
      </c>
      <c r="G90" s="17" t="str">
        <f t="shared" si="8"/>
        <v>C</v>
      </c>
      <c r="H90" s="17">
        <v>3</v>
      </c>
      <c r="I90" s="17" t="str">
        <f t="shared" si="9"/>
        <v>C</v>
      </c>
      <c r="J90" s="17">
        <v>3</v>
      </c>
      <c r="K90" s="17" t="str">
        <f t="shared" si="10"/>
        <v>C</v>
      </c>
      <c r="L90" s="17">
        <v>3</v>
      </c>
      <c r="M90" s="19" t="s">
        <v>26</v>
      </c>
      <c r="N90" s="17">
        <f t="shared" si="5"/>
        <v>3</v>
      </c>
      <c r="O90" s="19" t="s">
        <v>26</v>
      </c>
      <c r="P90" s="17">
        <f t="shared" si="6"/>
        <v>3</v>
      </c>
      <c r="Q90" s="21" t="s">
        <v>563</v>
      </c>
      <c r="R90" s="21" t="s">
        <v>564</v>
      </c>
      <c r="S90" s="21" t="s">
        <v>565</v>
      </c>
      <c r="T90" s="21" t="s">
        <v>566</v>
      </c>
      <c r="U90" s="23" t="s">
        <v>567</v>
      </c>
      <c r="V90" s="24" t="s">
        <v>568</v>
      </c>
      <c r="W90" s="16"/>
      <c r="X90" s="16"/>
      <c r="Y90" s="16"/>
      <c r="Z90" s="16"/>
      <c r="AA90" s="16"/>
      <c r="AB90" s="16"/>
    </row>
    <row r="91" spans="1:28" ht="57.6">
      <c r="A91" s="13">
        <v>6</v>
      </c>
      <c r="B91" s="14" t="s">
        <v>569</v>
      </c>
      <c r="C91" s="15" t="s">
        <v>570</v>
      </c>
      <c r="D91" s="16">
        <v>0.06</v>
      </c>
      <c r="E91" s="17" t="str">
        <f t="shared" si="7"/>
        <v>C</v>
      </c>
      <c r="F91" s="17">
        <v>3</v>
      </c>
      <c r="G91" s="17" t="str">
        <f t="shared" si="8"/>
        <v>C</v>
      </c>
      <c r="H91" s="17">
        <v>3</v>
      </c>
      <c r="I91" s="17" t="str">
        <f t="shared" si="9"/>
        <v>C</v>
      </c>
      <c r="J91" s="18">
        <v>3</v>
      </c>
      <c r="K91" s="17" t="str">
        <f t="shared" si="10"/>
        <v>C</v>
      </c>
      <c r="L91" s="17">
        <v>3</v>
      </c>
      <c r="M91" s="19" t="s">
        <v>26</v>
      </c>
      <c r="N91" s="17">
        <f t="shared" si="5"/>
        <v>3</v>
      </c>
      <c r="O91" s="19" t="s">
        <v>26</v>
      </c>
      <c r="P91" s="17">
        <f t="shared" si="6"/>
        <v>3</v>
      </c>
      <c r="Q91" s="21" t="s">
        <v>571</v>
      </c>
      <c r="R91" s="21" t="s">
        <v>572</v>
      </c>
      <c r="S91" s="21" t="s">
        <v>573</v>
      </c>
      <c r="T91" s="21" t="s">
        <v>574</v>
      </c>
      <c r="U91" s="23" t="s">
        <v>575</v>
      </c>
      <c r="V91" s="24" t="s">
        <v>576</v>
      </c>
      <c r="W91" s="16">
        <f>AVERAGE(F91:F105)*$D91/3</f>
        <v>2.2666666666666665E-2</v>
      </c>
      <c r="X91" s="16">
        <f>AVERAGE(H91:H105)*$D91/3</f>
        <v>4.7999999999999994E-2</v>
      </c>
      <c r="Y91" s="16">
        <f>AVERAGE(J91:J105)*$D91/3</f>
        <v>0.06</v>
      </c>
      <c r="Z91" s="16">
        <f>AVERAGE(L91:L105)*$D91/3</f>
        <v>3.0666666666666665E-2</v>
      </c>
      <c r="AA91" s="16">
        <f>AVERAGE(N91:N105)*$D91/3</f>
        <v>0.06</v>
      </c>
      <c r="AB91" s="16">
        <f>AVERAGE(P91:P105)*$D91/3</f>
        <v>0.06</v>
      </c>
    </row>
    <row r="92" spans="1:28" ht="28.8">
      <c r="A92" s="25"/>
      <c r="B92" s="25"/>
      <c r="C92" s="15" t="s">
        <v>577</v>
      </c>
      <c r="D92" s="16"/>
      <c r="E92" s="17" t="str">
        <f t="shared" si="7"/>
        <v>PC</v>
      </c>
      <c r="F92" s="17">
        <v>1</v>
      </c>
      <c r="G92" s="17" t="str">
        <f t="shared" si="8"/>
        <v>PC</v>
      </c>
      <c r="H92" s="17">
        <v>1</v>
      </c>
      <c r="I92" s="17" t="str">
        <f t="shared" si="9"/>
        <v>C</v>
      </c>
      <c r="J92" s="18">
        <v>3</v>
      </c>
      <c r="K92" s="17" t="str">
        <f t="shared" si="10"/>
        <v>PC</v>
      </c>
      <c r="L92" s="17">
        <v>1</v>
      </c>
      <c r="M92" s="19" t="s">
        <v>26</v>
      </c>
      <c r="N92" s="17">
        <f t="shared" si="5"/>
        <v>3</v>
      </c>
      <c r="O92" s="19" t="s">
        <v>26</v>
      </c>
      <c r="P92" s="17">
        <f t="shared" si="6"/>
        <v>3</v>
      </c>
      <c r="Q92" s="21" t="s">
        <v>578</v>
      </c>
      <c r="R92" s="21" t="s">
        <v>579</v>
      </c>
      <c r="S92" s="21" t="s">
        <v>580</v>
      </c>
      <c r="T92" s="21" t="s">
        <v>581</v>
      </c>
      <c r="U92" s="23" t="s">
        <v>582</v>
      </c>
      <c r="V92" s="24" t="s">
        <v>583</v>
      </c>
      <c r="W92" s="16"/>
      <c r="X92" s="16"/>
      <c r="Y92" s="16"/>
      <c r="Z92" s="16"/>
      <c r="AA92" s="16"/>
      <c r="AB92" s="16"/>
    </row>
    <row r="93" spans="1:28" ht="31.2">
      <c r="A93" s="25"/>
      <c r="B93" s="25"/>
      <c r="C93" s="15" t="s">
        <v>584</v>
      </c>
      <c r="D93" s="16"/>
      <c r="E93" s="17" t="str">
        <f t="shared" si="7"/>
        <v>PC</v>
      </c>
      <c r="F93" s="17">
        <v>1</v>
      </c>
      <c r="G93" s="17" t="str">
        <f t="shared" si="8"/>
        <v>PC</v>
      </c>
      <c r="H93" s="17">
        <v>1</v>
      </c>
      <c r="I93" s="17" t="str">
        <f t="shared" si="9"/>
        <v>C</v>
      </c>
      <c r="J93" s="18">
        <v>3</v>
      </c>
      <c r="K93" s="17" t="str">
        <f t="shared" si="10"/>
        <v>PC</v>
      </c>
      <c r="L93" s="17">
        <v>1</v>
      </c>
      <c r="M93" s="19" t="s">
        <v>26</v>
      </c>
      <c r="N93" s="17">
        <f t="shared" si="5"/>
        <v>3</v>
      </c>
      <c r="O93" s="19" t="s">
        <v>26</v>
      </c>
      <c r="P93" s="17">
        <f t="shared" si="6"/>
        <v>3</v>
      </c>
      <c r="Q93" s="21" t="s">
        <v>585</v>
      </c>
      <c r="R93" s="21" t="s">
        <v>586</v>
      </c>
      <c r="S93" s="21" t="s">
        <v>580</v>
      </c>
      <c r="T93" s="21" t="s">
        <v>587</v>
      </c>
      <c r="U93" s="23" t="s">
        <v>588</v>
      </c>
      <c r="V93" s="24" t="s">
        <v>589</v>
      </c>
      <c r="W93" s="16"/>
      <c r="X93" s="16"/>
      <c r="Y93" s="16"/>
      <c r="Z93" s="16"/>
      <c r="AA93" s="16"/>
      <c r="AB93" s="16"/>
    </row>
    <row r="94" spans="1:28" ht="31.2">
      <c r="A94" s="25"/>
      <c r="B94" s="25"/>
      <c r="C94" s="15" t="s">
        <v>590</v>
      </c>
      <c r="D94" s="16"/>
      <c r="E94" s="17" t="str">
        <f t="shared" si="7"/>
        <v>C</v>
      </c>
      <c r="F94" s="17">
        <v>3</v>
      </c>
      <c r="G94" s="17" t="str">
        <f t="shared" si="8"/>
        <v>C</v>
      </c>
      <c r="H94" s="17">
        <v>3</v>
      </c>
      <c r="I94" s="17" t="str">
        <f t="shared" si="9"/>
        <v>C</v>
      </c>
      <c r="J94" s="18">
        <v>3</v>
      </c>
      <c r="K94" s="17" t="str">
        <f t="shared" si="10"/>
        <v>PC</v>
      </c>
      <c r="L94" s="17">
        <v>1</v>
      </c>
      <c r="M94" s="19" t="s">
        <v>26</v>
      </c>
      <c r="N94" s="17">
        <f t="shared" si="5"/>
        <v>3</v>
      </c>
      <c r="O94" s="19" t="s">
        <v>26</v>
      </c>
      <c r="P94" s="17">
        <f t="shared" si="6"/>
        <v>3</v>
      </c>
      <c r="Q94" s="21" t="s">
        <v>591</v>
      </c>
      <c r="R94" s="21" t="s">
        <v>592</v>
      </c>
      <c r="S94" s="21" t="s">
        <v>593</v>
      </c>
      <c r="T94" s="21" t="s">
        <v>594</v>
      </c>
      <c r="U94" s="23" t="s">
        <v>595</v>
      </c>
      <c r="V94" s="24" t="s">
        <v>596</v>
      </c>
      <c r="W94" s="16"/>
      <c r="X94" s="16"/>
      <c r="Y94" s="16"/>
      <c r="Z94" s="16"/>
      <c r="AA94" s="16"/>
      <c r="AB94" s="16"/>
    </row>
    <row r="95" spans="1:28" ht="31.2">
      <c r="A95" s="25"/>
      <c r="B95" s="25"/>
      <c r="C95" s="15" t="s">
        <v>597</v>
      </c>
      <c r="D95" s="16"/>
      <c r="E95" s="17" t="str">
        <f t="shared" si="7"/>
        <v>C</v>
      </c>
      <c r="F95" s="17">
        <v>3</v>
      </c>
      <c r="G95" s="17" t="str">
        <f t="shared" si="8"/>
        <v>NC</v>
      </c>
      <c r="H95" s="17">
        <v>0</v>
      </c>
      <c r="I95" s="17" t="str">
        <f t="shared" si="9"/>
        <v>C</v>
      </c>
      <c r="J95" s="18">
        <v>3</v>
      </c>
      <c r="K95" s="17" t="str">
        <f t="shared" si="10"/>
        <v>C</v>
      </c>
      <c r="L95" s="17">
        <v>3</v>
      </c>
      <c r="M95" s="19" t="s">
        <v>26</v>
      </c>
      <c r="N95" s="17">
        <f t="shared" si="5"/>
        <v>3</v>
      </c>
      <c r="O95" s="19" t="s">
        <v>26</v>
      </c>
      <c r="P95" s="17">
        <f t="shared" si="6"/>
        <v>3</v>
      </c>
      <c r="Q95" s="21" t="s">
        <v>598</v>
      </c>
      <c r="R95" s="21" t="s">
        <v>599</v>
      </c>
      <c r="S95" s="21" t="s">
        <v>593</v>
      </c>
      <c r="T95" s="21" t="s">
        <v>600</v>
      </c>
      <c r="U95" s="23" t="s">
        <v>601</v>
      </c>
      <c r="V95" s="24" t="s">
        <v>602</v>
      </c>
      <c r="W95" s="16"/>
      <c r="X95" s="16"/>
      <c r="Y95" s="16"/>
      <c r="Z95" s="16"/>
      <c r="AA95" s="16"/>
      <c r="AB95" s="16"/>
    </row>
    <row r="96" spans="1:28" ht="30">
      <c r="A96" s="25"/>
      <c r="B96" s="25"/>
      <c r="C96" s="15" t="s">
        <v>603</v>
      </c>
      <c r="D96" s="16"/>
      <c r="E96" s="17" t="str">
        <f t="shared" si="7"/>
        <v>C</v>
      </c>
      <c r="F96" s="17">
        <v>3</v>
      </c>
      <c r="G96" s="17" t="str">
        <f t="shared" si="8"/>
        <v>C</v>
      </c>
      <c r="H96" s="17">
        <v>3</v>
      </c>
      <c r="I96" s="17" t="str">
        <f t="shared" si="9"/>
        <v>C</v>
      </c>
      <c r="J96" s="18">
        <v>3</v>
      </c>
      <c r="K96" s="17" t="str">
        <f t="shared" si="10"/>
        <v>PC</v>
      </c>
      <c r="L96" s="17">
        <v>1</v>
      </c>
      <c r="M96" s="19" t="s">
        <v>26</v>
      </c>
      <c r="N96" s="17">
        <f t="shared" si="5"/>
        <v>3</v>
      </c>
      <c r="O96" s="19" t="s">
        <v>26</v>
      </c>
      <c r="P96" s="17">
        <f t="shared" si="6"/>
        <v>3</v>
      </c>
      <c r="Q96" s="21" t="s">
        <v>604</v>
      </c>
      <c r="R96" s="21" t="s">
        <v>605</v>
      </c>
      <c r="S96" s="21" t="s">
        <v>606</v>
      </c>
      <c r="T96" s="21" t="s">
        <v>607</v>
      </c>
      <c r="U96" s="23" t="s">
        <v>608</v>
      </c>
      <c r="V96" s="24" t="s">
        <v>609</v>
      </c>
      <c r="W96" s="16"/>
      <c r="X96" s="16"/>
      <c r="Y96" s="16"/>
      <c r="Z96" s="16"/>
      <c r="AA96" s="16"/>
      <c r="AB96" s="16"/>
    </row>
    <row r="97" spans="1:28" ht="43.2">
      <c r="A97" s="25"/>
      <c r="B97" s="25"/>
      <c r="C97" s="15" t="s">
        <v>610</v>
      </c>
      <c r="D97" s="16"/>
      <c r="E97" s="17" t="str">
        <f t="shared" si="7"/>
        <v>C</v>
      </c>
      <c r="F97" s="17">
        <v>3</v>
      </c>
      <c r="G97" s="17" t="str">
        <f t="shared" si="8"/>
        <v>C</v>
      </c>
      <c r="H97" s="17">
        <v>3</v>
      </c>
      <c r="I97" s="17" t="str">
        <f t="shared" si="9"/>
        <v>C</v>
      </c>
      <c r="J97" s="18">
        <v>3</v>
      </c>
      <c r="K97" s="17" t="str">
        <f t="shared" si="10"/>
        <v>PC</v>
      </c>
      <c r="L97" s="17">
        <v>1</v>
      </c>
      <c r="M97" s="19" t="s">
        <v>26</v>
      </c>
      <c r="N97" s="17">
        <f t="shared" si="5"/>
        <v>3</v>
      </c>
      <c r="O97" s="19" t="s">
        <v>26</v>
      </c>
      <c r="P97" s="17">
        <f t="shared" si="6"/>
        <v>3</v>
      </c>
      <c r="Q97" s="21" t="s">
        <v>611</v>
      </c>
      <c r="R97" s="21" t="s">
        <v>427</v>
      </c>
      <c r="S97" s="21" t="s">
        <v>580</v>
      </c>
      <c r="T97" s="21" t="s">
        <v>612</v>
      </c>
      <c r="U97" s="23" t="s">
        <v>613</v>
      </c>
      <c r="V97" s="24" t="s">
        <v>614</v>
      </c>
      <c r="W97" s="16"/>
      <c r="X97" s="16"/>
      <c r="Y97" s="16"/>
      <c r="Z97" s="16"/>
      <c r="AA97" s="16"/>
      <c r="AB97" s="16"/>
    </row>
    <row r="98" spans="1:28" ht="30">
      <c r="A98" s="25"/>
      <c r="B98" s="25"/>
      <c r="C98" s="15" t="s">
        <v>615</v>
      </c>
      <c r="D98" s="16"/>
      <c r="E98" s="17" t="str">
        <f t="shared" si="7"/>
        <v>NC</v>
      </c>
      <c r="F98" s="17">
        <v>0</v>
      </c>
      <c r="G98" s="17" t="str">
        <f t="shared" si="8"/>
        <v>C</v>
      </c>
      <c r="H98" s="17">
        <v>3</v>
      </c>
      <c r="I98" s="17" t="str">
        <f t="shared" si="9"/>
        <v>C</v>
      </c>
      <c r="J98" s="18">
        <v>3</v>
      </c>
      <c r="K98" s="17" t="str">
        <f t="shared" si="10"/>
        <v>PC</v>
      </c>
      <c r="L98" s="17">
        <v>1</v>
      </c>
      <c r="M98" s="19" t="s">
        <v>26</v>
      </c>
      <c r="N98" s="17">
        <f t="shared" si="5"/>
        <v>3</v>
      </c>
      <c r="O98" s="19" t="s">
        <v>26</v>
      </c>
      <c r="P98" s="17">
        <f t="shared" si="6"/>
        <v>3</v>
      </c>
      <c r="Q98" s="21" t="s">
        <v>616</v>
      </c>
      <c r="R98" s="21" t="s">
        <v>617</v>
      </c>
      <c r="S98" s="21" t="s">
        <v>618</v>
      </c>
      <c r="T98" s="21" t="s">
        <v>619</v>
      </c>
      <c r="U98" s="23" t="s">
        <v>620</v>
      </c>
      <c r="V98" s="24" t="s">
        <v>621</v>
      </c>
      <c r="W98" s="16"/>
      <c r="X98" s="16"/>
      <c r="Y98" s="16"/>
      <c r="Z98" s="16"/>
      <c r="AA98" s="16"/>
      <c r="AB98" s="16"/>
    </row>
    <row r="99" spans="1:28" ht="31.2">
      <c r="A99" s="25"/>
      <c r="B99" s="25"/>
      <c r="C99" s="15" t="s">
        <v>622</v>
      </c>
      <c r="D99" s="16"/>
      <c r="E99" s="17" t="str">
        <f t="shared" si="7"/>
        <v>NC</v>
      </c>
      <c r="F99" s="17">
        <v>0</v>
      </c>
      <c r="G99" s="17" t="str">
        <f t="shared" si="8"/>
        <v>PC</v>
      </c>
      <c r="H99" s="17">
        <v>1</v>
      </c>
      <c r="I99" s="17" t="str">
        <f t="shared" si="9"/>
        <v>C</v>
      </c>
      <c r="J99" s="17">
        <v>3</v>
      </c>
      <c r="K99" s="17" t="str">
        <f t="shared" si="10"/>
        <v>PC</v>
      </c>
      <c r="L99" s="17">
        <v>1</v>
      </c>
      <c r="M99" s="19" t="s">
        <v>26</v>
      </c>
      <c r="N99" s="17">
        <f t="shared" si="5"/>
        <v>3</v>
      </c>
      <c r="O99" s="19" t="s">
        <v>26</v>
      </c>
      <c r="P99" s="17">
        <f t="shared" si="6"/>
        <v>3</v>
      </c>
      <c r="Q99" s="21" t="s">
        <v>623</v>
      </c>
      <c r="R99" s="21" t="s">
        <v>624</v>
      </c>
      <c r="S99" s="21" t="s">
        <v>580</v>
      </c>
      <c r="T99" s="21" t="s">
        <v>625</v>
      </c>
      <c r="U99" s="23" t="s">
        <v>626</v>
      </c>
      <c r="V99" s="24" t="s">
        <v>627</v>
      </c>
      <c r="W99" s="16"/>
      <c r="X99" s="16"/>
      <c r="Y99" s="16"/>
      <c r="Z99" s="16"/>
      <c r="AA99" s="16"/>
      <c r="AB99" s="16"/>
    </row>
    <row r="100" spans="1:28" ht="45">
      <c r="A100" s="25"/>
      <c r="B100" s="25"/>
      <c r="C100" s="15" t="s">
        <v>628</v>
      </c>
      <c r="D100" s="16"/>
      <c r="E100" s="17" t="str">
        <f t="shared" si="7"/>
        <v>NC</v>
      </c>
      <c r="F100" s="17">
        <v>0</v>
      </c>
      <c r="G100" s="17" t="str">
        <f t="shared" si="8"/>
        <v>C</v>
      </c>
      <c r="H100" s="17">
        <v>3</v>
      </c>
      <c r="I100" s="17" t="str">
        <f t="shared" si="9"/>
        <v>C</v>
      </c>
      <c r="J100" s="17">
        <v>3</v>
      </c>
      <c r="K100" s="17" t="str">
        <f t="shared" si="10"/>
        <v>PC</v>
      </c>
      <c r="L100" s="17">
        <v>1</v>
      </c>
      <c r="M100" s="19" t="s">
        <v>26</v>
      </c>
      <c r="N100" s="17">
        <f t="shared" si="5"/>
        <v>3</v>
      </c>
      <c r="O100" s="19" t="s">
        <v>26</v>
      </c>
      <c r="P100" s="17">
        <f t="shared" si="6"/>
        <v>3</v>
      </c>
      <c r="Q100" s="21" t="s">
        <v>406</v>
      </c>
      <c r="R100" s="21" t="s">
        <v>629</v>
      </c>
      <c r="S100" s="21" t="s">
        <v>630</v>
      </c>
      <c r="T100" s="21" t="s">
        <v>631</v>
      </c>
      <c r="U100" s="23" t="s">
        <v>632</v>
      </c>
      <c r="V100" s="24" t="s">
        <v>633</v>
      </c>
      <c r="W100" s="16"/>
      <c r="X100" s="16"/>
      <c r="Y100" s="16"/>
      <c r="Z100" s="16"/>
      <c r="AA100" s="16"/>
      <c r="AB100" s="16"/>
    </row>
    <row r="101" spans="1:28" ht="43.2">
      <c r="A101" s="25"/>
      <c r="B101" s="25"/>
      <c r="C101" s="15" t="s">
        <v>634</v>
      </c>
      <c r="D101" s="16"/>
      <c r="E101" s="17" t="str">
        <f t="shared" si="7"/>
        <v>NC</v>
      </c>
      <c r="F101" s="17">
        <v>0</v>
      </c>
      <c r="G101" s="17" t="str">
        <f t="shared" si="8"/>
        <v>C</v>
      </c>
      <c r="H101" s="17">
        <v>3</v>
      </c>
      <c r="I101" s="17" t="str">
        <f t="shared" si="9"/>
        <v>C</v>
      </c>
      <c r="J101" s="17">
        <v>3</v>
      </c>
      <c r="K101" s="17" t="str">
        <f t="shared" si="10"/>
        <v>PC</v>
      </c>
      <c r="L101" s="17">
        <v>1</v>
      </c>
      <c r="M101" s="19" t="s">
        <v>26</v>
      </c>
      <c r="N101" s="17">
        <f t="shared" si="5"/>
        <v>3</v>
      </c>
      <c r="O101" s="19" t="s">
        <v>26</v>
      </c>
      <c r="P101" s="17">
        <f t="shared" si="6"/>
        <v>3</v>
      </c>
      <c r="Q101" s="21" t="s">
        <v>635</v>
      </c>
      <c r="R101" s="21" t="s">
        <v>636</v>
      </c>
      <c r="S101" s="21" t="s">
        <v>630</v>
      </c>
      <c r="T101" s="21" t="s">
        <v>637</v>
      </c>
      <c r="U101" s="23" t="s">
        <v>638</v>
      </c>
      <c r="V101" s="24" t="s">
        <v>639</v>
      </c>
      <c r="W101" s="16"/>
      <c r="X101" s="16"/>
      <c r="Y101" s="16"/>
      <c r="Z101" s="16"/>
      <c r="AA101" s="16"/>
      <c r="AB101" s="16"/>
    </row>
    <row r="102" spans="1:28" ht="28.8">
      <c r="A102" s="25"/>
      <c r="B102" s="25"/>
      <c r="C102" s="15" t="s">
        <v>640</v>
      </c>
      <c r="D102" s="16"/>
      <c r="E102" s="17" t="str">
        <f t="shared" si="7"/>
        <v>NC</v>
      </c>
      <c r="F102" s="17">
        <v>0</v>
      </c>
      <c r="G102" s="17" t="str">
        <f t="shared" si="8"/>
        <v>C</v>
      </c>
      <c r="H102" s="17">
        <v>3</v>
      </c>
      <c r="I102" s="17" t="str">
        <f t="shared" si="9"/>
        <v>C</v>
      </c>
      <c r="J102" s="17">
        <v>3</v>
      </c>
      <c r="K102" s="17" t="str">
        <f t="shared" si="10"/>
        <v>C</v>
      </c>
      <c r="L102" s="17">
        <v>3</v>
      </c>
      <c r="M102" s="19" t="s">
        <v>26</v>
      </c>
      <c r="N102" s="17">
        <f t="shared" si="5"/>
        <v>3</v>
      </c>
      <c r="O102" s="19" t="s">
        <v>26</v>
      </c>
      <c r="P102" s="17">
        <f t="shared" si="6"/>
        <v>3</v>
      </c>
      <c r="Q102" s="21" t="s">
        <v>641</v>
      </c>
      <c r="R102" s="21" t="s">
        <v>642</v>
      </c>
      <c r="S102" s="21" t="s">
        <v>643</v>
      </c>
      <c r="T102" s="21" t="s">
        <v>644</v>
      </c>
      <c r="U102" s="23" t="s">
        <v>645</v>
      </c>
      <c r="V102" s="24" t="s">
        <v>646</v>
      </c>
      <c r="W102" s="16"/>
      <c r="X102" s="16"/>
      <c r="Y102" s="16"/>
      <c r="Z102" s="16"/>
      <c r="AA102" s="16"/>
      <c r="AB102" s="16"/>
    </row>
    <row r="103" spans="1:28" ht="43.2">
      <c r="A103" s="25"/>
      <c r="B103" s="25"/>
      <c r="C103" s="15" t="s">
        <v>647</v>
      </c>
      <c r="D103" s="16"/>
      <c r="E103" s="17" t="str">
        <f t="shared" si="7"/>
        <v>NC</v>
      </c>
      <c r="F103" s="17">
        <v>0</v>
      </c>
      <c r="G103" s="17" t="str">
        <f t="shared" si="8"/>
        <v>C</v>
      </c>
      <c r="H103" s="17">
        <v>3</v>
      </c>
      <c r="I103" s="17" t="str">
        <f t="shared" si="9"/>
        <v>C</v>
      </c>
      <c r="J103" s="17">
        <v>3</v>
      </c>
      <c r="K103" s="17" t="str">
        <f t="shared" si="10"/>
        <v>PC</v>
      </c>
      <c r="L103" s="17">
        <v>1</v>
      </c>
      <c r="M103" s="19" t="s">
        <v>26</v>
      </c>
      <c r="N103" s="17">
        <f t="shared" si="5"/>
        <v>3</v>
      </c>
      <c r="O103" s="19" t="s">
        <v>26</v>
      </c>
      <c r="P103" s="17">
        <f t="shared" si="6"/>
        <v>3</v>
      </c>
      <c r="Q103" s="21" t="s">
        <v>648</v>
      </c>
      <c r="R103" s="21" t="s">
        <v>649</v>
      </c>
      <c r="S103" s="21" t="s">
        <v>650</v>
      </c>
      <c r="T103" s="21" t="s">
        <v>651</v>
      </c>
      <c r="U103" s="23" t="s">
        <v>652</v>
      </c>
      <c r="V103" s="24" t="s">
        <v>653</v>
      </c>
      <c r="W103" s="16"/>
      <c r="X103" s="16"/>
      <c r="Y103" s="16"/>
      <c r="Z103" s="16"/>
      <c r="AA103" s="16"/>
      <c r="AB103" s="16"/>
    </row>
    <row r="104" spans="1:28" ht="43.2">
      <c r="A104" s="25"/>
      <c r="B104" s="25"/>
      <c r="C104" s="15" t="s">
        <v>654</v>
      </c>
      <c r="D104" s="16"/>
      <c r="E104" s="17" t="str">
        <f t="shared" si="7"/>
        <v>NC</v>
      </c>
      <c r="F104" s="17">
        <v>0</v>
      </c>
      <c r="G104" s="17" t="str">
        <f t="shared" si="8"/>
        <v>C</v>
      </c>
      <c r="H104" s="17">
        <v>3</v>
      </c>
      <c r="I104" s="17" t="str">
        <f t="shared" si="9"/>
        <v>C</v>
      </c>
      <c r="J104" s="17">
        <v>3</v>
      </c>
      <c r="K104" s="17" t="str">
        <f t="shared" si="10"/>
        <v>C</v>
      </c>
      <c r="L104" s="17">
        <v>3</v>
      </c>
      <c r="M104" s="19" t="s">
        <v>26</v>
      </c>
      <c r="N104" s="17">
        <f t="shared" si="5"/>
        <v>3</v>
      </c>
      <c r="O104" s="19" t="s">
        <v>26</v>
      </c>
      <c r="P104" s="17">
        <f t="shared" si="6"/>
        <v>3</v>
      </c>
      <c r="Q104" s="21" t="s">
        <v>655</v>
      </c>
      <c r="R104" s="21" t="s">
        <v>656</v>
      </c>
      <c r="S104" s="21" t="s">
        <v>630</v>
      </c>
      <c r="T104" s="21" t="s">
        <v>657</v>
      </c>
      <c r="U104" s="23" t="s">
        <v>658</v>
      </c>
      <c r="V104" s="24" t="s">
        <v>659</v>
      </c>
      <c r="W104" s="16"/>
      <c r="X104" s="16"/>
      <c r="Y104" s="16"/>
      <c r="Z104" s="16"/>
      <c r="AA104" s="16"/>
      <c r="AB104" s="16"/>
    </row>
    <row r="105" spans="1:28" ht="45">
      <c r="A105" s="25"/>
      <c r="B105" s="25"/>
      <c r="C105" s="15" t="s">
        <v>660</v>
      </c>
      <c r="D105" s="16"/>
      <c r="E105" s="17" t="str">
        <f t="shared" si="7"/>
        <v>NC</v>
      </c>
      <c r="F105" s="17">
        <v>0</v>
      </c>
      <c r="G105" s="17" t="str">
        <f t="shared" si="8"/>
        <v>C</v>
      </c>
      <c r="H105" s="17">
        <v>3</v>
      </c>
      <c r="I105" s="17" t="str">
        <f t="shared" si="9"/>
        <v>C</v>
      </c>
      <c r="J105" s="18">
        <v>3</v>
      </c>
      <c r="K105" s="17" t="str">
        <f t="shared" si="10"/>
        <v>PC</v>
      </c>
      <c r="L105" s="17">
        <v>1</v>
      </c>
      <c r="M105" s="19" t="s">
        <v>26</v>
      </c>
      <c r="N105" s="17">
        <f t="shared" si="5"/>
        <v>3</v>
      </c>
      <c r="O105" s="19" t="s">
        <v>26</v>
      </c>
      <c r="P105" s="17">
        <f t="shared" si="6"/>
        <v>3</v>
      </c>
      <c r="Q105" s="21" t="s">
        <v>661</v>
      </c>
      <c r="R105" s="21" t="s">
        <v>662</v>
      </c>
      <c r="S105" s="21" t="s">
        <v>630</v>
      </c>
      <c r="T105" s="34" t="s">
        <v>663</v>
      </c>
      <c r="U105" s="23" t="s">
        <v>664</v>
      </c>
      <c r="V105" s="24" t="s">
        <v>665</v>
      </c>
      <c r="W105" s="16"/>
      <c r="X105" s="16"/>
      <c r="Y105" s="16"/>
      <c r="Z105" s="16"/>
      <c r="AA105" s="16"/>
      <c r="AB105" s="16"/>
    </row>
    <row r="106" spans="1:28" ht="43.2">
      <c r="A106" s="13">
        <v>7</v>
      </c>
      <c r="B106" s="14" t="s">
        <v>666</v>
      </c>
      <c r="C106" s="15" t="s">
        <v>667</v>
      </c>
      <c r="D106" s="16">
        <v>7.0000000000000007E-2</v>
      </c>
      <c r="E106" s="17" t="str">
        <f t="shared" si="7"/>
        <v>C</v>
      </c>
      <c r="F106" s="17">
        <v>3</v>
      </c>
      <c r="G106" s="17" t="str">
        <f t="shared" si="8"/>
        <v>C</v>
      </c>
      <c r="H106" s="17">
        <v>3</v>
      </c>
      <c r="I106" s="17" t="str">
        <f t="shared" si="9"/>
        <v>C</v>
      </c>
      <c r="J106" s="18">
        <v>3</v>
      </c>
      <c r="K106" s="17" t="str">
        <f t="shared" si="10"/>
        <v>PC</v>
      </c>
      <c r="L106" s="17">
        <v>1</v>
      </c>
      <c r="M106" s="19" t="s">
        <v>26</v>
      </c>
      <c r="N106" s="17">
        <f t="shared" si="5"/>
        <v>3</v>
      </c>
      <c r="O106" s="19" t="s">
        <v>26</v>
      </c>
      <c r="P106" s="17">
        <f t="shared" si="6"/>
        <v>3</v>
      </c>
      <c r="Q106" s="21" t="s">
        <v>668</v>
      </c>
      <c r="R106" s="21" t="s">
        <v>669</v>
      </c>
      <c r="S106" s="21" t="s">
        <v>670</v>
      </c>
      <c r="T106" s="21" t="s">
        <v>671</v>
      </c>
      <c r="U106" s="23" t="s">
        <v>672</v>
      </c>
      <c r="V106" s="24" t="s">
        <v>673</v>
      </c>
      <c r="W106" s="16">
        <f>AVERAGE(F106:F115)*$D106/3</f>
        <v>6.0666666666666674E-2</v>
      </c>
      <c r="X106" s="16">
        <f>AVERAGE(H106:H115)*$D106/3</f>
        <v>6.533333333333334E-2</v>
      </c>
      <c r="Y106" s="16">
        <f>AVERAGE(J106:J115)*$D106/3</f>
        <v>7.0000000000000007E-2</v>
      </c>
      <c r="Z106" s="16">
        <f>AVERAGE(L106:L115)*$D106/3</f>
        <v>4.6666666666666669E-2</v>
      </c>
      <c r="AA106" s="16">
        <f>AVERAGE(N106:N115)*$D106/3</f>
        <v>7.0000000000000007E-2</v>
      </c>
      <c r="AB106" s="16">
        <f>AVERAGE(P106:P115)*$D106/3</f>
        <v>7.0000000000000007E-2</v>
      </c>
    </row>
    <row r="107" spans="1:28" ht="43.2">
      <c r="A107" s="25"/>
      <c r="B107" s="35"/>
      <c r="C107" s="15" t="s">
        <v>674</v>
      </c>
      <c r="D107" s="16"/>
      <c r="E107" s="17" t="str">
        <f t="shared" si="7"/>
        <v>PC</v>
      </c>
      <c r="F107" s="17">
        <v>1</v>
      </c>
      <c r="G107" s="17" t="str">
        <f t="shared" si="8"/>
        <v>C</v>
      </c>
      <c r="H107" s="17">
        <v>3</v>
      </c>
      <c r="I107" s="17" t="str">
        <f t="shared" si="9"/>
        <v>C</v>
      </c>
      <c r="J107" s="18">
        <v>3</v>
      </c>
      <c r="K107" s="17" t="str">
        <f t="shared" si="10"/>
        <v>PC</v>
      </c>
      <c r="L107" s="17">
        <v>1</v>
      </c>
      <c r="M107" s="19" t="s">
        <v>26</v>
      </c>
      <c r="N107" s="17">
        <f t="shared" si="5"/>
        <v>3</v>
      </c>
      <c r="O107" s="19" t="s">
        <v>26</v>
      </c>
      <c r="P107" s="17">
        <f t="shared" si="6"/>
        <v>3</v>
      </c>
      <c r="Q107" s="27" t="s">
        <v>675</v>
      </c>
      <c r="R107" s="21" t="s">
        <v>676</v>
      </c>
      <c r="S107" s="21" t="s">
        <v>677</v>
      </c>
      <c r="T107" s="36" t="s">
        <v>678</v>
      </c>
      <c r="U107" s="23" t="s">
        <v>679</v>
      </c>
      <c r="V107" s="24" t="s">
        <v>680</v>
      </c>
      <c r="W107" s="16"/>
      <c r="X107" s="16"/>
      <c r="Y107" s="16"/>
      <c r="Z107" s="16"/>
      <c r="AA107" s="16"/>
      <c r="AB107" s="16"/>
    </row>
    <row r="108" spans="1:28" ht="43.2">
      <c r="A108" s="25"/>
      <c r="B108" s="35"/>
      <c r="C108" s="15" t="s">
        <v>681</v>
      </c>
      <c r="D108" s="16"/>
      <c r="E108" s="17" t="str">
        <f t="shared" si="7"/>
        <v>C</v>
      </c>
      <c r="F108" s="17">
        <v>3</v>
      </c>
      <c r="G108" s="17" t="str">
        <f t="shared" si="8"/>
        <v>C</v>
      </c>
      <c r="H108" s="17">
        <v>3</v>
      </c>
      <c r="I108" s="17" t="str">
        <f t="shared" si="9"/>
        <v>C</v>
      </c>
      <c r="J108" s="18">
        <v>3</v>
      </c>
      <c r="K108" s="17" t="str">
        <f t="shared" si="10"/>
        <v>C</v>
      </c>
      <c r="L108" s="17">
        <v>3</v>
      </c>
      <c r="M108" s="19" t="s">
        <v>26</v>
      </c>
      <c r="N108" s="17">
        <f t="shared" si="5"/>
        <v>3</v>
      </c>
      <c r="O108" s="19" t="s">
        <v>26</v>
      </c>
      <c r="P108" s="17">
        <f t="shared" si="6"/>
        <v>3</v>
      </c>
      <c r="Q108" s="27"/>
      <c r="R108" s="21" t="s">
        <v>682</v>
      </c>
      <c r="S108" s="21" t="s">
        <v>677</v>
      </c>
      <c r="T108" s="26" t="s">
        <v>683</v>
      </c>
      <c r="U108" s="23" t="s">
        <v>684</v>
      </c>
      <c r="V108" s="24" t="s">
        <v>685</v>
      </c>
      <c r="W108" s="16"/>
      <c r="X108" s="16"/>
      <c r="Y108" s="16"/>
      <c r="Z108" s="16"/>
      <c r="AA108" s="16"/>
      <c r="AB108" s="16"/>
    </row>
    <row r="109" spans="1:28" ht="43.2">
      <c r="A109" s="25"/>
      <c r="B109" s="35"/>
      <c r="C109" s="15" t="s">
        <v>686</v>
      </c>
      <c r="D109" s="16"/>
      <c r="E109" s="17" t="str">
        <f t="shared" si="7"/>
        <v>C</v>
      </c>
      <c r="F109" s="17">
        <v>3</v>
      </c>
      <c r="G109" s="17" t="str">
        <f t="shared" si="8"/>
        <v>C</v>
      </c>
      <c r="H109" s="17">
        <v>3</v>
      </c>
      <c r="I109" s="17" t="str">
        <f t="shared" si="9"/>
        <v>C</v>
      </c>
      <c r="J109" s="18">
        <v>3</v>
      </c>
      <c r="K109" s="17" t="str">
        <f t="shared" si="10"/>
        <v>PC</v>
      </c>
      <c r="L109" s="17">
        <v>1</v>
      </c>
      <c r="M109" s="19" t="s">
        <v>26</v>
      </c>
      <c r="N109" s="17">
        <f t="shared" si="5"/>
        <v>3</v>
      </c>
      <c r="O109" s="19" t="s">
        <v>26</v>
      </c>
      <c r="P109" s="17">
        <f t="shared" si="6"/>
        <v>3</v>
      </c>
      <c r="Q109" s="27"/>
      <c r="R109" s="21" t="s">
        <v>283</v>
      </c>
      <c r="S109" s="21" t="s">
        <v>677</v>
      </c>
      <c r="T109" s="26" t="s">
        <v>687</v>
      </c>
      <c r="U109" s="23" t="s">
        <v>688</v>
      </c>
      <c r="V109" s="24" t="s">
        <v>689</v>
      </c>
      <c r="W109" s="16"/>
      <c r="X109" s="16"/>
      <c r="Y109" s="16"/>
      <c r="Z109" s="16"/>
      <c r="AA109" s="16"/>
      <c r="AB109" s="16"/>
    </row>
    <row r="110" spans="1:28" ht="43.2">
      <c r="A110" s="25"/>
      <c r="B110" s="35"/>
      <c r="C110" s="15" t="s">
        <v>690</v>
      </c>
      <c r="D110" s="16"/>
      <c r="E110" s="17" t="str">
        <f t="shared" si="7"/>
        <v>C</v>
      </c>
      <c r="F110" s="17">
        <v>3</v>
      </c>
      <c r="G110" s="17" t="str">
        <f t="shared" si="8"/>
        <v>C</v>
      </c>
      <c r="H110" s="17">
        <v>3</v>
      </c>
      <c r="I110" s="17" t="str">
        <f t="shared" si="9"/>
        <v>C</v>
      </c>
      <c r="J110" s="18">
        <v>3</v>
      </c>
      <c r="K110" s="17" t="str">
        <f t="shared" si="10"/>
        <v>PC</v>
      </c>
      <c r="L110" s="17">
        <v>1</v>
      </c>
      <c r="M110" s="19" t="s">
        <v>26</v>
      </c>
      <c r="N110" s="17">
        <f t="shared" si="5"/>
        <v>3</v>
      </c>
      <c r="O110" s="19" t="s">
        <v>26</v>
      </c>
      <c r="P110" s="17">
        <f t="shared" si="6"/>
        <v>3</v>
      </c>
      <c r="Q110" s="27"/>
      <c r="R110" s="21" t="s">
        <v>691</v>
      </c>
      <c r="S110" s="21" t="s">
        <v>677</v>
      </c>
      <c r="T110" s="26" t="s">
        <v>692</v>
      </c>
      <c r="U110" s="23" t="s">
        <v>693</v>
      </c>
      <c r="V110" s="24" t="s">
        <v>694</v>
      </c>
      <c r="W110" s="16"/>
      <c r="X110" s="16"/>
      <c r="Y110" s="16"/>
      <c r="Z110" s="16"/>
      <c r="AA110" s="16"/>
      <c r="AB110" s="16"/>
    </row>
    <row r="111" spans="1:28" ht="43.2">
      <c r="A111" s="25"/>
      <c r="B111" s="35"/>
      <c r="C111" s="15" t="s">
        <v>695</v>
      </c>
      <c r="D111" s="16"/>
      <c r="E111" s="17" t="str">
        <f t="shared" si="7"/>
        <v>C</v>
      </c>
      <c r="F111" s="17">
        <v>3</v>
      </c>
      <c r="G111" s="17" t="str">
        <f t="shared" si="8"/>
        <v>C</v>
      </c>
      <c r="H111" s="17">
        <v>3</v>
      </c>
      <c r="I111" s="17" t="str">
        <f t="shared" si="9"/>
        <v>C</v>
      </c>
      <c r="J111" s="18">
        <v>3</v>
      </c>
      <c r="K111" s="17" t="str">
        <f t="shared" si="10"/>
        <v>C</v>
      </c>
      <c r="L111" s="17">
        <v>3</v>
      </c>
      <c r="M111" s="19" t="s">
        <v>26</v>
      </c>
      <c r="N111" s="17">
        <f t="shared" si="5"/>
        <v>3</v>
      </c>
      <c r="O111" s="19" t="s">
        <v>26</v>
      </c>
      <c r="P111" s="17">
        <f t="shared" si="6"/>
        <v>3</v>
      </c>
      <c r="Q111" s="27"/>
      <c r="R111" s="21" t="s">
        <v>283</v>
      </c>
      <c r="S111" s="21" t="s">
        <v>677</v>
      </c>
      <c r="T111" s="26" t="s">
        <v>692</v>
      </c>
      <c r="U111" s="23" t="s">
        <v>696</v>
      </c>
      <c r="V111" s="24" t="s">
        <v>697</v>
      </c>
      <c r="W111" s="16"/>
      <c r="X111" s="16"/>
      <c r="Y111" s="16"/>
      <c r="Z111" s="16"/>
      <c r="AA111" s="16"/>
      <c r="AB111" s="16"/>
    </row>
    <row r="112" spans="1:28" ht="43.2">
      <c r="A112" s="25"/>
      <c r="B112" s="35"/>
      <c r="C112" s="15" t="s">
        <v>698</v>
      </c>
      <c r="D112" s="16"/>
      <c r="E112" s="17" t="str">
        <f t="shared" si="7"/>
        <v>C</v>
      </c>
      <c r="F112" s="17">
        <v>3</v>
      </c>
      <c r="G112" s="17" t="str">
        <f t="shared" si="8"/>
        <v>C</v>
      </c>
      <c r="H112" s="17">
        <v>3</v>
      </c>
      <c r="I112" s="17" t="str">
        <f t="shared" si="9"/>
        <v>C</v>
      </c>
      <c r="J112" s="18">
        <v>3</v>
      </c>
      <c r="K112" s="17" t="str">
        <f t="shared" si="10"/>
        <v>C</v>
      </c>
      <c r="L112" s="17">
        <v>3</v>
      </c>
      <c r="M112" s="19" t="s">
        <v>26</v>
      </c>
      <c r="N112" s="17">
        <f t="shared" si="5"/>
        <v>3</v>
      </c>
      <c r="O112" s="19" t="s">
        <v>26</v>
      </c>
      <c r="P112" s="17">
        <f t="shared" si="6"/>
        <v>3</v>
      </c>
      <c r="Q112" s="27"/>
      <c r="R112" s="21" t="s">
        <v>699</v>
      </c>
      <c r="S112" s="21" t="s">
        <v>677</v>
      </c>
      <c r="T112" s="26" t="s">
        <v>692</v>
      </c>
      <c r="U112" s="23" t="s">
        <v>700</v>
      </c>
      <c r="V112" s="24" t="s">
        <v>701</v>
      </c>
      <c r="W112" s="16"/>
      <c r="X112" s="16"/>
      <c r="Y112" s="16"/>
      <c r="Z112" s="16"/>
      <c r="AA112" s="16"/>
      <c r="AB112" s="16"/>
    </row>
    <row r="113" spans="1:28" ht="43.2">
      <c r="A113" s="25"/>
      <c r="B113" s="35"/>
      <c r="C113" s="15" t="s">
        <v>702</v>
      </c>
      <c r="D113" s="16"/>
      <c r="E113" s="17" t="str">
        <f t="shared" si="7"/>
        <v>C</v>
      </c>
      <c r="F113" s="17">
        <v>3</v>
      </c>
      <c r="G113" s="17" t="str">
        <f t="shared" si="8"/>
        <v>C</v>
      </c>
      <c r="H113" s="17">
        <v>3</v>
      </c>
      <c r="I113" s="17" t="str">
        <f t="shared" si="9"/>
        <v>C</v>
      </c>
      <c r="J113" s="18">
        <v>3</v>
      </c>
      <c r="K113" s="17" t="str">
        <f t="shared" si="10"/>
        <v>C</v>
      </c>
      <c r="L113" s="17">
        <v>3</v>
      </c>
      <c r="M113" s="19" t="s">
        <v>26</v>
      </c>
      <c r="N113" s="17">
        <f t="shared" si="5"/>
        <v>3</v>
      </c>
      <c r="O113" s="19" t="s">
        <v>26</v>
      </c>
      <c r="P113" s="17">
        <f t="shared" si="6"/>
        <v>3</v>
      </c>
      <c r="Q113" s="27"/>
      <c r="R113" s="21" t="s">
        <v>283</v>
      </c>
      <c r="S113" s="21" t="s">
        <v>677</v>
      </c>
      <c r="T113" s="26" t="s">
        <v>692</v>
      </c>
      <c r="U113" s="23" t="s">
        <v>703</v>
      </c>
      <c r="V113" s="24" t="s">
        <v>704</v>
      </c>
      <c r="W113" s="16"/>
      <c r="X113" s="16"/>
      <c r="Y113" s="16"/>
      <c r="Z113" s="16"/>
      <c r="AA113" s="16"/>
      <c r="AB113" s="16"/>
    </row>
    <row r="114" spans="1:28" ht="43.2">
      <c r="A114" s="25"/>
      <c r="B114" s="35"/>
      <c r="C114" s="15" t="s">
        <v>705</v>
      </c>
      <c r="D114" s="16"/>
      <c r="E114" s="17" t="str">
        <f t="shared" si="7"/>
        <v>PC</v>
      </c>
      <c r="F114" s="17">
        <v>1</v>
      </c>
      <c r="G114" s="17" t="str">
        <f t="shared" si="8"/>
        <v>PC</v>
      </c>
      <c r="H114" s="17">
        <v>1</v>
      </c>
      <c r="I114" s="17" t="str">
        <f t="shared" si="9"/>
        <v>C</v>
      </c>
      <c r="J114" s="18">
        <v>3</v>
      </c>
      <c r="K114" s="17" t="str">
        <f t="shared" si="10"/>
        <v>PC</v>
      </c>
      <c r="L114" s="17">
        <v>1</v>
      </c>
      <c r="M114" s="19" t="s">
        <v>26</v>
      </c>
      <c r="N114" s="17">
        <f t="shared" si="5"/>
        <v>3</v>
      </c>
      <c r="O114" s="19" t="s">
        <v>26</v>
      </c>
      <c r="P114" s="17">
        <f t="shared" si="6"/>
        <v>3</v>
      </c>
      <c r="Q114" s="27"/>
      <c r="R114" s="21" t="s">
        <v>706</v>
      </c>
      <c r="S114" s="21" t="s">
        <v>677</v>
      </c>
      <c r="T114" s="21" t="s">
        <v>707</v>
      </c>
      <c r="U114" s="23" t="s">
        <v>708</v>
      </c>
      <c r="V114" s="24" t="s">
        <v>709</v>
      </c>
      <c r="W114" s="16"/>
      <c r="X114" s="16"/>
      <c r="Y114" s="16"/>
      <c r="Z114" s="16"/>
      <c r="AA114" s="16"/>
      <c r="AB114" s="16"/>
    </row>
    <row r="115" spans="1:28" ht="43.2">
      <c r="A115" s="25"/>
      <c r="B115" s="35"/>
      <c r="C115" s="15" t="s">
        <v>710</v>
      </c>
      <c r="D115" s="16"/>
      <c r="E115" s="17" t="str">
        <f t="shared" si="7"/>
        <v>C</v>
      </c>
      <c r="F115" s="17">
        <v>3</v>
      </c>
      <c r="G115" s="17" t="str">
        <f t="shared" si="8"/>
        <v>C</v>
      </c>
      <c r="H115" s="17">
        <v>3</v>
      </c>
      <c r="I115" s="17" t="str">
        <f t="shared" si="9"/>
        <v>C</v>
      </c>
      <c r="J115" s="18">
        <v>3</v>
      </c>
      <c r="K115" s="17" t="str">
        <f t="shared" si="10"/>
        <v>C</v>
      </c>
      <c r="L115" s="17">
        <v>3</v>
      </c>
      <c r="M115" s="19" t="s">
        <v>26</v>
      </c>
      <c r="N115" s="17">
        <f t="shared" si="5"/>
        <v>3</v>
      </c>
      <c r="O115" s="19" t="s">
        <v>26</v>
      </c>
      <c r="P115" s="17">
        <f t="shared" si="6"/>
        <v>3</v>
      </c>
      <c r="Q115" s="27"/>
      <c r="R115" s="21" t="s">
        <v>283</v>
      </c>
      <c r="S115" s="21" t="s">
        <v>677</v>
      </c>
      <c r="T115" s="27" t="s">
        <v>683</v>
      </c>
      <c r="U115" s="23" t="s">
        <v>711</v>
      </c>
      <c r="V115" s="24" t="s">
        <v>712</v>
      </c>
      <c r="W115" s="16"/>
      <c r="X115" s="16"/>
      <c r="Y115" s="16"/>
      <c r="Z115" s="16"/>
      <c r="AA115" s="16"/>
      <c r="AB115" s="16"/>
    </row>
    <row r="116" spans="1:28" ht="43.2">
      <c r="A116" s="13">
        <v>8</v>
      </c>
      <c r="B116" s="14" t="s">
        <v>713</v>
      </c>
      <c r="C116" s="15" t="s">
        <v>714</v>
      </c>
      <c r="D116" s="16">
        <v>0.1</v>
      </c>
      <c r="E116" s="17" t="str">
        <f t="shared" si="7"/>
        <v>C</v>
      </c>
      <c r="F116" s="17">
        <v>3</v>
      </c>
      <c r="G116" s="17" t="str">
        <f t="shared" si="8"/>
        <v>C</v>
      </c>
      <c r="H116" s="17">
        <v>3</v>
      </c>
      <c r="I116" s="17" t="str">
        <f t="shared" si="9"/>
        <v>C</v>
      </c>
      <c r="J116" s="18">
        <v>3</v>
      </c>
      <c r="K116" s="17" t="str">
        <f t="shared" si="10"/>
        <v>C</v>
      </c>
      <c r="L116" s="17">
        <v>3</v>
      </c>
      <c r="M116" s="19" t="s">
        <v>26</v>
      </c>
      <c r="N116" s="17">
        <f t="shared" si="5"/>
        <v>3</v>
      </c>
      <c r="O116" s="19" t="s">
        <v>26</v>
      </c>
      <c r="P116" s="17">
        <f t="shared" si="6"/>
        <v>3</v>
      </c>
      <c r="Q116" s="27"/>
      <c r="R116" s="21" t="s">
        <v>715</v>
      </c>
      <c r="S116" s="21" t="s">
        <v>716</v>
      </c>
      <c r="T116" s="27"/>
      <c r="U116" s="23" t="s">
        <v>717</v>
      </c>
      <c r="V116" s="24" t="s">
        <v>718</v>
      </c>
      <c r="W116" s="16">
        <f>AVERAGE(F116:F127)*$D116/3</f>
        <v>9.1666666666666674E-2</v>
      </c>
      <c r="X116" s="16">
        <f>AVERAGE(H116:H127)*$D116/3</f>
        <v>0.10000000000000002</v>
      </c>
      <c r="Y116" s="16">
        <f>AVERAGE(J116:J127)*$D116/3</f>
        <v>9.4444444444444456E-2</v>
      </c>
      <c r="Z116" s="16">
        <f>AVERAGE(L116:L127)*$D116/3</f>
        <v>5.8333333333333341E-2</v>
      </c>
      <c r="AA116" s="16">
        <f>AVERAGE(N116:N127)*$D116/3</f>
        <v>0.10000000000000002</v>
      </c>
      <c r="AB116" s="16">
        <f>AVERAGE(P116:P127)*$D116/3</f>
        <v>0.10000000000000002</v>
      </c>
    </row>
    <row r="117" spans="1:28" ht="60">
      <c r="A117" s="25"/>
      <c r="B117" s="25"/>
      <c r="C117" s="15" t="s">
        <v>719</v>
      </c>
      <c r="D117" s="16"/>
      <c r="E117" s="17" t="str">
        <f t="shared" si="7"/>
        <v>C</v>
      </c>
      <c r="F117" s="17">
        <v>3</v>
      </c>
      <c r="G117" s="17" t="str">
        <f t="shared" si="8"/>
        <v>C</v>
      </c>
      <c r="H117" s="17">
        <v>3</v>
      </c>
      <c r="I117" s="17" t="str">
        <f t="shared" si="9"/>
        <v>C</v>
      </c>
      <c r="J117" s="18">
        <v>3</v>
      </c>
      <c r="K117" s="17" t="str">
        <f t="shared" si="10"/>
        <v>PC</v>
      </c>
      <c r="L117" s="17">
        <v>1</v>
      </c>
      <c r="M117" s="19" t="s">
        <v>26</v>
      </c>
      <c r="N117" s="17">
        <f t="shared" si="5"/>
        <v>3</v>
      </c>
      <c r="O117" s="19" t="s">
        <v>26</v>
      </c>
      <c r="P117" s="17">
        <f t="shared" si="6"/>
        <v>3</v>
      </c>
      <c r="Q117" s="27" t="s">
        <v>720</v>
      </c>
      <c r="R117" s="27" t="s">
        <v>721</v>
      </c>
      <c r="S117" s="27" t="s">
        <v>722</v>
      </c>
      <c r="T117" s="26" t="s">
        <v>723</v>
      </c>
      <c r="U117" s="23" t="s">
        <v>724</v>
      </c>
      <c r="V117" s="24" t="s">
        <v>725</v>
      </c>
      <c r="W117" s="16"/>
      <c r="X117" s="16"/>
      <c r="Y117" s="16"/>
      <c r="Z117" s="16"/>
      <c r="AA117" s="16"/>
      <c r="AB117" s="16"/>
    </row>
    <row r="118" spans="1:28" ht="46.8">
      <c r="A118" s="25"/>
      <c r="B118" s="25"/>
      <c r="C118" s="15" t="s">
        <v>726</v>
      </c>
      <c r="D118" s="16"/>
      <c r="E118" s="17" t="str">
        <f t="shared" si="7"/>
        <v>C</v>
      </c>
      <c r="F118" s="17">
        <v>3</v>
      </c>
      <c r="G118" s="17" t="str">
        <f t="shared" si="8"/>
        <v>C</v>
      </c>
      <c r="H118" s="17">
        <v>3</v>
      </c>
      <c r="I118" s="17" t="str">
        <f t="shared" si="9"/>
        <v>C</v>
      </c>
      <c r="J118" s="18">
        <v>3</v>
      </c>
      <c r="K118" s="17" t="str">
        <f t="shared" si="10"/>
        <v>PC</v>
      </c>
      <c r="L118" s="17">
        <v>1</v>
      </c>
      <c r="M118" s="19" t="s">
        <v>26</v>
      </c>
      <c r="N118" s="17">
        <f t="shared" si="5"/>
        <v>3</v>
      </c>
      <c r="O118" s="19" t="s">
        <v>26</v>
      </c>
      <c r="P118" s="17">
        <f t="shared" si="6"/>
        <v>3</v>
      </c>
      <c r="Q118" s="27"/>
      <c r="R118" s="27"/>
      <c r="S118" s="27"/>
      <c r="T118" s="22" t="s">
        <v>727</v>
      </c>
      <c r="U118" s="23" t="s">
        <v>728</v>
      </c>
      <c r="V118" s="24" t="s">
        <v>729</v>
      </c>
      <c r="W118" s="16"/>
      <c r="X118" s="16"/>
      <c r="Y118" s="16"/>
      <c r="Z118" s="16"/>
      <c r="AA118" s="16"/>
      <c r="AB118" s="16"/>
    </row>
    <row r="119" spans="1:28" ht="31.2">
      <c r="A119" s="25"/>
      <c r="B119" s="25"/>
      <c r="C119" s="15" t="s">
        <v>730</v>
      </c>
      <c r="D119" s="16"/>
      <c r="E119" s="17" t="str">
        <f t="shared" si="7"/>
        <v>C</v>
      </c>
      <c r="F119" s="17">
        <v>3</v>
      </c>
      <c r="G119" s="17" t="str">
        <f t="shared" si="8"/>
        <v>C</v>
      </c>
      <c r="H119" s="17">
        <v>3</v>
      </c>
      <c r="I119" s="17" t="str">
        <f t="shared" si="9"/>
        <v>C</v>
      </c>
      <c r="J119" s="18">
        <v>3</v>
      </c>
      <c r="K119" s="17" t="str">
        <f t="shared" si="10"/>
        <v>C</v>
      </c>
      <c r="L119" s="17">
        <v>3</v>
      </c>
      <c r="M119" s="19" t="s">
        <v>26</v>
      </c>
      <c r="N119" s="17">
        <f t="shared" si="5"/>
        <v>3</v>
      </c>
      <c r="O119" s="19" t="s">
        <v>26</v>
      </c>
      <c r="P119" s="17">
        <f t="shared" si="6"/>
        <v>3</v>
      </c>
      <c r="Q119" s="27"/>
      <c r="R119" s="27"/>
      <c r="S119" s="27"/>
      <c r="T119" s="22" t="s">
        <v>727</v>
      </c>
      <c r="U119" s="23" t="s">
        <v>731</v>
      </c>
      <c r="V119" s="24" t="s">
        <v>732</v>
      </c>
      <c r="W119" s="16"/>
      <c r="X119" s="16"/>
      <c r="Y119" s="16"/>
      <c r="Z119" s="16"/>
      <c r="AA119" s="16"/>
      <c r="AB119" s="16"/>
    </row>
    <row r="120" spans="1:28" ht="15.6">
      <c r="A120" s="25"/>
      <c r="B120" s="25"/>
      <c r="C120" s="15" t="s">
        <v>733</v>
      </c>
      <c r="D120" s="16"/>
      <c r="E120" s="17" t="str">
        <f t="shared" si="7"/>
        <v>C</v>
      </c>
      <c r="F120" s="17">
        <v>3</v>
      </c>
      <c r="G120" s="17" t="str">
        <f t="shared" si="8"/>
        <v>C</v>
      </c>
      <c r="H120" s="17">
        <v>3</v>
      </c>
      <c r="I120" s="17" t="str">
        <f t="shared" si="9"/>
        <v>C</v>
      </c>
      <c r="J120" s="18">
        <v>3</v>
      </c>
      <c r="K120" s="17" t="str">
        <f t="shared" si="10"/>
        <v>C</v>
      </c>
      <c r="L120" s="17">
        <v>3</v>
      </c>
      <c r="M120" s="19" t="s">
        <v>26</v>
      </c>
      <c r="N120" s="17">
        <f t="shared" si="5"/>
        <v>3</v>
      </c>
      <c r="O120" s="19" t="s">
        <v>26</v>
      </c>
      <c r="P120" s="17">
        <f t="shared" si="6"/>
        <v>3</v>
      </c>
      <c r="Q120" s="27"/>
      <c r="R120" s="27"/>
      <c r="S120" s="27"/>
      <c r="T120" s="22" t="s">
        <v>727</v>
      </c>
      <c r="U120" s="23" t="s">
        <v>734</v>
      </c>
      <c r="V120" s="24" t="s">
        <v>735</v>
      </c>
      <c r="W120" s="16"/>
      <c r="X120" s="16"/>
      <c r="Y120" s="16"/>
      <c r="Z120" s="16"/>
      <c r="AA120" s="16"/>
      <c r="AB120" s="16"/>
    </row>
    <row r="121" spans="1:28" ht="31.2">
      <c r="A121" s="25"/>
      <c r="B121" s="25"/>
      <c r="C121" s="15" t="s">
        <v>736</v>
      </c>
      <c r="D121" s="16"/>
      <c r="E121" s="17" t="str">
        <f t="shared" si="7"/>
        <v>C</v>
      </c>
      <c r="F121" s="17">
        <v>3</v>
      </c>
      <c r="G121" s="17" t="str">
        <f t="shared" si="8"/>
        <v>C</v>
      </c>
      <c r="H121" s="17">
        <v>3</v>
      </c>
      <c r="I121" s="17" t="str">
        <f t="shared" si="9"/>
        <v>C</v>
      </c>
      <c r="J121" s="18">
        <v>3</v>
      </c>
      <c r="K121" s="17" t="str">
        <f t="shared" si="10"/>
        <v>C</v>
      </c>
      <c r="L121" s="17">
        <v>3</v>
      </c>
      <c r="M121" s="19" t="s">
        <v>26</v>
      </c>
      <c r="N121" s="17">
        <f t="shared" si="5"/>
        <v>3</v>
      </c>
      <c r="O121" s="19" t="s">
        <v>26</v>
      </c>
      <c r="P121" s="17">
        <f t="shared" si="6"/>
        <v>3</v>
      </c>
      <c r="Q121" s="27"/>
      <c r="R121" s="27"/>
      <c r="S121" s="27"/>
      <c r="T121" s="22" t="s">
        <v>727</v>
      </c>
      <c r="U121" s="23" t="s">
        <v>737</v>
      </c>
      <c r="V121" s="24" t="s">
        <v>738</v>
      </c>
      <c r="W121" s="16"/>
      <c r="X121" s="16"/>
      <c r="Y121" s="16"/>
      <c r="Z121" s="16"/>
      <c r="AA121" s="16"/>
      <c r="AB121" s="16"/>
    </row>
    <row r="122" spans="1:28" ht="15.6">
      <c r="A122" s="25"/>
      <c r="B122" s="25"/>
      <c r="C122" s="15" t="s">
        <v>739</v>
      </c>
      <c r="D122" s="16"/>
      <c r="E122" s="17" t="str">
        <f t="shared" si="7"/>
        <v>C</v>
      </c>
      <c r="F122" s="17">
        <v>3</v>
      </c>
      <c r="G122" s="17" t="str">
        <f t="shared" si="8"/>
        <v>C</v>
      </c>
      <c r="H122" s="17">
        <v>3</v>
      </c>
      <c r="I122" s="17" t="str">
        <f t="shared" si="9"/>
        <v>C</v>
      </c>
      <c r="J122" s="18">
        <v>3</v>
      </c>
      <c r="K122" s="17" t="str">
        <f t="shared" si="10"/>
        <v>PC</v>
      </c>
      <c r="L122" s="17">
        <v>1</v>
      </c>
      <c r="M122" s="19" t="s">
        <v>26</v>
      </c>
      <c r="N122" s="17">
        <f t="shared" si="5"/>
        <v>3</v>
      </c>
      <c r="O122" s="19" t="s">
        <v>26</v>
      </c>
      <c r="P122" s="17">
        <f t="shared" si="6"/>
        <v>3</v>
      </c>
      <c r="Q122" s="27"/>
      <c r="R122" s="27"/>
      <c r="S122" s="27"/>
      <c r="T122" s="22" t="s">
        <v>727</v>
      </c>
      <c r="U122" s="23" t="s">
        <v>740</v>
      </c>
      <c r="V122" s="24" t="s">
        <v>741</v>
      </c>
      <c r="W122" s="16"/>
      <c r="X122" s="16"/>
      <c r="Y122" s="16"/>
      <c r="Z122" s="16"/>
      <c r="AA122" s="16"/>
      <c r="AB122" s="16"/>
    </row>
    <row r="123" spans="1:28" ht="31.2">
      <c r="A123" s="25"/>
      <c r="B123" s="25"/>
      <c r="C123" s="15" t="s">
        <v>742</v>
      </c>
      <c r="D123" s="16"/>
      <c r="E123" s="17" t="str">
        <f t="shared" si="7"/>
        <v>C</v>
      </c>
      <c r="F123" s="17">
        <v>3</v>
      </c>
      <c r="G123" s="17" t="str">
        <f t="shared" si="8"/>
        <v>C</v>
      </c>
      <c r="H123" s="17">
        <v>3</v>
      </c>
      <c r="I123" s="17" t="str">
        <f t="shared" si="9"/>
        <v>C</v>
      </c>
      <c r="J123" s="18">
        <v>3</v>
      </c>
      <c r="K123" s="17" t="str">
        <f t="shared" si="10"/>
        <v>C</v>
      </c>
      <c r="L123" s="17">
        <v>3</v>
      </c>
      <c r="M123" s="19" t="s">
        <v>26</v>
      </c>
      <c r="N123" s="17">
        <f t="shared" si="5"/>
        <v>3</v>
      </c>
      <c r="O123" s="19" t="s">
        <v>26</v>
      </c>
      <c r="P123" s="17">
        <f t="shared" si="6"/>
        <v>3</v>
      </c>
      <c r="Q123" s="27"/>
      <c r="R123" s="27"/>
      <c r="S123" s="27"/>
      <c r="T123" s="22" t="s">
        <v>727</v>
      </c>
      <c r="U123" s="23" t="s">
        <v>743</v>
      </c>
      <c r="V123" s="24" t="s">
        <v>744</v>
      </c>
      <c r="W123" s="16"/>
      <c r="X123" s="16"/>
      <c r="Y123" s="16"/>
      <c r="Z123" s="16"/>
      <c r="AA123" s="16"/>
      <c r="AB123" s="16"/>
    </row>
    <row r="124" spans="1:28" ht="30">
      <c r="A124" s="25"/>
      <c r="B124" s="25"/>
      <c r="C124" s="15" t="s">
        <v>745</v>
      </c>
      <c r="D124" s="16"/>
      <c r="E124" s="17" t="str">
        <f t="shared" si="7"/>
        <v>C</v>
      </c>
      <c r="F124" s="17">
        <v>3</v>
      </c>
      <c r="G124" s="17" t="str">
        <f t="shared" si="8"/>
        <v>C</v>
      </c>
      <c r="H124" s="17">
        <v>3</v>
      </c>
      <c r="I124" s="17" t="str">
        <f t="shared" si="9"/>
        <v>C</v>
      </c>
      <c r="J124" s="18">
        <v>3</v>
      </c>
      <c r="K124" s="17" t="str">
        <f t="shared" si="10"/>
        <v>PC</v>
      </c>
      <c r="L124" s="17">
        <v>1</v>
      </c>
      <c r="M124" s="19" t="s">
        <v>26</v>
      </c>
      <c r="N124" s="17">
        <f t="shared" si="5"/>
        <v>3</v>
      </c>
      <c r="O124" s="19" t="s">
        <v>26</v>
      </c>
      <c r="P124" s="17">
        <f t="shared" si="6"/>
        <v>3</v>
      </c>
      <c r="Q124" s="27"/>
      <c r="R124" s="27"/>
      <c r="S124" s="27"/>
      <c r="T124" s="26" t="s">
        <v>746</v>
      </c>
      <c r="U124" s="23" t="s">
        <v>747</v>
      </c>
      <c r="V124" s="24" t="s">
        <v>748</v>
      </c>
      <c r="W124" s="16"/>
      <c r="X124" s="16"/>
      <c r="Y124" s="16"/>
      <c r="Z124" s="16"/>
      <c r="AA124" s="16"/>
      <c r="AB124" s="16"/>
    </row>
    <row r="125" spans="1:28" ht="15" customHeight="1">
      <c r="A125" s="25"/>
      <c r="B125" s="25"/>
      <c r="C125" s="15" t="s">
        <v>749</v>
      </c>
      <c r="D125" s="16"/>
      <c r="E125" s="17" t="str">
        <f t="shared" si="7"/>
        <v>C</v>
      </c>
      <c r="F125" s="17">
        <v>3</v>
      </c>
      <c r="G125" s="17" t="str">
        <f t="shared" si="8"/>
        <v>C</v>
      </c>
      <c r="H125" s="17">
        <v>3</v>
      </c>
      <c r="I125" s="17" t="str">
        <f t="shared" si="9"/>
        <v>C</v>
      </c>
      <c r="J125" s="18">
        <v>3</v>
      </c>
      <c r="K125" s="17" t="str">
        <f t="shared" si="10"/>
        <v>PC</v>
      </c>
      <c r="L125" s="17">
        <v>1</v>
      </c>
      <c r="M125" s="19" t="s">
        <v>26</v>
      </c>
      <c r="N125" s="17">
        <f t="shared" si="5"/>
        <v>3</v>
      </c>
      <c r="O125" s="19" t="s">
        <v>26</v>
      </c>
      <c r="P125" s="17">
        <f t="shared" si="6"/>
        <v>3</v>
      </c>
      <c r="Q125" s="27"/>
      <c r="R125" s="27"/>
      <c r="S125" s="27"/>
      <c r="T125" s="26" t="s">
        <v>750</v>
      </c>
      <c r="U125" s="23" t="s">
        <v>751</v>
      </c>
      <c r="V125" s="24" t="s">
        <v>752</v>
      </c>
      <c r="W125" s="16"/>
      <c r="X125" s="16"/>
      <c r="Y125" s="16"/>
      <c r="Z125" s="16"/>
      <c r="AA125" s="16"/>
      <c r="AB125" s="16"/>
    </row>
    <row r="126" spans="1:28" ht="45">
      <c r="A126" s="25"/>
      <c r="B126" s="25"/>
      <c r="C126" s="15" t="s">
        <v>753</v>
      </c>
      <c r="D126" s="16"/>
      <c r="E126" s="17" t="str">
        <f t="shared" si="7"/>
        <v>C</v>
      </c>
      <c r="F126" s="17">
        <v>3</v>
      </c>
      <c r="G126" s="17" t="str">
        <f t="shared" si="8"/>
        <v>C</v>
      </c>
      <c r="H126" s="17">
        <v>3</v>
      </c>
      <c r="I126" s="17" t="str">
        <f t="shared" si="9"/>
        <v>C</v>
      </c>
      <c r="J126" s="18">
        <v>3</v>
      </c>
      <c r="K126" s="17" t="str">
        <f t="shared" si="10"/>
        <v>PC</v>
      </c>
      <c r="L126" s="17">
        <v>1</v>
      </c>
      <c r="M126" s="19" t="s">
        <v>26</v>
      </c>
      <c r="N126" s="17">
        <f t="shared" si="5"/>
        <v>3</v>
      </c>
      <c r="O126" s="19" t="s">
        <v>26</v>
      </c>
      <c r="P126" s="17">
        <f t="shared" si="6"/>
        <v>3</v>
      </c>
      <c r="Q126" s="21" t="s">
        <v>754</v>
      </c>
      <c r="R126" s="21" t="s">
        <v>755</v>
      </c>
      <c r="S126" s="21" t="s">
        <v>756</v>
      </c>
      <c r="T126" s="21" t="s">
        <v>757</v>
      </c>
      <c r="U126" s="23" t="s">
        <v>758</v>
      </c>
      <c r="V126" s="24" t="s">
        <v>759</v>
      </c>
      <c r="W126" s="16"/>
      <c r="X126" s="16"/>
      <c r="Y126" s="16"/>
      <c r="Z126" s="16"/>
      <c r="AA126" s="16"/>
      <c r="AB126" s="16"/>
    </row>
    <row r="127" spans="1:28" ht="30" customHeight="1">
      <c r="A127" s="25"/>
      <c r="B127" s="25"/>
      <c r="C127" s="15" t="s">
        <v>760</v>
      </c>
      <c r="D127" s="16"/>
      <c r="E127" s="17" t="str">
        <f t="shared" si="7"/>
        <v>NC</v>
      </c>
      <c r="F127" s="17">
        <v>0</v>
      </c>
      <c r="G127" s="17" t="str">
        <f t="shared" si="8"/>
        <v>C</v>
      </c>
      <c r="H127" s="17">
        <v>3</v>
      </c>
      <c r="I127" s="17" t="str">
        <f t="shared" si="9"/>
        <v>PC</v>
      </c>
      <c r="J127" s="18">
        <v>1</v>
      </c>
      <c r="K127" s="17" t="str">
        <f t="shared" si="10"/>
        <v>NC</v>
      </c>
      <c r="L127" s="17">
        <v>0</v>
      </c>
      <c r="M127" s="19" t="s">
        <v>26</v>
      </c>
      <c r="N127" s="17">
        <f t="shared" si="5"/>
        <v>3</v>
      </c>
      <c r="O127" s="19" t="s">
        <v>26</v>
      </c>
      <c r="P127" s="17">
        <f t="shared" si="6"/>
        <v>3</v>
      </c>
      <c r="Q127" s="21" t="s">
        <v>761</v>
      </c>
      <c r="R127" s="21" t="s">
        <v>762</v>
      </c>
      <c r="S127" s="21" t="s">
        <v>763</v>
      </c>
      <c r="T127" s="21" t="s">
        <v>764</v>
      </c>
      <c r="U127" s="23" t="s">
        <v>765</v>
      </c>
      <c r="V127" s="24" t="s">
        <v>766</v>
      </c>
      <c r="W127" s="16"/>
      <c r="X127" s="16"/>
      <c r="Y127" s="16"/>
      <c r="Z127" s="16"/>
      <c r="AA127" s="16"/>
      <c r="AB127" s="16"/>
    </row>
    <row r="128" spans="1:28" ht="57.6">
      <c r="A128" s="13">
        <v>9</v>
      </c>
      <c r="B128" s="14" t="s">
        <v>767</v>
      </c>
      <c r="C128" s="15" t="s">
        <v>768</v>
      </c>
      <c r="D128" s="16">
        <v>0.06</v>
      </c>
      <c r="E128" s="17" t="str">
        <f t="shared" si="7"/>
        <v>C</v>
      </c>
      <c r="F128" s="17">
        <v>3</v>
      </c>
      <c r="G128" s="17" t="str">
        <f t="shared" si="8"/>
        <v>C</v>
      </c>
      <c r="H128" s="17">
        <v>3</v>
      </c>
      <c r="I128" s="17" t="str">
        <f t="shared" si="9"/>
        <v>C</v>
      </c>
      <c r="J128" s="18">
        <v>3</v>
      </c>
      <c r="K128" s="17" t="str">
        <f t="shared" si="10"/>
        <v>C</v>
      </c>
      <c r="L128" s="17">
        <v>3</v>
      </c>
      <c r="M128" s="19" t="s">
        <v>26</v>
      </c>
      <c r="N128" s="17">
        <f t="shared" si="5"/>
        <v>3</v>
      </c>
      <c r="O128" s="19" t="s">
        <v>26</v>
      </c>
      <c r="P128" s="17">
        <f t="shared" si="6"/>
        <v>3</v>
      </c>
      <c r="Q128" s="21" t="s">
        <v>769</v>
      </c>
      <c r="R128" s="21" t="s">
        <v>770</v>
      </c>
      <c r="S128" s="21" t="s">
        <v>771</v>
      </c>
      <c r="T128" s="21" t="s">
        <v>772</v>
      </c>
      <c r="U128" s="23" t="s">
        <v>773</v>
      </c>
      <c r="V128" s="24" t="s">
        <v>774</v>
      </c>
      <c r="W128" s="16">
        <f>AVERAGE(F128:F140)*$D128/3</f>
        <v>5.3846153846153849E-2</v>
      </c>
      <c r="X128" s="16">
        <f>AVERAGE(H128:H140)*$D128/3</f>
        <v>0.06</v>
      </c>
      <c r="Y128" s="16">
        <f>AVERAGE(J128:J140)*$D128/3</f>
        <v>0.06</v>
      </c>
      <c r="Z128" s="16">
        <f>AVERAGE(L128:L140)*$D128/3</f>
        <v>5.0769230769230761E-2</v>
      </c>
      <c r="AA128" s="16">
        <f>AVERAGE(N128:N140)*$D128/3</f>
        <v>0.06</v>
      </c>
      <c r="AB128" s="16">
        <f>AVERAGE(P128:P140)*$D128/3</f>
        <v>0.06</v>
      </c>
    </row>
    <row r="129" spans="1:28" ht="30">
      <c r="A129" s="25"/>
      <c r="B129" s="25"/>
      <c r="C129" s="15" t="s">
        <v>775</v>
      </c>
      <c r="D129" s="16"/>
      <c r="E129" s="17" t="str">
        <f t="shared" si="7"/>
        <v>C</v>
      </c>
      <c r="F129" s="17">
        <v>3</v>
      </c>
      <c r="G129" s="17" t="str">
        <f t="shared" si="8"/>
        <v>C</v>
      </c>
      <c r="H129" s="17">
        <v>3</v>
      </c>
      <c r="I129" s="17" t="str">
        <f t="shared" si="9"/>
        <v>C</v>
      </c>
      <c r="J129" s="18">
        <v>3</v>
      </c>
      <c r="K129" s="17" t="str">
        <f t="shared" si="10"/>
        <v>C</v>
      </c>
      <c r="L129" s="17">
        <v>3</v>
      </c>
      <c r="M129" s="19" t="s">
        <v>26</v>
      </c>
      <c r="N129" s="17">
        <f t="shared" si="5"/>
        <v>3</v>
      </c>
      <c r="O129" s="19" t="s">
        <v>26</v>
      </c>
      <c r="P129" s="17">
        <f t="shared" si="6"/>
        <v>3</v>
      </c>
      <c r="Q129" s="21" t="s">
        <v>776</v>
      </c>
      <c r="R129" s="21" t="s">
        <v>777</v>
      </c>
      <c r="S129" s="21" t="s">
        <v>778</v>
      </c>
      <c r="T129" s="21" t="s">
        <v>779</v>
      </c>
      <c r="U129" s="23" t="s">
        <v>780</v>
      </c>
      <c r="V129" s="24" t="s">
        <v>781</v>
      </c>
      <c r="W129" s="16"/>
      <c r="X129" s="16"/>
      <c r="Y129" s="16"/>
      <c r="Z129" s="16"/>
      <c r="AA129" s="16"/>
      <c r="AB129" s="16"/>
    </row>
    <row r="130" spans="1:28" ht="30" customHeight="1">
      <c r="A130" s="25"/>
      <c r="B130" s="25"/>
      <c r="C130" s="15" t="s">
        <v>782</v>
      </c>
      <c r="D130" s="16"/>
      <c r="E130" s="17" t="str">
        <f t="shared" si="7"/>
        <v>C</v>
      </c>
      <c r="F130" s="17">
        <v>3</v>
      </c>
      <c r="G130" s="17" t="str">
        <f t="shared" si="8"/>
        <v>C</v>
      </c>
      <c r="H130" s="17">
        <v>3</v>
      </c>
      <c r="I130" s="17" t="str">
        <f t="shared" si="9"/>
        <v>C</v>
      </c>
      <c r="J130" s="18">
        <v>3</v>
      </c>
      <c r="K130" s="17" t="str">
        <f t="shared" si="10"/>
        <v>C</v>
      </c>
      <c r="L130" s="17">
        <v>3</v>
      </c>
      <c r="M130" s="19" t="s">
        <v>26</v>
      </c>
      <c r="N130" s="17">
        <f t="shared" si="5"/>
        <v>3</v>
      </c>
      <c r="O130" s="19" t="s">
        <v>26</v>
      </c>
      <c r="P130" s="17">
        <f t="shared" si="6"/>
        <v>3</v>
      </c>
      <c r="Q130" s="21" t="s">
        <v>783</v>
      </c>
      <c r="R130" s="21" t="s">
        <v>784</v>
      </c>
      <c r="S130" s="27" t="s">
        <v>778</v>
      </c>
      <c r="T130" s="21" t="s">
        <v>785</v>
      </c>
      <c r="U130" s="23" t="s">
        <v>786</v>
      </c>
      <c r="V130" s="24" t="s">
        <v>787</v>
      </c>
      <c r="W130" s="16"/>
      <c r="X130" s="16"/>
      <c r="Y130" s="16"/>
      <c r="Z130" s="16"/>
      <c r="AA130" s="16"/>
      <c r="AB130" s="16"/>
    </row>
    <row r="131" spans="1:28" ht="30" customHeight="1">
      <c r="A131" s="25"/>
      <c r="B131" s="25"/>
      <c r="C131" s="15" t="s">
        <v>788</v>
      </c>
      <c r="D131" s="16"/>
      <c r="E131" s="17" t="str">
        <f t="shared" si="7"/>
        <v>C</v>
      </c>
      <c r="F131" s="17">
        <v>3</v>
      </c>
      <c r="G131" s="17" t="str">
        <f t="shared" si="8"/>
        <v>C</v>
      </c>
      <c r="H131" s="17">
        <v>3</v>
      </c>
      <c r="I131" s="17" t="str">
        <f t="shared" si="9"/>
        <v>C</v>
      </c>
      <c r="J131" s="18">
        <v>3</v>
      </c>
      <c r="K131" s="17" t="str">
        <f t="shared" si="10"/>
        <v>C</v>
      </c>
      <c r="L131" s="17">
        <v>3</v>
      </c>
      <c r="M131" s="19" t="s">
        <v>26</v>
      </c>
      <c r="N131" s="17">
        <f t="shared" ref="N131:N193" si="11">IF(M131="C",3,IF(M131="PC",1,IF(M131="NC",0,"")))</f>
        <v>3</v>
      </c>
      <c r="O131" s="19" t="s">
        <v>26</v>
      </c>
      <c r="P131" s="17">
        <f t="shared" ref="P131:P193" si="12">IF(O131="C",3,IF(O131="PC",1,IF(O131="NC",0,"")))</f>
        <v>3</v>
      </c>
      <c r="Q131" s="21" t="s">
        <v>789</v>
      </c>
      <c r="R131" s="21" t="s">
        <v>790</v>
      </c>
      <c r="S131" s="27"/>
      <c r="T131" s="21" t="s">
        <v>791</v>
      </c>
      <c r="U131" s="23" t="s">
        <v>792</v>
      </c>
      <c r="V131" s="24" t="s">
        <v>793</v>
      </c>
      <c r="W131" s="16"/>
      <c r="X131" s="16"/>
      <c r="Y131" s="16"/>
      <c r="Z131" s="16"/>
      <c r="AA131" s="16"/>
      <c r="AB131" s="16"/>
    </row>
    <row r="132" spans="1:28" ht="31.2">
      <c r="A132" s="25"/>
      <c r="B132" s="25"/>
      <c r="C132" s="15" t="s">
        <v>794</v>
      </c>
      <c r="D132" s="16"/>
      <c r="E132" s="17" t="str">
        <f t="shared" ref="E132:E193" si="13">IF(F132=3,"C",IF(F132=1,"PC",IF(F132=0,"NC","")))</f>
        <v>PC</v>
      </c>
      <c r="F132" s="17">
        <v>1</v>
      </c>
      <c r="G132" s="17" t="str">
        <f t="shared" ref="G132:G193" si="14">IF(H132=3,"C",IF(H132=1,"PC",IF(H132=0,"NC","")))</f>
        <v>C</v>
      </c>
      <c r="H132" s="17">
        <v>3</v>
      </c>
      <c r="I132" s="17" t="str">
        <f t="shared" ref="I132:I193" si="15">IF(J132=3,"C",IF(J132=1,"PC",IF(J132=0,"NC","")))</f>
        <v>C</v>
      </c>
      <c r="J132" s="18">
        <v>3</v>
      </c>
      <c r="K132" s="17" t="str">
        <f t="shared" ref="K132:K193" si="16">IF(L132=3,"C",IF(L132=1,"PC",IF(L132=0,"NC","")))</f>
        <v>C</v>
      </c>
      <c r="L132" s="17">
        <v>3</v>
      </c>
      <c r="M132" s="19" t="s">
        <v>26</v>
      </c>
      <c r="N132" s="17">
        <f t="shared" si="11"/>
        <v>3</v>
      </c>
      <c r="O132" s="19" t="s">
        <v>26</v>
      </c>
      <c r="P132" s="17">
        <f t="shared" si="12"/>
        <v>3</v>
      </c>
      <c r="Q132" s="21" t="s">
        <v>795</v>
      </c>
      <c r="R132" s="21" t="s">
        <v>796</v>
      </c>
      <c r="S132" s="21" t="s">
        <v>797</v>
      </c>
      <c r="T132" s="21" t="s">
        <v>798</v>
      </c>
      <c r="U132" s="23" t="s">
        <v>799</v>
      </c>
      <c r="V132" s="24" t="s">
        <v>800</v>
      </c>
      <c r="W132" s="16"/>
      <c r="X132" s="16"/>
      <c r="Y132" s="16"/>
      <c r="Z132" s="16"/>
      <c r="AA132" s="16"/>
      <c r="AB132" s="16"/>
    </row>
    <row r="133" spans="1:28" ht="43.2">
      <c r="A133" s="25"/>
      <c r="B133" s="25"/>
      <c r="C133" s="15" t="s">
        <v>801</v>
      </c>
      <c r="D133" s="16"/>
      <c r="E133" s="17" t="str">
        <f t="shared" si="13"/>
        <v>C</v>
      </c>
      <c r="F133" s="17">
        <v>3</v>
      </c>
      <c r="G133" s="17" t="str">
        <f t="shared" si="14"/>
        <v>C</v>
      </c>
      <c r="H133" s="17">
        <v>3</v>
      </c>
      <c r="I133" s="17" t="str">
        <f t="shared" si="15"/>
        <v>C</v>
      </c>
      <c r="J133" s="18">
        <v>3</v>
      </c>
      <c r="K133" s="17" t="str">
        <f t="shared" si="16"/>
        <v>C</v>
      </c>
      <c r="L133" s="17">
        <v>3</v>
      </c>
      <c r="M133" s="19" t="s">
        <v>26</v>
      </c>
      <c r="N133" s="17">
        <f t="shared" si="11"/>
        <v>3</v>
      </c>
      <c r="O133" s="19" t="s">
        <v>26</v>
      </c>
      <c r="P133" s="17">
        <f t="shared" si="12"/>
        <v>3</v>
      </c>
      <c r="Q133" s="21" t="s">
        <v>802</v>
      </c>
      <c r="R133" s="21" t="s">
        <v>803</v>
      </c>
      <c r="S133" s="21" t="s">
        <v>778</v>
      </c>
      <c r="T133" s="21" t="s">
        <v>804</v>
      </c>
      <c r="U133" s="23" t="s">
        <v>805</v>
      </c>
      <c r="V133" s="24" t="s">
        <v>806</v>
      </c>
      <c r="W133" s="16"/>
      <c r="X133" s="16"/>
      <c r="Y133" s="16"/>
      <c r="Z133" s="16"/>
      <c r="AA133" s="16"/>
      <c r="AB133" s="16"/>
    </row>
    <row r="134" spans="1:28" ht="60">
      <c r="A134" s="25"/>
      <c r="B134" s="25"/>
      <c r="C134" s="15" t="s">
        <v>807</v>
      </c>
      <c r="D134" s="16"/>
      <c r="E134" s="17" t="str">
        <f t="shared" si="13"/>
        <v>PC</v>
      </c>
      <c r="F134" s="17">
        <v>1</v>
      </c>
      <c r="G134" s="17" t="str">
        <f t="shared" si="14"/>
        <v>C</v>
      </c>
      <c r="H134" s="17">
        <v>3</v>
      </c>
      <c r="I134" s="17" t="str">
        <f t="shared" si="15"/>
        <v>C</v>
      </c>
      <c r="J134" s="18">
        <v>3</v>
      </c>
      <c r="K134" s="17" t="str">
        <f t="shared" si="16"/>
        <v>C</v>
      </c>
      <c r="L134" s="17">
        <v>3</v>
      </c>
      <c r="M134" s="19" t="s">
        <v>26</v>
      </c>
      <c r="N134" s="17">
        <f t="shared" si="11"/>
        <v>3</v>
      </c>
      <c r="O134" s="19" t="s">
        <v>26</v>
      </c>
      <c r="P134" s="17">
        <f t="shared" si="12"/>
        <v>3</v>
      </c>
      <c r="Q134" s="21" t="s">
        <v>808</v>
      </c>
      <c r="R134" s="21" t="s">
        <v>809</v>
      </c>
      <c r="S134" s="21" t="s">
        <v>797</v>
      </c>
      <c r="T134" s="21" t="s">
        <v>810</v>
      </c>
      <c r="U134" s="23" t="s">
        <v>811</v>
      </c>
      <c r="V134" s="24" t="s">
        <v>812</v>
      </c>
      <c r="W134" s="16"/>
      <c r="X134" s="16"/>
      <c r="Y134" s="16"/>
      <c r="Z134" s="16"/>
      <c r="AA134" s="16"/>
      <c r="AB134" s="16"/>
    </row>
    <row r="135" spans="1:28" ht="45">
      <c r="A135" s="25"/>
      <c r="B135" s="25"/>
      <c r="C135" s="15" t="s">
        <v>813</v>
      </c>
      <c r="D135" s="16"/>
      <c r="E135" s="17" t="str">
        <f t="shared" si="13"/>
        <v>C</v>
      </c>
      <c r="F135" s="17">
        <v>3</v>
      </c>
      <c r="G135" s="17" t="str">
        <f t="shared" si="14"/>
        <v>C</v>
      </c>
      <c r="H135" s="17">
        <v>3</v>
      </c>
      <c r="I135" s="17" t="str">
        <f t="shared" si="15"/>
        <v>C</v>
      </c>
      <c r="J135" s="18">
        <v>3</v>
      </c>
      <c r="K135" s="17" t="str">
        <f t="shared" si="16"/>
        <v>PC</v>
      </c>
      <c r="L135" s="17">
        <v>1</v>
      </c>
      <c r="M135" s="19" t="s">
        <v>26</v>
      </c>
      <c r="N135" s="17">
        <f t="shared" si="11"/>
        <v>3</v>
      </c>
      <c r="O135" s="19" t="s">
        <v>26</v>
      </c>
      <c r="P135" s="17">
        <f t="shared" si="12"/>
        <v>3</v>
      </c>
      <c r="Q135" s="21" t="s">
        <v>268</v>
      </c>
      <c r="R135" s="21" t="s">
        <v>814</v>
      </c>
      <c r="S135" s="21" t="s">
        <v>778</v>
      </c>
      <c r="T135" s="21" t="s">
        <v>815</v>
      </c>
      <c r="U135" s="23" t="s">
        <v>816</v>
      </c>
      <c r="V135" s="24" t="s">
        <v>817</v>
      </c>
      <c r="W135" s="16"/>
      <c r="X135" s="16"/>
      <c r="Y135" s="16"/>
      <c r="Z135" s="16"/>
      <c r="AA135" s="16"/>
      <c r="AB135" s="16"/>
    </row>
    <row r="136" spans="1:28" ht="45">
      <c r="A136" s="25"/>
      <c r="B136" s="25"/>
      <c r="C136" s="15" t="s">
        <v>818</v>
      </c>
      <c r="D136" s="16"/>
      <c r="E136" s="17" t="str">
        <f t="shared" si="13"/>
        <v>C</v>
      </c>
      <c r="F136" s="17">
        <v>3</v>
      </c>
      <c r="G136" s="17" t="str">
        <f t="shared" si="14"/>
        <v>C</v>
      </c>
      <c r="H136" s="17">
        <v>3</v>
      </c>
      <c r="I136" s="17" t="str">
        <f t="shared" si="15"/>
        <v>C</v>
      </c>
      <c r="J136" s="18">
        <v>3</v>
      </c>
      <c r="K136" s="17" t="str">
        <f t="shared" si="16"/>
        <v>C</v>
      </c>
      <c r="L136" s="17">
        <v>3</v>
      </c>
      <c r="M136" s="19" t="s">
        <v>26</v>
      </c>
      <c r="N136" s="17">
        <f t="shared" si="11"/>
        <v>3</v>
      </c>
      <c r="O136" s="19" t="s">
        <v>26</v>
      </c>
      <c r="P136" s="17">
        <f t="shared" si="12"/>
        <v>3</v>
      </c>
      <c r="Q136" s="21" t="s">
        <v>819</v>
      </c>
      <c r="R136" s="21" t="s">
        <v>820</v>
      </c>
      <c r="S136" s="21" t="s">
        <v>778</v>
      </c>
      <c r="T136" s="21" t="s">
        <v>821</v>
      </c>
      <c r="U136" s="23" t="s">
        <v>822</v>
      </c>
      <c r="V136" s="24" t="s">
        <v>823</v>
      </c>
      <c r="W136" s="16"/>
      <c r="X136" s="16"/>
      <c r="Y136" s="16"/>
      <c r="Z136" s="16"/>
      <c r="AA136" s="16"/>
      <c r="AB136" s="16"/>
    </row>
    <row r="137" spans="1:28" ht="43.2">
      <c r="A137" s="25"/>
      <c r="B137" s="25"/>
      <c r="C137" s="15" t="s">
        <v>824</v>
      </c>
      <c r="D137" s="16"/>
      <c r="E137" s="17" t="str">
        <f t="shared" si="13"/>
        <v>C</v>
      </c>
      <c r="F137" s="17">
        <v>3</v>
      </c>
      <c r="G137" s="17" t="str">
        <f t="shared" si="14"/>
        <v>C</v>
      </c>
      <c r="H137" s="17">
        <v>3</v>
      </c>
      <c r="I137" s="17" t="str">
        <f t="shared" si="15"/>
        <v>C</v>
      </c>
      <c r="J137" s="18">
        <v>3</v>
      </c>
      <c r="K137" s="17" t="str">
        <f t="shared" si="16"/>
        <v>PC</v>
      </c>
      <c r="L137" s="17">
        <v>1</v>
      </c>
      <c r="M137" s="19" t="s">
        <v>26</v>
      </c>
      <c r="N137" s="17">
        <f t="shared" si="11"/>
        <v>3</v>
      </c>
      <c r="O137" s="19" t="s">
        <v>26</v>
      </c>
      <c r="P137" s="17">
        <f t="shared" si="12"/>
        <v>3</v>
      </c>
      <c r="Q137" s="21" t="s">
        <v>825</v>
      </c>
      <c r="R137" s="21" t="s">
        <v>826</v>
      </c>
      <c r="S137" s="21" t="s">
        <v>778</v>
      </c>
      <c r="T137" s="21" t="s">
        <v>827</v>
      </c>
      <c r="U137" s="23" t="s">
        <v>828</v>
      </c>
      <c r="V137" s="24" t="s">
        <v>829</v>
      </c>
      <c r="W137" s="16"/>
      <c r="X137" s="16"/>
      <c r="Y137" s="16"/>
      <c r="Z137" s="16"/>
      <c r="AA137" s="16"/>
      <c r="AB137" s="16"/>
    </row>
    <row r="138" spans="1:28" ht="43.2">
      <c r="A138" s="25"/>
      <c r="B138" s="25"/>
      <c r="C138" s="15" t="s">
        <v>830</v>
      </c>
      <c r="D138" s="16"/>
      <c r="E138" s="17" t="str">
        <f t="shared" si="13"/>
        <v>C</v>
      </c>
      <c r="F138" s="17">
        <v>3</v>
      </c>
      <c r="G138" s="17" t="str">
        <f t="shared" si="14"/>
        <v>C</v>
      </c>
      <c r="H138" s="17">
        <v>3</v>
      </c>
      <c r="I138" s="17" t="str">
        <f t="shared" si="15"/>
        <v>C</v>
      </c>
      <c r="J138" s="18">
        <v>3</v>
      </c>
      <c r="K138" s="17" t="str">
        <f t="shared" si="16"/>
        <v>C</v>
      </c>
      <c r="L138" s="17">
        <v>3</v>
      </c>
      <c r="M138" s="19" t="s">
        <v>26</v>
      </c>
      <c r="N138" s="17">
        <f t="shared" si="11"/>
        <v>3</v>
      </c>
      <c r="O138" s="19" t="s">
        <v>26</v>
      </c>
      <c r="P138" s="17">
        <f t="shared" si="12"/>
        <v>3</v>
      </c>
      <c r="Q138" s="21" t="s">
        <v>831</v>
      </c>
      <c r="R138" s="21" t="s">
        <v>832</v>
      </c>
      <c r="S138" s="21" t="s">
        <v>778</v>
      </c>
      <c r="T138" s="21" t="s">
        <v>833</v>
      </c>
      <c r="U138" s="23" t="s">
        <v>834</v>
      </c>
      <c r="V138" s="24" t="s">
        <v>835</v>
      </c>
      <c r="W138" s="16"/>
      <c r="X138" s="16"/>
      <c r="Y138" s="16"/>
      <c r="Z138" s="16"/>
      <c r="AA138" s="16"/>
      <c r="AB138" s="16"/>
    </row>
    <row r="139" spans="1:28" ht="28.8">
      <c r="A139" s="25"/>
      <c r="B139" s="25"/>
      <c r="C139" s="15" t="s">
        <v>836</v>
      </c>
      <c r="D139" s="16"/>
      <c r="E139" s="17" t="str">
        <f t="shared" si="13"/>
        <v>C</v>
      </c>
      <c r="F139" s="17">
        <v>3</v>
      </c>
      <c r="G139" s="17" t="str">
        <f t="shared" si="14"/>
        <v>C</v>
      </c>
      <c r="H139" s="17">
        <v>3</v>
      </c>
      <c r="I139" s="17" t="str">
        <f t="shared" si="15"/>
        <v>C</v>
      </c>
      <c r="J139" s="18">
        <v>3</v>
      </c>
      <c r="K139" s="17" t="str">
        <f t="shared" si="16"/>
        <v>C</v>
      </c>
      <c r="L139" s="17">
        <v>3</v>
      </c>
      <c r="M139" s="19" t="s">
        <v>26</v>
      </c>
      <c r="N139" s="17">
        <f t="shared" si="11"/>
        <v>3</v>
      </c>
      <c r="O139" s="19" t="s">
        <v>26</v>
      </c>
      <c r="P139" s="17">
        <f t="shared" si="12"/>
        <v>3</v>
      </c>
      <c r="Q139" s="21" t="s">
        <v>837</v>
      </c>
      <c r="R139" s="21" t="s">
        <v>838</v>
      </c>
      <c r="S139" s="21" t="s">
        <v>778</v>
      </c>
      <c r="T139" s="21" t="s">
        <v>839</v>
      </c>
      <c r="U139" s="23" t="s">
        <v>840</v>
      </c>
      <c r="V139" s="24" t="s">
        <v>840</v>
      </c>
      <c r="W139" s="16"/>
      <c r="X139" s="16"/>
      <c r="Y139" s="16"/>
      <c r="Z139" s="16"/>
      <c r="AA139" s="16"/>
      <c r="AB139" s="16"/>
    </row>
    <row r="140" spans="1:28" ht="43.2">
      <c r="A140" s="25"/>
      <c r="B140" s="25"/>
      <c r="C140" s="15" t="s">
        <v>841</v>
      </c>
      <c r="D140" s="16"/>
      <c r="E140" s="17" t="str">
        <f t="shared" si="13"/>
        <v>C</v>
      </c>
      <c r="F140" s="17">
        <v>3</v>
      </c>
      <c r="G140" s="17" t="str">
        <f t="shared" si="14"/>
        <v>C</v>
      </c>
      <c r="H140" s="17">
        <v>3</v>
      </c>
      <c r="I140" s="17" t="str">
        <f t="shared" si="15"/>
        <v>C</v>
      </c>
      <c r="J140" s="18">
        <v>3</v>
      </c>
      <c r="K140" s="17" t="str">
        <f t="shared" si="16"/>
        <v>PC</v>
      </c>
      <c r="L140" s="17">
        <v>1</v>
      </c>
      <c r="M140" s="19" t="s">
        <v>26</v>
      </c>
      <c r="N140" s="17">
        <f t="shared" si="11"/>
        <v>3</v>
      </c>
      <c r="O140" s="19" t="s">
        <v>26</v>
      </c>
      <c r="P140" s="17">
        <f t="shared" si="12"/>
        <v>3</v>
      </c>
      <c r="Q140" s="21" t="s">
        <v>842</v>
      </c>
      <c r="R140" s="21" t="s">
        <v>843</v>
      </c>
      <c r="S140" s="21" t="s">
        <v>778</v>
      </c>
      <c r="T140" s="21" t="s">
        <v>844</v>
      </c>
      <c r="U140" s="23" t="s">
        <v>845</v>
      </c>
      <c r="V140" s="24" t="s">
        <v>846</v>
      </c>
      <c r="W140" s="16"/>
      <c r="X140" s="16"/>
      <c r="Y140" s="16"/>
      <c r="Z140" s="16"/>
      <c r="AA140" s="16"/>
      <c r="AB140" s="16"/>
    </row>
    <row r="141" spans="1:28" ht="15.6">
      <c r="A141" s="13">
        <v>10</v>
      </c>
      <c r="B141" s="14" t="s">
        <v>847</v>
      </c>
      <c r="C141" s="15" t="s">
        <v>848</v>
      </c>
      <c r="D141" s="16">
        <v>0.14000000000000001</v>
      </c>
      <c r="E141" s="17" t="str">
        <f t="shared" si="13"/>
        <v>C</v>
      </c>
      <c r="F141" s="17">
        <v>3</v>
      </c>
      <c r="G141" s="17" t="str">
        <f t="shared" si="14"/>
        <v>C</v>
      </c>
      <c r="H141" s="17">
        <v>3</v>
      </c>
      <c r="I141" s="17" t="str">
        <f t="shared" si="15"/>
        <v>C</v>
      </c>
      <c r="J141" s="18">
        <v>3</v>
      </c>
      <c r="K141" s="17" t="str">
        <f t="shared" si="16"/>
        <v>C</v>
      </c>
      <c r="L141" s="17">
        <v>3</v>
      </c>
      <c r="M141" s="19" t="s">
        <v>26</v>
      </c>
      <c r="N141" s="17">
        <f t="shared" si="11"/>
        <v>3</v>
      </c>
      <c r="O141" s="19" t="s">
        <v>26</v>
      </c>
      <c r="P141" s="17">
        <f t="shared" si="12"/>
        <v>3</v>
      </c>
      <c r="Q141" s="27" t="s">
        <v>849</v>
      </c>
      <c r="R141" s="27"/>
      <c r="S141" s="27"/>
      <c r="T141" s="27"/>
      <c r="U141" s="23" t="s">
        <v>850</v>
      </c>
      <c r="V141" s="24" t="s">
        <v>851</v>
      </c>
      <c r="W141" s="16">
        <f>AVERAGE(F141:F163)*$D141/3</f>
        <v>0.12985507246376812</v>
      </c>
      <c r="X141" s="16">
        <f>AVERAGE(H141:H163)*$D141/3</f>
        <v>0.10347826086956523</v>
      </c>
      <c r="Y141" s="16">
        <f>AVERAGE(J141:J163)*$D141/3</f>
        <v>0.12782608695652176</v>
      </c>
      <c r="Z141" s="16">
        <f>AVERAGE(L141:L163)*$D141/3</f>
        <v>8.3188405797101447E-2</v>
      </c>
      <c r="AA141" s="16">
        <f>AVERAGE(N141:N163)*$D141/3</f>
        <v>0.14000000000000001</v>
      </c>
      <c r="AB141" s="16">
        <f>AVERAGE(P141:P163)*$D141/3</f>
        <v>0.14000000000000001</v>
      </c>
    </row>
    <row r="142" spans="1:28" ht="15.6">
      <c r="A142" s="25"/>
      <c r="B142" s="25"/>
      <c r="C142" s="15" t="s">
        <v>852</v>
      </c>
      <c r="D142" s="16"/>
      <c r="E142" s="17" t="str">
        <f t="shared" si="13"/>
        <v>C</v>
      </c>
      <c r="F142" s="17">
        <v>3</v>
      </c>
      <c r="G142" s="17" t="str">
        <f t="shared" si="14"/>
        <v>C</v>
      </c>
      <c r="H142" s="17">
        <v>3</v>
      </c>
      <c r="I142" s="17" t="str">
        <f t="shared" si="15"/>
        <v>C</v>
      </c>
      <c r="J142" s="18">
        <v>3</v>
      </c>
      <c r="K142" s="17" t="str">
        <f t="shared" si="16"/>
        <v>C</v>
      </c>
      <c r="L142" s="17">
        <v>3</v>
      </c>
      <c r="M142" s="19" t="s">
        <v>26</v>
      </c>
      <c r="N142" s="17">
        <f t="shared" si="11"/>
        <v>3</v>
      </c>
      <c r="O142" s="19" t="s">
        <v>26</v>
      </c>
      <c r="P142" s="17">
        <f t="shared" si="12"/>
        <v>3</v>
      </c>
      <c r="Q142" s="27"/>
      <c r="R142" s="27"/>
      <c r="S142" s="27"/>
      <c r="T142" s="27"/>
      <c r="U142" s="23" t="s">
        <v>853</v>
      </c>
      <c r="V142" s="24" t="s">
        <v>854</v>
      </c>
      <c r="W142" s="16"/>
      <c r="X142" s="16"/>
      <c r="Y142" s="16"/>
      <c r="Z142" s="16"/>
      <c r="AA142" s="16"/>
      <c r="AB142" s="16"/>
    </row>
    <row r="143" spans="1:28" ht="15.6">
      <c r="A143" s="25"/>
      <c r="B143" s="25"/>
      <c r="C143" s="15" t="s">
        <v>855</v>
      </c>
      <c r="D143" s="16"/>
      <c r="E143" s="17" t="str">
        <f t="shared" si="13"/>
        <v>C</v>
      </c>
      <c r="F143" s="17">
        <v>3</v>
      </c>
      <c r="G143" s="17" t="str">
        <f t="shared" si="14"/>
        <v>C</v>
      </c>
      <c r="H143" s="17">
        <v>3</v>
      </c>
      <c r="I143" s="17" t="str">
        <f t="shared" si="15"/>
        <v>PC</v>
      </c>
      <c r="J143" s="18">
        <v>1</v>
      </c>
      <c r="K143" s="17" t="str">
        <f t="shared" si="16"/>
        <v>C</v>
      </c>
      <c r="L143" s="17">
        <v>3</v>
      </c>
      <c r="M143" s="19" t="s">
        <v>26</v>
      </c>
      <c r="N143" s="17">
        <f t="shared" si="11"/>
        <v>3</v>
      </c>
      <c r="O143" s="19" t="s">
        <v>26</v>
      </c>
      <c r="P143" s="17">
        <f t="shared" si="12"/>
        <v>3</v>
      </c>
      <c r="Q143" s="27"/>
      <c r="R143" s="27"/>
      <c r="S143" s="27"/>
      <c r="T143" s="27"/>
      <c r="U143" s="23" t="s">
        <v>856</v>
      </c>
      <c r="V143" s="24" t="s">
        <v>857</v>
      </c>
      <c r="W143" s="16"/>
      <c r="X143" s="16"/>
      <c r="Y143" s="16"/>
      <c r="Z143" s="16"/>
      <c r="AA143" s="16"/>
      <c r="AB143" s="16"/>
    </row>
    <row r="144" spans="1:28" ht="43.2">
      <c r="A144" s="25"/>
      <c r="B144" s="25"/>
      <c r="C144" s="15" t="s">
        <v>858</v>
      </c>
      <c r="D144" s="16"/>
      <c r="E144" s="17" t="str">
        <f t="shared" si="13"/>
        <v>PC</v>
      </c>
      <c r="F144" s="17">
        <v>1</v>
      </c>
      <c r="G144" s="17" t="str">
        <f t="shared" si="14"/>
        <v>PC</v>
      </c>
      <c r="H144" s="17">
        <v>1</v>
      </c>
      <c r="I144" s="17" t="str">
        <f t="shared" si="15"/>
        <v>PC</v>
      </c>
      <c r="J144" s="18">
        <v>1</v>
      </c>
      <c r="K144" s="17" t="str">
        <f t="shared" si="16"/>
        <v>C</v>
      </c>
      <c r="L144" s="17">
        <v>3</v>
      </c>
      <c r="M144" s="19" t="s">
        <v>26</v>
      </c>
      <c r="N144" s="17">
        <f t="shared" si="11"/>
        <v>3</v>
      </c>
      <c r="O144" s="19" t="s">
        <v>26</v>
      </c>
      <c r="P144" s="17">
        <f t="shared" si="12"/>
        <v>3</v>
      </c>
      <c r="Q144" s="21" t="s">
        <v>859</v>
      </c>
      <c r="R144" s="21" t="s">
        <v>860</v>
      </c>
      <c r="S144" s="21" t="s">
        <v>861</v>
      </c>
      <c r="T144" s="21" t="s">
        <v>862</v>
      </c>
      <c r="U144" s="23" t="s">
        <v>863</v>
      </c>
      <c r="V144" s="24" t="s">
        <v>864</v>
      </c>
      <c r="W144" s="16"/>
      <c r="X144" s="16"/>
      <c r="Y144" s="16"/>
      <c r="Z144" s="16"/>
      <c r="AA144" s="16"/>
      <c r="AB144" s="16"/>
    </row>
    <row r="145" spans="1:28" ht="43.2">
      <c r="A145" s="25"/>
      <c r="B145" s="25"/>
      <c r="C145" s="15" t="s">
        <v>865</v>
      </c>
      <c r="D145" s="16"/>
      <c r="E145" s="17" t="str">
        <f t="shared" si="13"/>
        <v>C</v>
      </c>
      <c r="F145" s="17">
        <v>3</v>
      </c>
      <c r="G145" s="17" t="str">
        <f t="shared" si="14"/>
        <v>C</v>
      </c>
      <c r="H145" s="17">
        <v>3</v>
      </c>
      <c r="I145" s="17" t="str">
        <f t="shared" si="15"/>
        <v>C</v>
      </c>
      <c r="J145" s="18">
        <v>3</v>
      </c>
      <c r="K145" s="17" t="str">
        <f t="shared" si="16"/>
        <v>C</v>
      </c>
      <c r="L145" s="17">
        <v>3</v>
      </c>
      <c r="M145" s="19" t="s">
        <v>26</v>
      </c>
      <c r="N145" s="17">
        <f t="shared" si="11"/>
        <v>3</v>
      </c>
      <c r="O145" s="19" t="s">
        <v>26</v>
      </c>
      <c r="P145" s="17">
        <f t="shared" si="12"/>
        <v>3</v>
      </c>
      <c r="Q145" s="21" t="s">
        <v>866</v>
      </c>
      <c r="R145" s="21" t="s">
        <v>867</v>
      </c>
      <c r="S145" s="21" t="s">
        <v>868</v>
      </c>
      <c r="T145" s="21" t="s">
        <v>869</v>
      </c>
      <c r="U145" s="23" t="s">
        <v>870</v>
      </c>
      <c r="V145" s="24" t="s">
        <v>871</v>
      </c>
      <c r="W145" s="16"/>
      <c r="X145" s="16"/>
      <c r="Y145" s="16"/>
      <c r="Z145" s="16"/>
      <c r="AA145" s="16"/>
      <c r="AB145" s="16"/>
    </row>
    <row r="146" spans="1:28" ht="28.8">
      <c r="A146" s="25"/>
      <c r="B146" s="25"/>
      <c r="C146" s="15" t="s">
        <v>872</v>
      </c>
      <c r="D146" s="16"/>
      <c r="E146" s="17" t="str">
        <f t="shared" si="13"/>
        <v>C</v>
      </c>
      <c r="F146" s="17">
        <v>3</v>
      </c>
      <c r="G146" s="17" t="str">
        <f t="shared" si="14"/>
        <v>C</v>
      </c>
      <c r="H146" s="17">
        <v>3</v>
      </c>
      <c r="I146" s="17" t="str">
        <f t="shared" si="15"/>
        <v>C</v>
      </c>
      <c r="J146" s="18">
        <v>3</v>
      </c>
      <c r="K146" s="17" t="str">
        <f t="shared" si="16"/>
        <v>C</v>
      </c>
      <c r="L146" s="18">
        <v>3</v>
      </c>
      <c r="M146" s="19" t="s">
        <v>26</v>
      </c>
      <c r="N146" s="17">
        <f t="shared" si="11"/>
        <v>3</v>
      </c>
      <c r="O146" s="19" t="s">
        <v>26</v>
      </c>
      <c r="P146" s="17">
        <f t="shared" si="12"/>
        <v>3</v>
      </c>
      <c r="Q146" s="21" t="s">
        <v>873</v>
      </c>
      <c r="R146" s="21" t="s">
        <v>874</v>
      </c>
      <c r="S146" s="21" t="s">
        <v>875</v>
      </c>
      <c r="T146" s="21" t="s">
        <v>876</v>
      </c>
      <c r="U146" s="23" t="s">
        <v>877</v>
      </c>
      <c r="V146" s="24" t="s">
        <v>878</v>
      </c>
      <c r="W146" s="16"/>
      <c r="X146" s="16"/>
      <c r="Y146" s="16"/>
      <c r="Z146" s="16"/>
      <c r="AA146" s="16"/>
      <c r="AB146" s="16"/>
    </row>
    <row r="147" spans="1:28" ht="43.2">
      <c r="A147" s="25"/>
      <c r="B147" s="25"/>
      <c r="C147" s="15" t="s">
        <v>879</v>
      </c>
      <c r="D147" s="16"/>
      <c r="E147" s="17" t="str">
        <f t="shared" si="13"/>
        <v>C</v>
      </c>
      <c r="F147" s="17">
        <v>3</v>
      </c>
      <c r="G147" s="17" t="str">
        <f t="shared" si="14"/>
        <v>C</v>
      </c>
      <c r="H147" s="17">
        <v>3</v>
      </c>
      <c r="I147" s="17" t="str">
        <f t="shared" si="15"/>
        <v>C</v>
      </c>
      <c r="J147" s="18">
        <v>3</v>
      </c>
      <c r="K147" s="17" t="str">
        <f t="shared" si="16"/>
        <v>PC</v>
      </c>
      <c r="L147" s="18">
        <v>1</v>
      </c>
      <c r="M147" s="19" t="s">
        <v>26</v>
      </c>
      <c r="N147" s="17">
        <f t="shared" si="11"/>
        <v>3</v>
      </c>
      <c r="O147" s="19" t="s">
        <v>26</v>
      </c>
      <c r="P147" s="17">
        <f t="shared" si="12"/>
        <v>3</v>
      </c>
      <c r="Q147" s="21" t="s">
        <v>880</v>
      </c>
      <c r="R147" s="21" t="s">
        <v>881</v>
      </c>
      <c r="S147" s="21" t="s">
        <v>882</v>
      </c>
      <c r="T147" s="21" t="s">
        <v>883</v>
      </c>
      <c r="U147" s="23" t="s">
        <v>884</v>
      </c>
      <c r="V147" s="24" t="s">
        <v>885</v>
      </c>
      <c r="W147" s="16"/>
      <c r="X147" s="16"/>
      <c r="Y147" s="16"/>
      <c r="Z147" s="16"/>
      <c r="AA147" s="16"/>
      <c r="AB147" s="16"/>
    </row>
    <row r="148" spans="1:28" ht="30">
      <c r="A148" s="25"/>
      <c r="B148" s="25"/>
      <c r="C148" s="15" t="s">
        <v>886</v>
      </c>
      <c r="D148" s="16"/>
      <c r="E148" s="17" t="str">
        <f t="shared" si="13"/>
        <v>C</v>
      </c>
      <c r="F148" s="17">
        <v>3</v>
      </c>
      <c r="G148" s="17" t="str">
        <f t="shared" si="14"/>
        <v>C</v>
      </c>
      <c r="H148" s="17">
        <v>3</v>
      </c>
      <c r="I148" s="17" t="str">
        <f t="shared" si="15"/>
        <v>C</v>
      </c>
      <c r="J148" s="18">
        <v>3</v>
      </c>
      <c r="K148" s="17" t="str">
        <f t="shared" si="16"/>
        <v>C</v>
      </c>
      <c r="L148" s="18">
        <v>3</v>
      </c>
      <c r="M148" s="19" t="s">
        <v>26</v>
      </c>
      <c r="N148" s="17">
        <f t="shared" si="11"/>
        <v>3</v>
      </c>
      <c r="O148" s="19" t="s">
        <v>26</v>
      </c>
      <c r="P148" s="17">
        <f t="shared" si="12"/>
        <v>3</v>
      </c>
      <c r="Q148" s="21" t="s">
        <v>887</v>
      </c>
      <c r="R148" s="21" t="s">
        <v>888</v>
      </c>
      <c r="S148" s="21" t="s">
        <v>889</v>
      </c>
      <c r="T148" s="21" t="s">
        <v>890</v>
      </c>
      <c r="U148" s="23" t="s">
        <v>891</v>
      </c>
      <c r="V148" s="24" t="s">
        <v>892</v>
      </c>
      <c r="W148" s="16"/>
      <c r="X148" s="16"/>
      <c r="Y148" s="16"/>
      <c r="Z148" s="16"/>
      <c r="AA148" s="16"/>
      <c r="AB148" s="16"/>
    </row>
    <row r="149" spans="1:28" ht="31.2">
      <c r="A149" s="25"/>
      <c r="B149" s="25"/>
      <c r="C149" s="15" t="s">
        <v>893</v>
      </c>
      <c r="D149" s="16"/>
      <c r="E149" s="17" t="str">
        <f t="shared" si="13"/>
        <v>C</v>
      </c>
      <c r="F149" s="17">
        <v>3</v>
      </c>
      <c r="G149" s="17" t="str">
        <f t="shared" si="14"/>
        <v>PC</v>
      </c>
      <c r="H149" s="17">
        <v>1</v>
      </c>
      <c r="I149" s="17" t="str">
        <f t="shared" si="15"/>
        <v>C</v>
      </c>
      <c r="J149" s="18">
        <v>3</v>
      </c>
      <c r="K149" s="17" t="str">
        <f t="shared" si="16"/>
        <v>PC</v>
      </c>
      <c r="L149" s="17">
        <v>1</v>
      </c>
      <c r="M149" s="19" t="s">
        <v>26</v>
      </c>
      <c r="N149" s="17">
        <f t="shared" si="11"/>
        <v>3</v>
      </c>
      <c r="O149" s="19" t="s">
        <v>26</v>
      </c>
      <c r="P149" s="17">
        <f t="shared" si="12"/>
        <v>3</v>
      </c>
      <c r="Q149" s="21" t="s">
        <v>894</v>
      </c>
      <c r="R149" s="21" t="s">
        <v>895</v>
      </c>
      <c r="S149" s="21" t="s">
        <v>896</v>
      </c>
      <c r="T149" s="21" t="s">
        <v>897</v>
      </c>
      <c r="U149" s="23" t="s">
        <v>898</v>
      </c>
      <c r="V149" s="24" t="s">
        <v>899</v>
      </c>
      <c r="W149" s="16"/>
      <c r="X149" s="16"/>
      <c r="Y149" s="16"/>
      <c r="Z149" s="16"/>
      <c r="AA149" s="16"/>
      <c r="AB149" s="16"/>
    </row>
    <row r="150" spans="1:28" ht="30">
      <c r="A150" s="25"/>
      <c r="B150" s="25"/>
      <c r="C150" s="37" t="s">
        <v>900</v>
      </c>
      <c r="D150" s="16"/>
      <c r="E150" s="17" t="str">
        <f t="shared" si="13"/>
        <v>NC</v>
      </c>
      <c r="F150" s="17">
        <v>0</v>
      </c>
      <c r="G150" s="17" t="str">
        <f t="shared" si="14"/>
        <v>PC</v>
      </c>
      <c r="H150" s="17">
        <v>1</v>
      </c>
      <c r="I150" s="17" t="str">
        <f t="shared" si="15"/>
        <v>C</v>
      </c>
      <c r="J150" s="18">
        <v>3</v>
      </c>
      <c r="K150" s="17" t="str">
        <f t="shared" si="16"/>
        <v>PC</v>
      </c>
      <c r="L150" s="17">
        <v>1</v>
      </c>
      <c r="M150" s="19" t="s">
        <v>26</v>
      </c>
      <c r="N150" s="17">
        <f t="shared" si="11"/>
        <v>3</v>
      </c>
      <c r="O150" s="19" t="s">
        <v>26</v>
      </c>
      <c r="P150" s="17">
        <f t="shared" si="12"/>
        <v>3</v>
      </c>
      <c r="Q150" s="21" t="s">
        <v>901</v>
      </c>
      <c r="R150" s="21" t="s">
        <v>902</v>
      </c>
      <c r="S150" s="21" t="s">
        <v>903</v>
      </c>
      <c r="T150" s="21" t="s">
        <v>904</v>
      </c>
      <c r="U150" s="23" t="s">
        <v>905</v>
      </c>
      <c r="V150" s="24" t="s">
        <v>906</v>
      </c>
      <c r="W150" s="16"/>
      <c r="X150" s="16"/>
      <c r="Y150" s="16"/>
      <c r="Z150" s="16"/>
      <c r="AA150" s="16"/>
      <c r="AB150" s="16"/>
    </row>
    <row r="151" spans="1:28" ht="28.8">
      <c r="A151" s="25"/>
      <c r="B151" s="25"/>
      <c r="C151" s="37" t="s">
        <v>907</v>
      </c>
      <c r="D151" s="16"/>
      <c r="E151" s="17" t="str">
        <f t="shared" si="13"/>
        <v>C</v>
      </c>
      <c r="F151" s="17">
        <v>3</v>
      </c>
      <c r="G151" s="17" t="str">
        <f t="shared" si="14"/>
        <v>PC</v>
      </c>
      <c r="H151" s="17">
        <v>1</v>
      </c>
      <c r="I151" s="17" t="str">
        <f t="shared" si="15"/>
        <v>PC</v>
      </c>
      <c r="J151" s="18">
        <v>1</v>
      </c>
      <c r="K151" s="17" t="str">
        <f t="shared" si="16"/>
        <v>PC</v>
      </c>
      <c r="L151" s="17">
        <v>1</v>
      </c>
      <c r="M151" s="19" t="s">
        <v>26</v>
      </c>
      <c r="N151" s="17">
        <f t="shared" si="11"/>
        <v>3</v>
      </c>
      <c r="O151" s="19" t="s">
        <v>26</v>
      </c>
      <c r="P151" s="17">
        <f t="shared" si="12"/>
        <v>3</v>
      </c>
      <c r="Q151" s="21" t="s">
        <v>908</v>
      </c>
      <c r="R151" s="21" t="s">
        <v>909</v>
      </c>
      <c r="S151" s="21" t="s">
        <v>910</v>
      </c>
      <c r="T151" s="21" t="s">
        <v>911</v>
      </c>
      <c r="U151" s="23" t="s">
        <v>912</v>
      </c>
      <c r="V151" s="24" t="s">
        <v>913</v>
      </c>
      <c r="W151" s="16"/>
      <c r="X151" s="16"/>
      <c r="Y151" s="16"/>
      <c r="Z151" s="16"/>
      <c r="AA151" s="16"/>
      <c r="AB151" s="16"/>
    </row>
    <row r="152" spans="1:28" ht="28.8">
      <c r="A152" s="25"/>
      <c r="B152" s="25"/>
      <c r="C152" s="37" t="s">
        <v>914</v>
      </c>
      <c r="D152" s="16"/>
      <c r="E152" s="17" t="str">
        <f t="shared" si="13"/>
        <v>C</v>
      </c>
      <c r="F152" s="17">
        <v>3</v>
      </c>
      <c r="G152" s="17" t="str">
        <f t="shared" si="14"/>
        <v>C</v>
      </c>
      <c r="H152" s="17">
        <v>3</v>
      </c>
      <c r="I152" s="17" t="str">
        <f t="shared" si="15"/>
        <v>C</v>
      </c>
      <c r="J152" s="18">
        <v>3</v>
      </c>
      <c r="K152" s="17" t="str">
        <f t="shared" si="16"/>
        <v>PC</v>
      </c>
      <c r="L152" s="17">
        <v>1</v>
      </c>
      <c r="M152" s="19" t="s">
        <v>26</v>
      </c>
      <c r="N152" s="17">
        <f t="shared" si="11"/>
        <v>3</v>
      </c>
      <c r="O152" s="19" t="s">
        <v>26</v>
      </c>
      <c r="P152" s="17">
        <f t="shared" si="12"/>
        <v>3</v>
      </c>
      <c r="Q152" s="21" t="s">
        <v>915</v>
      </c>
      <c r="R152" s="21" t="s">
        <v>916</v>
      </c>
      <c r="S152" s="21" t="s">
        <v>917</v>
      </c>
      <c r="T152" s="21" t="s">
        <v>918</v>
      </c>
      <c r="U152" s="23" t="s">
        <v>919</v>
      </c>
      <c r="V152" s="24" t="s">
        <v>920</v>
      </c>
      <c r="W152" s="16"/>
      <c r="X152" s="16"/>
      <c r="Y152" s="16"/>
      <c r="Z152" s="16"/>
      <c r="AA152" s="16"/>
      <c r="AB152" s="16"/>
    </row>
    <row r="153" spans="1:28" ht="31.2">
      <c r="A153" s="25"/>
      <c r="B153" s="25"/>
      <c r="C153" s="37" t="s">
        <v>921</v>
      </c>
      <c r="D153" s="16"/>
      <c r="E153" s="17" t="str">
        <f t="shared" si="13"/>
        <v>C</v>
      </c>
      <c r="F153" s="17">
        <v>3</v>
      </c>
      <c r="G153" s="17" t="str">
        <f t="shared" si="14"/>
        <v>C</v>
      </c>
      <c r="H153" s="17">
        <v>3</v>
      </c>
      <c r="I153" s="17" t="str">
        <f t="shared" si="15"/>
        <v>C</v>
      </c>
      <c r="J153" s="18">
        <v>3</v>
      </c>
      <c r="K153" s="17" t="str">
        <f t="shared" si="16"/>
        <v>PC</v>
      </c>
      <c r="L153" s="17">
        <v>1</v>
      </c>
      <c r="M153" s="19" t="s">
        <v>26</v>
      </c>
      <c r="N153" s="17">
        <f t="shared" si="11"/>
        <v>3</v>
      </c>
      <c r="O153" s="19" t="s">
        <v>26</v>
      </c>
      <c r="P153" s="17">
        <f t="shared" si="12"/>
        <v>3</v>
      </c>
      <c r="Q153" s="21" t="s">
        <v>922</v>
      </c>
      <c r="R153" s="21" t="s">
        <v>923</v>
      </c>
      <c r="S153" s="21" t="s">
        <v>924</v>
      </c>
      <c r="T153" s="21" t="s">
        <v>925</v>
      </c>
      <c r="U153" s="23" t="s">
        <v>926</v>
      </c>
      <c r="V153" s="24" t="s">
        <v>927</v>
      </c>
      <c r="W153" s="16"/>
      <c r="X153" s="16"/>
      <c r="Y153" s="16"/>
      <c r="Z153" s="16"/>
      <c r="AA153" s="16"/>
      <c r="AB153" s="16"/>
    </row>
    <row r="154" spans="1:28" ht="60">
      <c r="A154" s="25"/>
      <c r="B154" s="25"/>
      <c r="C154" s="37" t="s">
        <v>928</v>
      </c>
      <c r="D154" s="16"/>
      <c r="E154" s="17" t="str">
        <f t="shared" si="13"/>
        <v>C</v>
      </c>
      <c r="F154" s="17">
        <v>3</v>
      </c>
      <c r="G154" s="17" t="str">
        <f t="shared" si="14"/>
        <v>C</v>
      </c>
      <c r="H154" s="17">
        <v>3</v>
      </c>
      <c r="I154" s="17" t="str">
        <f t="shared" si="15"/>
        <v>C</v>
      </c>
      <c r="J154" s="18">
        <v>3</v>
      </c>
      <c r="K154" s="17" t="str">
        <f t="shared" si="16"/>
        <v>PC</v>
      </c>
      <c r="L154" s="17">
        <v>1</v>
      </c>
      <c r="M154" s="19" t="s">
        <v>26</v>
      </c>
      <c r="N154" s="17">
        <f t="shared" si="11"/>
        <v>3</v>
      </c>
      <c r="O154" s="19" t="s">
        <v>26</v>
      </c>
      <c r="P154" s="17">
        <f t="shared" si="12"/>
        <v>3</v>
      </c>
      <c r="Q154" s="21" t="s">
        <v>929</v>
      </c>
      <c r="R154" s="21" t="s">
        <v>930</v>
      </c>
      <c r="S154" s="21" t="s">
        <v>931</v>
      </c>
      <c r="T154" s="21" t="s">
        <v>932</v>
      </c>
      <c r="U154" s="23" t="s">
        <v>933</v>
      </c>
      <c r="V154" s="24" t="s">
        <v>934</v>
      </c>
      <c r="W154" s="16"/>
      <c r="X154" s="16"/>
      <c r="Y154" s="16"/>
      <c r="Z154" s="16"/>
      <c r="AA154" s="16"/>
      <c r="AB154" s="16"/>
    </row>
    <row r="155" spans="1:28" ht="30">
      <c r="A155" s="25"/>
      <c r="B155" s="25"/>
      <c r="C155" s="37" t="s">
        <v>935</v>
      </c>
      <c r="D155" s="16"/>
      <c r="E155" s="17" t="str">
        <f t="shared" si="13"/>
        <v>C</v>
      </c>
      <c r="F155" s="17">
        <v>3</v>
      </c>
      <c r="G155" s="17" t="str">
        <f t="shared" si="14"/>
        <v>PC</v>
      </c>
      <c r="H155" s="17">
        <v>1</v>
      </c>
      <c r="I155" s="17" t="str">
        <f t="shared" si="15"/>
        <v>C</v>
      </c>
      <c r="J155" s="18">
        <v>3</v>
      </c>
      <c r="K155" s="17" t="str">
        <f t="shared" si="16"/>
        <v>C</v>
      </c>
      <c r="L155" s="17">
        <v>3</v>
      </c>
      <c r="M155" s="19" t="s">
        <v>26</v>
      </c>
      <c r="N155" s="17">
        <f t="shared" si="11"/>
        <v>3</v>
      </c>
      <c r="O155" s="19" t="s">
        <v>26</v>
      </c>
      <c r="P155" s="17">
        <f t="shared" si="12"/>
        <v>3</v>
      </c>
      <c r="Q155" s="26" t="s">
        <v>936</v>
      </c>
      <c r="R155" s="26"/>
      <c r="S155" s="26"/>
      <c r="T155" s="26" t="s">
        <v>937</v>
      </c>
      <c r="U155" s="23" t="s">
        <v>938</v>
      </c>
      <c r="V155" s="24" t="s">
        <v>939</v>
      </c>
      <c r="W155" s="16"/>
      <c r="X155" s="16"/>
      <c r="Y155" s="16"/>
      <c r="Z155" s="16"/>
      <c r="AA155" s="16"/>
      <c r="AB155" s="16"/>
    </row>
    <row r="156" spans="1:28" ht="30">
      <c r="A156" s="25"/>
      <c r="B156" s="25"/>
      <c r="C156" s="37" t="s">
        <v>940</v>
      </c>
      <c r="D156" s="16"/>
      <c r="E156" s="17" t="str">
        <f t="shared" si="13"/>
        <v>C</v>
      </c>
      <c r="F156" s="17">
        <v>3</v>
      </c>
      <c r="G156" s="17" t="str">
        <f t="shared" si="14"/>
        <v>PC</v>
      </c>
      <c r="H156" s="17">
        <v>1</v>
      </c>
      <c r="I156" s="17" t="str">
        <f t="shared" si="15"/>
        <v>C</v>
      </c>
      <c r="J156" s="18">
        <v>3</v>
      </c>
      <c r="K156" s="17" t="str">
        <f t="shared" si="16"/>
        <v>C</v>
      </c>
      <c r="L156" s="17">
        <v>3</v>
      </c>
      <c r="M156" s="19" t="s">
        <v>26</v>
      </c>
      <c r="N156" s="17">
        <f t="shared" si="11"/>
        <v>3</v>
      </c>
      <c r="O156" s="19" t="s">
        <v>26</v>
      </c>
      <c r="P156" s="17">
        <f t="shared" si="12"/>
        <v>3</v>
      </c>
      <c r="Q156" s="26"/>
      <c r="R156" s="26"/>
      <c r="S156" s="26"/>
      <c r="T156" s="26" t="s">
        <v>937</v>
      </c>
      <c r="U156" s="23" t="s">
        <v>941</v>
      </c>
      <c r="V156" s="24" t="s">
        <v>942</v>
      </c>
      <c r="W156" s="16"/>
      <c r="X156" s="16"/>
      <c r="Y156" s="16"/>
      <c r="Z156" s="16"/>
      <c r="AA156" s="16"/>
      <c r="AB156" s="16"/>
    </row>
    <row r="157" spans="1:28" ht="30">
      <c r="A157" s="25"/>
      <c r="B157" s="25"/>
      <c r="C157" s="37" t="s">
        <v>943</v>
      </c>
      <c r="D157" s="16"/>
      <c r="E157" s="17" t="str">
        <f t="shared" si="13"/>
        <v>C</v>
      </c>
      <c r="F157" s="17">
        <v>3</v>
      </c>
      <c r="G157" s="17" t="str">
        <f t="shared" si="14"/>
        <v>PC</v>
      </c>
      <c r="H157" s="17">
        <v>1</v>
      </c>
      <c r="I157" s="17" t="str">
        <f t="shared" si="15"/>
        <v>C</v>
      </c>
      <c r="J157" s="18">
        <v>3</v>
      </c>
      <c r="K157" s="17" t="str">
        <f t="shared" si="16"/>
        <v>PC</v>
      </c>
      <c r="L157" s="17">
        <v>1</v>
      </c>
      <c r="M157" s="19" t="s">
        <v>26</v>
      </c>
      <c r="N157" s="17">
        <f t="shared" si="11"/>
        <v>3</v>
      </c>
      <c r="O157" s="19" t="s">
        <v>26</v>
      </c>
      <c r="P157" s="17">
        <f t="shared" si="12"/>
        <v>3</v>
      </c>
      <c r="Q157" s="26"/>
      <c r="R157" s="26"/>
      <c r="S157" s="26"/>
      <c r="T157" s="26" t="s">
        <v>944</v>
      </c>
      <c r="U157" s="23" t="s">
        <v>945</v>
      </c>
      <c r="V157" s="24" t="s">
        <v>946</v>
      </c>
      <c r="W157" s="16"/>
      <c r="X157" s="16"/>
      <c r="Y157" s="16"/>
      <c r="Z157" s="16"/>
      <c r="AA157" s="16"/>
      <c r="AB157" s="16"/>
    </row>
    <row r="158" spans="1:28" ht="30">
      <c r="A158" s="25"/>
      <c r="B158" s="25"/>
      <c r="C158" s="37" t="s">
        <v>947</v>
      </c>
      <c r="D158" s="16"/>
      <c r="E158" s="17" t="str">
        <f t="shared" si="13"/>
        <v>C</v>
      </c>
      <c r="F158" s="17">
        <v>3</v>
      </c>
      <c r="G158" s="17" t="str">
        <f t="shared" si="14"/>
        <v>C</v>
      </c>
      <c r="H158" s="17">
        <v>3</v>
      </c>
      <c r="I158" s="17" t="str">
        <f t="shared" si="15"/>
        <v>C</v>
      </c>
      <c r="J158" s="18">
        <v>3</v>
      </c>
      <c r="K158" s="17" t="str">
        <f t="shared" si="16"/>
        <v>PC</v>
      </c>
      <c r="L158" s="17">
        <v>1</v>
      </c>
      <c r="M158" s="19" t="s">
        <v>26</v>
      </c>
      <c r="N158" s="17">
        <f t="shared" si="11"/>
        <v>3</v>
      </c>
      <c r="O158" s="19" t="s">
        <v>26</v>
      </c>
      <c r="P158" s="17">
        <f t="shared" si="12"/>
        <v>3</v>
      </c>
      <c r="Q158" s="26"/>
      <c r="R158" s="26"/>
      <c r="S158" s="26"/>
      <c r="T158" s="26" t="s">
        <v>948</v>
      </c>
      <c r="U158" s="23" t="s">
        <v>949</v>
      </c>
      <c r="V158" s="24" t="s">
        <v>950</v>
      </c>
      <c r="W158" s="16"/>
      <c r="X158" s="16"/>
      <c r="Y158" s="16"/>
      <c r="Z158" s="16"/>
      <c r="AA158" s="16"/>
      <c r="AB158" s="16"/>
    </row>
    <row r="159" spans="1:28" ht="60">
      <c r="A159" s="25"/>
      <c r="B159" s="25"/>
      <c r="C159" s="37" t="s">
        <v>951</v>
      </c>
      <c r="D159" s="16"/>
      <c r="E159" s="17" t="str">
        <f t="shared" si="13"/>
        <v>C</v>
      </c>
      <c r="F159" s="17">
        <v>3</v>
      </c>
      <c r="G159" s="17" t="str">
        <f t="shared" si="14"/>
        <v>PC</v>
      </c>
      <c r="H159" s="17">
        <v>1</v>
      </c>
      <c r="I159" s="17" t="str">
        <f t="shared" si="15"/>
        <v>C</v>
      </c>
      <c r="J159" s="18">
        <v>3</v>
      </c>
      <c r="K159" s="17" t="str">
        <f t="shared" si="16"/>
        <v>PC</v>
      </c>
      <c r="L159" s="17">
        <v>1</v>
      </c>
      <c r="M159" s="19" t="s">
        <v>26</v>
      </c>
      <c r="N159" s="17">
        <f t="shared" si="11"/>
        <v>3</v>
      </c>
      <c r="O159" s="19" t="s">
        <v>26</v>
      </c>
      <c r="P159" s="17">
        <f t="shared" si="12"/>
        <v>3</v>
      </c>
      <c r="Q159" s="26"/>
      <c r="R159" s="26"/>
      <c r="S159" s="26"/>
      <c r="T159" s="26" t="s">
        <v>952</v>
      </c>
      <c r="U159" s="23" t="s">
        <v>953</v>
      </c>
      <c r="V159" s="24" t="s">
        <v>954</v>
      </c>
      <c r="W159" s="16"/>
      <c r="X159" s="16"/>
      <c r="Y159" s="16"/>
      <c r="Z159" s="16"/>
      <c r="AA159" s="16"/>
      <c r="AB159" s="16"/>
    </row>
    <row r="160" spans="1:28" ht="31.2">
      <c r="A160" s="25"/>
      <c r="B160" s="25"/>
      <c r="C160" s="37" t="s">
        <v>955</v>
      </c>
      <c r="D160" s="16"/>
      <c r="E160" s="17" t="str">
        <f t="shared" si="13"/>
        <v>C</v>
      </c>
      <c r="F160" s="17">
        <v>3</v>
      </c>
      <c r="G160" s="17" t="str">
        <f t="shared" si="14"/>
        <v>C</v>
      </c>
      <c r="H160" s="17">
        <v>3</v>
      </c>
      <c r="I160" s="17" t="str">
        <f t="shared" si="15"/>
        <v>C</v>
      </c>
      <c r="J160" s="18">
        <v>3</v>
      </c>
      <c r="K160" s="17" t="str">
        <f t="shared" si="16"/>
        <v>PC</v>
      </c>
      <c r="L160" s="17">
        <v>1</v>
      </c>
      <c r="M160" s="19" t="s">
        <v>26</v>
      </c>
      <c r="N160" s="17">
        <f t="shared" si="11"/>
        <v>3</v>
      </c>
      <c r="O160" s="19" t="s">
        <v>26</v>
      </c>
      <c r="P160" s="17">
        <f t="shared" si="12"/>
        <v>3</v>
      </c>
      <c r="Q160" s="26"/>
      <c r="R160" s="26"/>
      <c r="S160" s="26"/>
      <c r="T160" s="26" t="s">
        <v>956</v>
      </c>
      <c r="U160" s="23" t="s">
        <v>957</v>
      </c>
      <c r="V160" s="24" t="s">
        <v>958</v>
      </c>
      <c r="W160" s="16"/>
      <c r="X160" s="16"/>
      <c r="Y160" s="16"/>
      <c r="Z160" s="16"/>
      <c r="AA160" s="16"/>
      <c r="AB160" s="16"/>
    </row>
    <row r="161" spans="1:28" ht="31.2">
      <c r="A161" s="25"/>
      <c r="B161" s="25"/>
      <c r="C161" s="37" t="s">
        <v>959</v>
      </c>
      <c r="D161" s="16"/>
      <c r="E161" s="17" t="str">
        <f t="shared" si="13"/>
        <v>C</v>
      </c>
      <c r="F161" s="17">
        <v>3</v>
      </c>
      <c r="G161" s="17" t="str">
        <f t="shared" si="14"/>
        <v>C</v>
      </c>
      <c r="H161" s="17">
        <v>3</v>
      </c>
      <c r="I161" s="17" t="str">
        <f t="shared" si="15"/>
        <v>C</v>
      </c>
      <c r="J161" s="18">
        <v>3</v>
      </c>
      <c r="K161" s="17" t="str">
        <f t="shared" si="16"/>
        <v>PC</v>
      </c>
      <c r="L161" s="17">
        <v>1</v>
      </c>
      <c r="M161" s="19" t="s">
        <v>26</v>
      </c>
      <c r="N161" s="17">
        <f t="shared" si="11"/>
        <v>3</v>
      </c>
      <c r="O161" s="19" t="s">
        <v>26</v>
      </c>
      <c r="P161" s="17">
        <f t="shared" si="12"/>
        <v>3</v>
      </c>
      <c r="Q161" s="26"/>
      <c r="R161" s="26"/>
      <c r="S161" s="26"/>
      <c r="T161" s="26" t="s">
        <v>960</v>
      </c>
      <c r="U161" s="23" t="s">
        <v>961</v>
      </c>
      <c r="V161" s="24" t="s">
        <v>962</v>
      </c>
      <c r="W161" s="16"/>
      <c r="X161" s="16"/>
      <c r="Y161" s="16"/>
      <c r="Z161" s="16"/>
      <c r="AA161" s="16"/>
      <c r="AB161" s="16"/>
    </row>
    <row r="162" spans="1:28" ht="31.2">
      <c r="A162" s="25"/>
      <c r="B162" s="25"/>
      <c r="C162" s="37" t="s">
        <v>963</v>
      </c>
      <c r="D162" s="16"/>
      <c r="E162" s="17" t="str">
        <f t="shared" si="13"/>
        <v>C</v>
      </c>
      <c r="F162" s="17">
        <v>3</v>
      </c>
      <c r="G162" s="17" t="str">
        <f t="shared" si="14"/>
        <v>PC</v>
      </c>
      <c r="H162" s="17">
        <v>1</v>
      </c>
      <c r="I162" s="17" t="str">
        <f t="shared" si="15"/>
        <v>C</v>
      </c>
      <c r="J162" s="18">
        <v>3</v>
      </c>
      <c r="K162" s="17" t="str">
        <f t="shared" si="16"/>
        <v>PC</v>
      </c>
      <c r="L162" s="17">
        <v>1</v>
      </c>
      <c r="M162" s="19" t="s">
        <v>26</v>
      </c>
      <c r="N162" s="17">
        <f t="shared" si="11"/>
        <v>3</v>
      </c>
      <c r="O162" s="19" t="s">
        <v>26</v>
      </c>
      <c r="P162" s="17">
        <f t="shared" si="12"/>
        <v>3</v>
      </c>
      <c r="Q162" s="26"/>
      <c r="R162" s="26"/>
      <c r="S162" s="26"/>
      <c r="T162" s="26" t="s">
        <v>964</v>
      </c>
      <c r="U162" s="23" t="s">
        <v>965</v>
      </c>
      <c r="V162" s="24" t="s">
        <v>966</v>
      </c>
      <c r="W162" s="16"/>
      <c r="X162" s="16"/>
      <c r="Y162" s="16"/>
      <c r="Z162" s="16"/>
      <c r="AA162" s="16"/>
      <c r="AB162" s="16"/>
    </row>
    <row r="163" spans="1:28" ht="46.8">
      <c r="A163" s="25"/>
      <c r="B163" s="25"/>
      <c r="C163" s="37" t="s">
        <v>967</v>
      </c>
      <c r="D163" s="16"/>
      <c r="E163" s="17" t="str">
        <f t="shared" si="13"/>
        <v>C</v>
      </c>
      <c r="F163" s="17">
        <v>3</v>
      </c>
      <c r="G163" s="17" t="str">
        <f t="shared" si="14"/>
        <v>C</v>
      </c>
      <c r="H163" s="17">
        <v>3</v>
      </c>
      <c r="I163" s="17" t="str">
        <f t="shared" si="15"/>
        <v>C</v>
      </c>
      <c r="J163" s="18">
        <v>3</v>
      </c>
      <c r="K163" s="17" t="str">
        <f t="shared" si="16"/>
        <v>PC</v>
      </c>
      <c r="L163" s="17">
        <v>1</v>
      </c>
      <c r="M163" s="19" t="s">
        <v>26</v>
      </c>
      <c r="N163" s="17">
        <f t="shared" si="11"/>
        <v>3</v>
      </c>
      <c r="O163" s="19" t="s">
        <v>26</v>
      </c>
      <c r="P163" s="17">
        <f t="shared" si="12"/>
        <v>3</v>
      </c>
      <c r="Q163" s="26"/>
      <c r="R163" s="26"/>
      <c r="S163" s="26"/>
      <c r="T163" s="26" t="s">
        <v>968</v>
      </c>
      <c r="U163" s="23" t="s">
        <v>969</v>
      </c>
      <c r="V163" s="24" t="s">
        <v>970</v>
      </c>
      <c r="W163" s="16"/>
      <c r="X163" s="16"/>
      <c r="Y163" s="16"/>
      <c r="Z163" s="16"/>
      <c r="AA163" s="16"/>
      <c r="AB163" s="16"/>
    </row>
    <row r="164" spans="1:28" ht="57.6">
      <c r="A164" s="13">
        <v>11</v>
      </c>
      <c r="B164" s="14" t="s">
        <v>971</v>
      </c>
      <c r="C164" s="15" t="s">
        <v>972</v>
      </c>
      <c r="D164" s="16">
        <v>0.05</v>
      </c>
      <c r="E164" s="17" t="str">
        <f t="shared" si="13"/>
        <v>C</v>
      </c>
      <c r="F164" s="17">
        <v>3</v>
      </c>
      <c r="G164" s="17" t="str">
        <f t="shared" si="14"/>
        <v>C</v>
      </c>
      <c r="H164" s="17">
        <v>3</v>
      </c>
      <c r="I164" s="17" t="str">
        <f t="shared" si="15"/>
        <v>C</v>
      </c>
      <c r="J164" s="18">
        <v>3</v>
      </c>
      <c r="K164" s="17" t="str">
        <f t="shared" si="16"/>
        <v>PC</v>
      </c>
      <c r="L164" s="17">
        <v>1</v>
      </c>
      <c r="M164" s="19" t="s">
        <v>26</v>
      </c>
      <c r="N164" s="17">
        <f t="shared" si="11"/>
        <v>3</v>
      </c>
      <c r="O164" s="19" t="s">
        <v>26</v>
      </c>
      <c r="P164" s="17">
        <f t="shared" si="12"/>
        <v>3</v>
      </c>
      <c r="Q164" s="21" t="s">
        <v>973</v>
      </c>
      <c r="R164" s="21" t="s">
        <v>974</v>
      </c>
      <c r="S164" s="21" t="s">
        <v>975</v>
      </c>
      <c r="T164" s="21" t="s">
        <v>976</v>
      </c>
      <c r="U164" s="23" t="s">
        <v>977</v>
      </c>
      <c r="V164" s="24" t="s">
        <v>978</v>
      </c>
      <c r="W164" s="16">
        <f>AVERAGE(F164:F178)*$D164/3</f>
        <v>5.000000000000001E-2</v>
      </c>
      <c r="X164" s="16">
        <f>AVERAGE(H164:H178)*$D164/3</f>
        <v>5.000000000000001E-2</v>
      </c>
      <c r="Y164" s="16">
        <f>AVERAGE(J164:J178)*$D164/3</f>
        <v>0.04</v>
      </c>
      <c r="Z164" s="16">
        <f>AVERAGE(L164:L178)*$D164/3</f>
        <v>3.3333333333333333E-2</v>
      </c>
      <c r="AA164" s="16">
        <f>AVERAGE(N164:N178)*$D164/3</f>
        <v>4.6666666666666662E-2</v>
      </c>
      <c r="AB164" s="16">
        <f>AVERAGE(P164:P178)*$D164/3</f>
        <v>4.5555555555555564E-2</v>
      </c>
    </row>
    <row r="165" spans="1:28" ht="28.8">
      <c r="A165" s="25"/>
      <c r="B165" s="25"/>
      <c r="C165" s="15" t="s">
        <v>979</v>
      </c>
      <c r="D165" s="16"/>
      <c r="E165" s="17" t="str">
        <f t="shared" si="13"/>
        <v>C</v>
      </c>
      <c r="F165" s="17">
        <v>3</v>
      </c>
      <c r="G165" s="17" t="str">
        <f t="shared" si="14"/>
        <v>C</v>
      </c>
      <c r="H165" s="17">
        <v>3</v>
      </c>
      <c r="I165" s="17" t="str">
        <f t="shared" si="15"/>
        <v>C</v>
      </c>
      <c r="J165" s="18">
        <v>3</v>
      </c>
      <c r="K165" s="17" t="str">
        <f t="shared" si="16"/>
        <v>C</v>
      </c>
      <c r="L165" s="17">
        <v>3</v>
      </c>
      <c r="M165" s="19" t="s">
        <v>26</v>
      </c>
      <c r="N165" s="17">
        <f t="shared" si="11"/>
        <v>3</v>
      </c>
      <c r="O165" s="19" t="s">
        <v>26</v>
      </c>
      <c r="P165" s="17">
        <f t="shared" si="12"/>
        <v>3</v>
      </c>
      <c r="Q165" s="21" t="s">
        <v>980</v>
      </c>
      <c r="R165" s="21" t="s">
        <v>981</v>
      </c>
      <c r="S165" s="21" t="s">
        <v>982</v>
      </c>
      <c r="T165" s="21" t="s">
        <v>983</v>
      </c>
      <c r="U165" s="23" t="s">
        <v>984</v>
      </c>
      <c r="V165" s="24" t="s">
        <v>985</v>
      </c>
      <c r="W165" s="16"/>
      <c r="X165" s="16"/>
      <c r="Y165" s="16"/>
      <c r="Z165" s="16"/>
      <c r="AA165" s="16"/>
      <c r="AB165" s="16"/>
    </row>
    <row r="166" spans="1:28" ht="43.2">
      <c r="A166" s="25"/>
      <c r="B166" s="25"/>
      <c r="C166" s="15" t="s">
        <v>986</v>
      </c>
      <c r="D166" s="16"/>
      <c r="E166" s="17" t="str">
        <f t="shared" si="13"/>
        <v>C</v>
      </c>
      <c r="F166" s="17">
        <v>3</v>
      </c>
      <c r="G166" s="17" t="str">
        <f t="shared" si="14"/>
        <v>C</v>
      </c>
      <c r="H166" s="17">
        <v>3</v>
      </c>
      <c r="I166" s="17" t="str">
        <f t="shared" si="15"/>
        <v>C</v>
      </c>
      <c r="J166" s="18">
        <v>3</v>
      </c>
      <c r="K166" s="17" t="str">
        <f t="shared" si="16"/>
        <v>C</v>
      </c>
      <c r="L166" s="17">
        <v>3</v>
      </c>
      <c r="M166" s="19" t="s">
        <v>26</v>
      </c>
      <c r="N166" s="17">
        <f t="shared" si="11"/>
        <v>3</v>
      </c>
      <c r="O166" s="19" t="s">
        <v>26</v>
      </c>
      <c r="P166" s="17">
        <f t="shared" si="12"/>
        <v>3</v>
      </c>
      <c r="Q166" s="21" t="s">
        <v>987</v>
      </c>
      <c r="R166" s="21" t="s">
        <v>988</v>
      </c>
      <c r="S166" s="21" t="s">
        <v>989</v>
      </c>
      <c r="T166" s="21" t="s">
        <v>990</v>
      </c>
      <c r="U166" s="23" t="s">
        <v>991</v>
      </c>
      <c r="V166" s="24" t="s">
        <v>992</v>
      </c>
      <c r="W166" s="16"/>
      <c r="X166" s="16"/>
      <c r="Y166" s="16"/>
      <c r="Z166" s="16"/>
      <c r="AA166" s="16"/>
      <c r="AB166" s="16"/>
    </row>
    <row r="167" spans="1:28" ht="57.6">
      <c r="A167" s="25"/>
      <c r="B167" s="25"/>
      <c r="C167" s="15" t="s">
        <v>993</v>
      </c>
      <c r="D167" s="16"/>
      <c r="E167" s="17" t="str">
        <f t="shared" si="13"/>
        <v>C</v>
      </c>
      <c r="F167" s="17">
        <v>3</v>
      </c>
      <c r="G167" s="17" t="str">
        <f t="shared" si="14"/>
        <v>C</v>
      </c>
      <c r="H167" s="17">
        <v>3</v>
      </c>
      <c r="I167" s="17" t="str">
        <f t="shared" si="15"/>
        <v>C</v>
      </c>
      <c r="J167" s="18">
        <v>3</v>
      </c>
      <c r="K167" s="17" t="str">
        <f t="shared" si="16"/>
        <v>C</v>
      </c>
      <c r="L167" s="17">
        <v>3</v>
      </c>
      <c r="M167" s="19" t="s">
        <v>26</v>
      </c>
      <c r="N167" s="17">
        <f t="shared" si="11"/>
        <v>3</v>
      </c>
      <c r="O167" s="19" t="s">
        <v>26</v>
      </c>
      <c r="P167" s="17">
        <f t="shared" si="12"/>
        <v>3</v>
      </c>
      <c r="Q167" s="21" t="s">
        <v>994</v>
      </c>
      <c r="R167" s="21" t="s">
        <v>995</v>
      </c>
      <c r="S167" s="21" t="s">
        <v>996</v>
      </c>
      <c r="T167" s="21" t="s">
        <v>997</v>
      </c>
      <c r="U167" s="23" t="s">
        <v>998</v>
      </c>
      <c r="V167" s="24" t="s">
        <v>999</v>
      </c>
      <c r="W167" s="16"/>
      <c r="X167" s="16"/>
      <c r="Y167" s="16"/>
      <c r="Z167" s="16"/>
      <c r="AA167" s="16"/>
      <c r="AB167" s="16"/>
    </row>
    <row r="168" spans="1:28" ht="45">
      <c r="A168" s="25"/>
      <c r="B168" s="25"/>
      <c r="C168" s="15" t="s">
        <v>1000</v>
      </c>
      <c r="D168" s="16"/>
      <c r="E168" s="17" t="str">
        <f t="shared" si="13"/>
        <v>C</v>
      </c>
      <c r="F168" s="17">
        <v>3</v>
      </c>
      <c r="G168" s="17" t="str">
        <f t="shared" si="14"/>
        <v>C</v>
      </c>
      <c r="H168" s="17">
        <v>3</v>
      </c>
      <c r="I168" s="17" t="str">
        <f t="shared" si="15"/>
        <v>NC</v>
      </c>
      <c r="J168" s="18">
        <v>0</v>
      </c>
      <c r="K168" s="17" t="str">
        <f t="shared" si="16"/>
        <v>NC</v>
      </c>
      <c r="L168" s="17">
        <v>0</v>
      </c>
      <c r="M168" s="19" t="s">
        <v>1001</v>
      </c>
      <c r="N168" s="17">
        <f t="shared" si="11"/>
        <v>0</v>
      </c>
      <c r="O168" s="19" t="s">
        <v>97</v>
      </c>
      <c r="P168" s="17">
        <f t="shared" si="12"/>
        <v>1</v>
      </c>
      <c r="Q168" s="21" t="s">
        <v>1002</v>
      </c>
      <c r="R168" s="21" t="s">
        <v>1003</v>
      </c>
      <c r="S168" s="21" t="s">
        <v>1004</v>
      </c>
      <c r="T168" s="21" t="s">
        <v>1005</v>
      </c>
      <c r="U168" s="23" t="s">
        <v>1006</v>
      </c>
      <c r="V168" s="24" t="s">
        <v>1007</v>
      </c>
      <c r="W168" s="16"/>
      <c r="X168" s="16"/>
      <c r="Y168" s="16"/>
      <c r="Z168" s="16"/>
      <c r="AA168" s="16"/>
      <c r="AB168" s="16"/>
    </row>
    <row r="169" spans="1:28" ht="43.2">
      <c r="A169" s="25"/>
      <c r="B169" s="25"/>
      <c r="C169" s="15" t="s">
        <v>1008</v>
      </c>
      <c r="D169" s="16"/>
      <c r="E169" s="17" t="str">
        <f t="shared" si="13"/>
        <v>C</v>
      </c>
      <c r="F169" s="17">
        <v>3</v>
      </c>
      <c r="G169" s="17" t="str">
        <f t="shared" si="14"/>
        <v>C</v>
      </c>
      <c r="H169" s="17">
        <v>3</v>
      </c>
      <c r="I169" s="17" t="str">
        <f t="shared" si="15"/>
        <v>C</v>
      </c>
      <c r="J169" s="18">
        <v>3</v>
      </c>
      <c r="K169" s="17" t="str">
        <f t="shared" si="16"/>
        <v>C</v>
      </c>
      <c r="L169" s="17">
        <v>3</v>
      </c>
      <c r="M169" s="19" t="s">
        <v>26</v>
      </c>
      <c r="N169" s="17">
        <f t="shared" si="11"/>
        <v>3</v>
      </c>
      <c r="O169" s="19" t="s">
        <v>26</v>
      </c>
      <c r="P169" s="17">
        <f t="shared" si="12"/>
        <v>3</v>
      </c>
      <c r="Q169" s="21" t="s">
        <v>1009</v>
      </c>
      <c r="R169" s="21" t="s">
        <v>981</v>
      </c>
      <c r="S169" s="21" t="s">
        <v>1010</v>
      </c>
      <c r="T169" s="21" t="s">
        <v>1011</v>
      </c>
      <c r="U169" s="23" t="s">
        <v>1012</v>
      </c>
      <c r="V169" s="24" t="s">
        <v>1013</v>
      </c>
      <c r="W169" s="16"/>
      <c r="X169" s="16"/>
      <c r="Y169" s="16"/>
      <c r="Z169" s="16"/>
      <c r="AA169" s="16"/>
      <c r="AB169" s="16"/>
    </row>
    <row r="170" spans="1:28" ht="43.2">
      <c r="A170" s="25"/>
      <c r="B170" s="25"/>
      <c r="C170" s="15" t="s">
        <v>1014</v>
      </c>
      <c r="D170" s="16"/>
      <c r="E170" s="17" t="str">
        <f t="shared" si="13"/>
        <v>C</v>
      </c>
      <c r="F170" s="17">
        <v>3</v>
      </c>
      <c r="G170" s="17" t="str">
        <f t="shared" si="14"/>
        <v>C</v>
      </c>
      <c r="H170" s="17">
        <v>3</v>
      </c>
      <c r="I170" s="17" t="str">
        <f t="shared" si="15"/>
        <v>PC</v>
      </c>
      <c r="J170" s="18">
        <v>1</v>
      </c>
      <c r="K170" s="17" t="str">
        <f t="shared" si="16"/>
        <v>PC</v>
      </c>
      <c r="L170" s="17">
        <v>1</v>
      </c>
      <c r="M170" s="19" t="s">
        <v>26</v>
      </c>
      <c r="N170" s="17">
        <f t="shared" si="11"/>
        <v>3</v>
      </c>
      <c r="O170" s="19" t="s">
        <v>26</v>
      </c>
      <c r="P170" s="17">
        <f t="shared" si="12"/>
        <v>3</v>
      </c>
      <c r="Q170" s="21" t="s">
        <v>1015</v>
      </c>
      <c r="R170" s="21" t="s">
        <v>1016</v>
      </c>
      <c r="S170" s="21" t="s">
        <v>1017</v>
      </c>
      <c r="T170" s="21" t="s">
        <v>1018</v>
      </c>
      <c r="U170" s="23" t="s">
        <v>1019</v>
      </c>
      <c r="V170" s="24" t="s">
        <v>1020</v>
      </c>
      <c r="W170" s="16"/>
      <c r="X170" s="16"/>
      <c r="Y170" s="16"/>
      <c r="Z170" s="16"/>
      <c r="AA170" s="16"/>
      <c r="AB170" s="16"/>
    </row>
    <row r="171" spans="1:28" ht="43.2">
      <c r="A171" s="25"/>
      <c r="B171" s="25"/>
      <c r="C171" s="15" t="s">
        <v>1021</v>
      </c>
      <c r="D171" s="16"/>
      <c r="E171" s="17" t="str">
        <f t="shared" si="13"/>
        <v>C</v>
      </c>
      <c r="F171" s="17">
        <v>3</v>
      </c>
      <c r="G171" s="17" t="str">
        <f t="shared" si="14"/>
        <v>C</v>
      </c>
      <c r="H171" s="17">
        <v>3</v>
      </c>
      <c r="I171" s="17" t="str">
        <f t="shared" si="15"/>
        <v>C</v>
      </c>
      <c r="J171" s="18">
        <v>3</v>
      </c>
      <c r="K171" s="17" t="str">
        <f t="shared" si="16"/>
        <v>PC</v>
      </c>
      <c r="L171" s="17">
        <v>1</v>
      </c>
      <c r="M171" s="19" t="s">
        <v>26</v>
      </c>
      <c r="N171" s="17">
        <f t="shared" si="11"/>
        <v>3</v>
      </c>
      <c r="O171" s="19" t="s">
        <v>26</v>
      </c>
      <c r="P171" s="17">
        <f t="shared" si="12"/>
        <v>3</v>
      </c>
      <c r="Q171" s="21" t="s">
        <v>1022</v>
      </c>
      <c r="R171" s="21" t="s">
        <v>1023</v>
      </c>
      <c r="S171" s="21" t="s">
        <v>1024</v>
      </c>
      <c r="T171" s="21" t="s">
        <v>1025</v>
      </c>
      <c r="U171" s="23" t="s">
        <v>1026</v>
      </c>
      <c r="V171" s="24" t="s">
        <v>1027</v>
      </c>
      <c r="W171" s="16"/>
      <c r="X171" s="16"/>
      <c r="Y171" s="16"/>
      <c r="Z171" s="16"/>
      <c r="AA171" s="16"/>
      <c r="AB171" s="16"/>
    </row>
    <row r="172" spans="1:28" ht="28.8">
      <c r="A172" s="25"/>
      <c r="B172" s="25"/>
      <c r="C172" s="15" t="s">
        <v>1028</v>
      </c>
      <c r="D172" s="16"/>
      <c r="E172" s="17" t="str">
        <f t="shared" si="13"/>
        <v>C</v>
      </c>
      <c r="F172" s="17">
        <v>3</v>
      </c>
      <c r="G172" s="17" t="str">
        <f t="shared" si="14"/>
        <v>C</v>
      </c>
      <c r="H172" s="17">
        <v>3</v>
      </c>
      <c r="I172" s="17" t="str">
        <f t="shared" si="15"/>
        <v>C</v>
      </c>
      <c r="J172" s="18">
        <v>3</v>
      </c>
      <c r="K172" s="17" t="str">
        <f t="shared" si="16"/>
        <v>C</v>
      </c>
      <c r="L172" s="17">
        <v>3</v>
      </c>
      <c r="M172" s="19" t="s">
        <v>26</v>
      </c>
      <c r="N172" s="17">
        <f t="shared" si="11"/>
        <v>3</v>
      </c>
      <c r="O172" s="19" t="s">
        <v>26</v>
      </c>
      <c r="P172" s="17">
        <f t="shared" si="12"/>
        <v>3</v>
      </c>
      <c r="Q172" s="21" t="s">
        <v>1029</v>
      </c>
      <c r="R172" s="20" t="s">
        <v>1030</v>
      </c>
      <c r="S172" s="21" t="s">
        <v>1031</v>
      </c>
      <c r="T172" s="21" t="s">
        <v>1032</v>
      </c>
      <c r="U172" s="23" t="s">
        <v>1033</v>
      </c>
      <c r="V172" s="24" t="s">
        <v>1034</v>
      </c>
      <c r="W172" s="16"/>
      <c r="X172" s="16"/>
      <c r="Y172" s="16"/>
      <c r="Z172" s="16"/>
      <c r="AA172" s="16"/>
      <c r="AB172" s="16"/>
    </row>
    <row r="173" spans="1:28" ht="30" customHeight="1">
      <c r="A173" s="25"/>
      <c r="B173" s="25"/>
      <c r="C173" s="15" t="s">
        <v>1035</v>
      </c>
      <c r="D173" s="16"/>
      <c r="E173" s="17" t="str">
        <f t="shared" si="13"/>
        <v>C</v>
      </c>
      <c r="F173" s="17">
        <v>3</v>
      </c>
      <c r="G173" s="17" t="str">
        <f t="shared" si="14"/>
        <v>C</v>
      </c>
      <c r="H173" s="17">
        <v>3</v>
      </c>
      <c r="I173" s="17" t="str">
        <f t="shared" si="15"/>
        <v>C</v>
      </c>
      <c r="J173" s="18">
        <v>3</v>
      </c>
      <c r="K173" s="17" t="str">
        <f t="shared" si="16"/>
        <v>C</v>
      </c>
      <c r="L173" s="17">
        <v>3</v>
      </c>
      <c r="M173" s="19" t="s">
        <v>26</v>
      </c>
      <c r="N173" s="17">
        <f t="shared" si="11"/>
        <v>3</v>
      </c>
      <c r="O173" s="19" t="s">
        <v>26</v>
      </c>
      <c r="P173" s="17">
        <f t="shared" si="12"/>
        <v>3</v>
      </c>
      <c r="Q173" s="21" t="s">
        <v>1036</v>
      </c>
      <c r="R173" s="20"/>
      <c r="S173" s="21" t="s">
        <v>1037</v>
      </c>
      <c r="T173" s="21" t="s">
        <v>1038</v>
      </c>
      <c r="U173" s="23" t="s">
        <v>1039</v>
      </c>
      <c r="V173" s="24" t="s">
        <v>1040</v>
      </c>
      <c r="W173" s="16"/>
      <c r="X173" s="16"/>
      <c r="Y173" s="16"/>
      <c r="Z173" s="16"/>
      <c r="AA173" s="16"/>
      <c r="AB173" s="16"/>
    </row>
    <row r="174" spans="1:28" ht="43.2">
      <c r="A174" s="25"/>
      <c r="B174" s="25"/>
      <c r="C174" s="15" t="s">
        <v>1041</v>
      </c>
      <c r="D174" s="16"/>
      <c r="E174" s="17" t="str">
        <f t="shared" si="13"/>
        <v>C</v>
      </c>
      <c r="F174" s="17">
        <v>3</v>
      </c>
      <c r="G174" s="17" t="str">
        <f t="shared" si="14"/>
        <v>C</v>
      </c>
      <c r="H174" s="17">
        <v>3</v>
      </c>
      <c r="I174" s="17" t="str">
        <f t="shared" si="15"/>
        <v>C</v>
      </c>
      <c r="J174" s="18">
        <v>3</v>
      </c>
      <c r="K174" s="17" t="str">
        <f t="shared" si="16"/>
        <v>C</v>
      </c>
      <c r="L174" s="17">
        <v>3</v>
      </c>
      <c r="M174" s="19" t="s">
        <v>26</v>
      </c>
      <c r="N174" s="17">
        <f t="shared" si="11"/>
        <v>3</v>
      </c>
      <c r="O174" s="19" t="s">
        <v>26</v>
      </c>
      <c r="P174" s="17">
        <f t="shared" si="12"/>
        <v>3</v>
      </c>
      <c r="Q174" s="21" t="s">
        <v>1042</v>
      </c>
      <c r="R174" s="21" t="s">
        <v>981</v>
      </c>
      <c r="S174" s="21" t="s">
        <v>1043</v>
      </c>
      <c r="T174" s="21" t="s">
        <v>1044</v>
      </c>
      <c r="U174" s="23" t="s">
        <v>1045</v>
      </c>
      <c r="V174" s="24" t="s">
        <v>1046</v>
      </c>
      <c r="W174" s="16"/>
      <c r="X174" s="16"/>
      <c r="Y174" s="16"/>
      <c r="Z174" s="16"/>
      <c r="AA174" s="16"/>
      <c r="AB174" s="16"/>
    </row>
    <row r="175" spans="1:28" ht="43.2">
      <c r="A175" s="25"/>
      <c r="B175" s="25"/>
      <c r="C175" s="15" t="s">
        <v>1047</v>
      </c>
      <c r="D175" s="16"/>
      <c r="E175" s="17" t="str">
        <f t="shared" si="13"/>
        <v>C</v>
      </c>
      <c r="F175" s="17">
        <v>3</v>
      </c>
      <c r="G175" s="17" t="str">
        <f t="shared" si="14"/>
        <v>C</v>
      </c>
      <c r="H175" s="17">
        <v>3</v>
      </c>
      <c r="I175" s="17" t="str">
        <f t="shared" si="15"/>
        <v>C</v>
      </c>
      <c r="J175" s="18">
        <v>3</v>
      </c>
      <c r="K175" s="17" t="str">
        <f t="shared" si="16"/>
        <v>PC</v>
      </c>
      <c r="L175" s="17">
        <v>1</v>
      </c>
      <c r="M175" s="19" t="s">
        <v>26</v>
      </c>
      <c r="N175" s="17">
        <f t="shared" si="11"/>
        <v>3</v>
      </c>
      <c r="O175" s="19" t="s">
        <v>26</v>
      </c>
      <c r="P175" s="17">
        <f t="shared" si="12"/>
        <v>3</v>
      </c>
      <c r="Q175" s="21" t="s">
        <v>1048</v>
      </c>
      <c r="R175" s="21" t="s">
        <v>1049</v>
      </c>
      <c r="S175" s="21" t="s">
        <v>1050</v>
      </c>
      <c r="T175" s="21" t="s">
        <v>1051</v>
      </c>
      <c r="U175" s="23" t="s">
        <v>1052</v>
      </c>
      <c r="V175" s="24" t="s">
        <v>1052</v>
      </c>
      <c r="W175" s="16"/>
      <c r="X175" s="16"/>
      <c r="Y175" s="16"/>
      <c r="Z175" s="16"/>
      <c r="AA175" s="16"/>
      <c r="AB175" s="16"/>
    </row>
    <row r="176" spans="1:28" ht="75">
      <c r="A176" s="25"/>
      <c r="B176" s="25"/>
      <c r="C176" s="15" t="s">
        <v>1053</v>
      </c>
      <c r="D176" s="16"/>
      <c r="E176" s="17" t="str">
        <f t="shared" si="13"/>
        <v>C</v>
      </c>
      <c r="F176" s="17">
        <v>3</v>
      </c>
      <c r="G176" s="17" t="str">
        <f t="shared" si="14"/>
        <v>C</v>
      </c>
      <c r="H176" s="17">
        <v>3</v>
      </c>
      <c r="I176" s="17" t="str">
        <f t="shared" si="15"/>
        <v>PC</v>
      </c>
      <c r="J176" s="18">
        <v>1</v>
      </c>
      <c r="K176" s="17" t="str">
        <f t="shared" si="16"/>
        <v>PC</v>
      </c>
      <c r="L176" s="17">
        <v>1</v>
      </c>
      <c r="M176" s="19" t="s">
        <v>26</v>
      </c>
      <c r="N176" s="17">
        <f t="shared" si="11"/>
        <v>3</v>
      </c>
      <c r="O176" s="19" t="s">
        <v>26</v>
      </c>
      <c r="P176" s="17">
        <f t="shared" si="12"/>
        <v>3</v>
      </c>
      <c r="Q176" s="21" t="s">
        <v>1054</v>
      </c>
      <c r="R176" s="21" t="s">
        <v>1055</v>
      </c>
      <c r="S176" s="21" t="s">
        <v>318</v>
      </c>
      <c r="T176" s="21" t="s">
        <v>1056</v>
      </c>
      <c r="U176" s="23" t="s">
        <v>1057</v>
      </c>
      <c r="V176" s="24" t="s">
        <v>1058</v>
      </c>
      <c r="W176" s="16"/>
      <c r="X176" s="16"/>
      <c r="Y176" s="16"/>
      <c r="Z176" s="16"/>
      <c r="AA176" s="16"/>
      <c r="AB176" s="16"/>
    </row>
    <row r="177" spans="1:28" ht="46.8">
      <c r="A177" s="25"/>
      <c r="B177" s="25"/>
      <c r="C177" s="15" t="s">
        <v>1059</v>
      </c>
      <c r="D177" s="16"/>
      <c r="E177" s="17" t="str">
        <f t="shared" si="13"/>
        <v>C</v>
      </c>
      <c r="F177" s="17">
        <v>3</v>
      </c>
      <c r="G177" s="17" t="str">
        <f t="shared" si="14"/>
        <v>C</v>
      </c>
      <c r="H177" s="17">
        <v>3</v>
      </c>
      <c r="I177" s="17" t="str">
        <f t="shared" si="15"/>
        <v>PC</v>
      </c>
      <c r="J177" s="18">
        <v>1</v>
      </c>
      <c r="K177" s="17" t="str">
        <f t="shared" si="16"/>
        <v>PC</v>
      </c>
      <c r="L177" s="17">
        <v>1</v>
      </c>
      <c r="M177" s="19" t="s">
        <v>26</v>
      </c>
      <c r="N177" s="17">
        <f t="shared" si="11"/>
        <v>3</v>
      </c>
      <c r="O177" s="19" t="s">
        <v>97</v>
      </c>
      <c r="P177" s="17">
        <f t="shared" si="12"/>
        <v>1</v>
      </c>
      <c r="Q177" s="21" t="s">
        <v>1060</v>
      </c>
      <c r="R177" s="21" t="s">
        <v>1061</v>
      </c>
      <c r="S177" s="21" t="s">
        <v>1062</v>
      </c>
      <c r="T177" s="21" t="s">
        <v>1063</v>
      </c>
      <c r="U177" s="23" t="s">
        <v>1064</v>
      </c>
      <c r="V177" s="24" t="s">
        <v>1065</v>
      </c>
      <c r="W177" s="16"/>
      <c r="X177" s="16"/>
      <c r="Y177" s="16"/>
      <c r="Z177" s="16"/>
      <c r="AA177" s="16"/>
      <c r="AB177" s="16"/>
    </row>
    <row r="178" spans="1:28" ht="43.2">
      <c r="A178" s="25"/>
      <c r="B178" s="25"/>
      <c r="C178" s="15" t="s">
        <v>1066</v>
      </c>
      <c r="D178" s="16"/>
      <c r="E178" s="17" t="str">
        <f t="shared" si="13"/>
        <v>C</v>
      </c>
      <c r="F178" s="17">
        <v>3</v>
      </c>
      <c r="G178" s="17" t="str">
        <f t="shared" si="14"/>
        <v>C</v>
      </c>
      <c r="H178" s="17">
        <v>3</v>
      </c>
      <c r="I178" s="17" t="str">
        <f t="shared" si="15"/>
        <v>C</v>
      </c>
      <c r="J178" s="18">
        <v>3</v>
      </c>
      <c r="K178" s="17" t="str">
        <f t="shared" si="16"/>
        <v>C</v>
      </c>
      <c r="L178" s="17">
        <v>3</v>
      </c>
      <c r="M178" s="19" t="s">
        <v>26</v>
      </c>
      <c r="N178" s="17">
        <f t="shared" si="11"/>
        <v>3</v>
      </c>
      <c r="O178" s="19" t="s">
        <v>26</v>
      </c>
      <c r="P178" s="17">
        <f t="shared" si="12"/>
        <v>3</v>
      </c>
      <c r="Q178" s="21" t="s">
        <v>1067</v>
      </c>
      <c r="R178" s="21" t="s">
        <v>981</v>
      </c>
      <c r="S178" s="21" t="s">
        <v>989</v>
      </c>
      <c r="T178" s="21" t="s">
        <v>1068</v>
      </c>
      <c r="U178" s="23" t="s">
        <v>1069</v>
      </c>
      <c r="V178" s="24" t="s">
        <v>1070</v>
      </c>
      <c r="W178" s="16"/>
      <c r="X178" s="16"/>
      <c r="Y178" s="16"/>
      <c r="Z178" s="16"/>
      <c r="AA178" s="16"/>
      <c r="AB178" s="16"/>
    </row>
    <row r="179" spans="1:28" ht="57.6">
      <c r="A179" s="13">
        <v>12</v>
      </c>
      <c r="B179" s="14" t="s">
        <v>1071</v>
      </c>
      <c r="C179" s="15" t="s">
        <v>1072</v>
      </c>
      <c r="D179" s="16">
        <v>0.03</v>
      </c>
      <c r="E179" s="17" t="str">
        <f t="shared" si="13"/>
        <v>C</v>
      </c>
      <c r="F179" s="17">
        <v>3</v>
      </c>
      <c r="G179" s="17" t="str">
        <f t="shared" si="14"/>
        <v>C</v>
      </c>
      <c r="H179" s="17">
        <v>3</v>
      </c>
      <c r="I179" s="17" t="str">
        <f t="shared" si="15"/>
        <v>C</v>
      </c>
      <c r="J179" s="18">
        <v>3</v>
      </c>
      <c r="K179" s="17" t="str">
        <f t="shared" si="16"/>
        <v>C</v>
      </c>
      <c r="L179" s="17">
        <v>3</v>
      </c>
      <c r="M179" s="19" t="s">
        <v>26</v>
      </c>
      <c r="N179" s="17">
        <f t="shared" si="11"/>
        <v>3</v>
      </c>
      <c r="O179" s="19" t="s">
        <v>26</v>
      </c>
      <c r="P179" s="17">
        <f t="shared" si="12"/>
        <v>3</v>
      </c>
      <c r="Q179" s="21" t="s">
        <v>1073</v>
      </c>
      <c r="R179" s="21" t="s">
        <v>1074</v>
      </c>
      <c r="S179" s="21" t="s">
        <v>1075</v>
      </c>
      <c r="T179" s="21" t="s">
        <v>1076</v>
      </c>
      <c r="U179" s="23" t="s">
        <v>1077</v>
      </c>
      <c r="V179" s="24" t="s">
        <v>1078</v>
      </c>
      <c r="W179" s="16">
        <f>AVERAGE(F179:F193)*$D179/3</f>
        <v>2.3999999999999997E-2</v>
      </c>
      <c r="X179" s="16">
        <f>AVERAGE(H179:H193)*$D179/3</f>
        <v>2.7333333333333334E-2</v>
      </c>
      <c r="Y179" s="16">
        <f>AVERAGE(J179:J193)*$D179/3</f>
        <v>0.03</v>
      </c>
      <c r="Z179" s="16">
        <f>AVERAGE(L179:L193)*$D179/3</f>
        <v>2E-3</v>
      </c>
      <c r="AA179" s="16">
        <f>AVERAGE(N179:N193)*$D179/3</f>
        <v>0.03</v>
      </c>
      <c r="AB179" s="16">
        <f>AVERAGE(P179:P193)*$D179/3</f>
        <v>0.03</v>
      </c>
    </row>
    <row r="180" spans="1:28" ht="28.8">
      <c r="A180" s="25"/>
      <c r="B180" s="25"/>
      <c r="C180" s="15" t="s">
        <v>1079</v>
      </c>
      <c r="D180" s="16"/>
      <c r="E180" s="17" t="str">
        <f t="shared" si="13"/>
        <v>C</v>
      </c>
      <c r="F180" s="17">
        <v>3</v>
      </c>
      <c r="G180" s="17" t="str">
        <f t="shared" si="14"/>
        <v>C</v>
      </c>
      <c r="H180" s="17">
        <v>3</v>
      </c>
      <c r="I180" s="17" t="str">
        <f t="shared" si="15"/>
        <v>C</v>
      </c>
      <c r="J180" s="18">
        <v>3</v>
      </c>
      <c r="K180" s="17" t="str">
        <f t="shared" si="16"/>
        <v>NC</v>
      </c>
      <c r="L180" s="17">
        <v>0</v>
      </c>
      <c r="M180" s="19" t="s">
        <v>26</v>
      </c>
      <c r="N180" s="17">
        <f t="shared" si="11"/>
        <v>3</v>
      </c>
      <c r="O180" s="19" t="s">
        <v>26</v>
      </c>
      <c r="P180" s="17">
        <f t="shared" si="12"/>
        <v>3</v>
      </c>
      <c r="Q180" s="21" t="s">
        <v>1080</v>
      </c>
      <c r="R180" s="20" t="s">
        <v>1081</v>
      </c>
      <c r="S180" s="20" t="s">
        <v>1082</v>
      </c>
      <c r="T180" s="21" t="s">
        <v>1076</v>
      </c>
      <c r="U180" s="23" t="s">
        <v>1083</v>
      </c>
      <c r="V180" s="24" t="s">
        <v>1083</v>
      </c>
      <c r="W180" s="16"/>
      <c r="X180" s="16"/>
      <c r="Y180" s="16"/>
      <c r="Z180" s="16"/>
      <c r="AA180" s="16"/>
      <c r="AB180" s="16"/>
    </row>
    <row r="181" spans="1:28" ht="31.2">
      <c r="A181" s="25"/>
      <c r="B181" s="25"/>
      <c r="C181" s="15" t="s">
        <v>1084</v>
      </c>
      <c r="D181" s="16"/>
      <c r="E181" s="17" t="str">
        <f t="shared" si="13"/>
        <v>C</v>
      </c>
      <c r="F181" s="17">
        <v>3</v>
      </c>
      <c r="G181" s="17" t="str">
        <f t="shared" si="14"/>
        <v>C</v>
      </c>
      <c r="H181" s="17">
        <v>3</v>
      </c>
      <c r="I181" s="17" t="str">
        <f t="shared" si="15"/>
        <v>C</v>
      </c>
      <c r="J181" s="18">
        <v>3</v>
      </c>
      <c r="K181" s="17" t="str">
        <f t="shared" si="16"/>
        <v>NC</v>
      </c>
      <c r="L181" s="17">
        <v>0</v>
      </c>
      <c r="M181" s="19" t="s">
        <v>26</v>
      </c>
      <c r="N181" s="17">
        <f t="shared" si="11"/>
        <v>3</v>
      </c>
      <c r="O181" s="19" t="s">
        <v>26</v>
      </c>
      <c r="P181" s="17">
        <f t="shared" si="12"/>
        <v>3</v>
      </c>
      <c r="Q181" s="21" t="s">
        <v>1085</v>
      </c>
      <c r="R181" s="20"/>
      <c r="S181" s="20"/>
      <c r="T181" s="21" t="s">
        <v>1076</v>
      </c>
      <c r="U181" s="23" t="s">
        <v>1086</v>
      </c>
      <c r="V181" s="24" t="s">
        <v>1087</v>
      </c>
      <c r="W181" s="16"/>
      <c r="X181" s="16"/>
      <c r="Y181" s="16"/>
      <c r="Z181" s="16"/>
      <c r="AA181" s="16"/>
      <c r="AB181" s="16"/>
    </row>
    <row r="182" spans="1:28" ht="31.2">
      <c r="A182" s="25"/>
      <c r="B182" s="25"/>
      <c r="C182" s="15" t="s">
        <v>1088</v>
      </c>
      <c r="D182" s="16"/>
      <c r="E182" s="17" t="str">
        <f t="shared" si="13"/>
        <v>C</v>
      </c>
      <c r="F182" s="17">
        <v>3</v>
      </c>
      <c r="G182" s="17" t="str">
        <f t="shared" si="14"/>
        <v>C</v>
      </c>
      <c r="H182" s="17">
        <v>3</v>
      </c>
      <c r="I182" s="17" t="str">
        <f t="shared" si="15"/>
        <v>C</v>
      </c>
      <c r="J182" s="18">
        <v>3</v>
      </c>
      <c r="K182" s="17" t="str">
        <f t="shared" si="16"/>
        <v>NC</v>
      </c>
      <c r="L182" s="17">
        <v>0</v>
      </c>
      <c r="M182" s="19" t="s">
        <v>26</v>
      </c>
      <c r="N182" s="17">
        <f t="shared" si="11"/>
        <v>3</v>
      </c>
      <c r="O182" s="19" t="s">
        <v>26</v>
      </c>
      <c r="P182" s="17">
        <f t="shared" si="12"/>
        <v>3</v>
      </c>
      <c r="Q182" s="21" t="s">
        <v>1089</v>
      </c>
      <c r="R182" s="20"/>
      <c r="S182" s="20"/>
      <c r="T182" s="21" t="s">
        <v>1076</v>
      </c>
      <c r="U182" s="23" t="s">
        <v>1090</v>
      </c>
      <c r="V182" s="24" t="s">
        <v>1091</v>
      </c>
      <c r="W182" s="16"/>
      <c r="X182" s="16"/>
      <c r="Y182" s="16"/>
      <c r="Z182" s="16"/>
      <c r="AA182" s="16"/>
      <c r="AB182" s="16"/>
    </row>
    <row r="183" spans="1:28" ht="28.8">
      <c r="A183" s="25"/>
      <c r="B183" s="25"/>
      <c r="C183" s="15" t="s">
        <v>1092</v>
      </c>
      <c r="D183" s="16"/>
      <c r="E183" s="17" t="str">
        <f t="shared" si="13"/>
        <v>C</v>
      </c>
      <c r="F183" s="17">
        <v>3</v>
      </c>
      <c r="G183" s="17" t="str">
        <f t="shared" si="14"/>
        <v>C</v>
      </c>
      <c r="H183" s="17">
        <v>3</v>
      </c>
      <c r="I183" s="17" t="str">
        <f t="shared" si="15"/>
        <v>C</v>
      </c>
      <c r="J183" s="18">
        <v>3</v>
      </c>
      <c r="K183" s="17" t="str">
        <f t="shared" si="16"/>
        <v>NC</v>
      </c>
      <c r="L183" s="17">
        <v>0</v>
      </c>
      <c r="M183" s="19" t="s">
        <v>26</v>
      </c>
      <c r="N183" s="17">
        <f t="shared" si="11"/>
        <v>3</v>
      </c>
      <c r="O183" s="19" t="s">
        <v>26</v>
      </c>
      <c r="P183" s="17">
        <f t="shared" si="12"/>
        <v>3</v>
      </c>
      <c r="Q183" s="21" t="s">
        <v>1093</v>
      </c>
      <c r="R183" s="20"/>
      <c r="S183" s="20"/>
      <c r="T183" s="21" t="s">
        <v>1076</v>
      </c>
      <c r="U183" s="23" t="s">
        <v>1094</v>
      </c>
      <c r="V183" s="24" t="s">
        <v>1095</v>
      </c>
      <c r="W183" s="16"/>
      <c r="X183" s="16"/>
      <c r="Y183" s="16"/>
      <c r="Z183" s="16"/>
      <c r="AA183" s="16"/>
      <c r="AB183" s="16"/>
    </row>
    <row r="184" spans="1:28" ht="30">
      <c r="A184" s="25"/>
      <c r="B184" s="25"/>
      <c r="C184" s="15" t="s">
        <v>1096</v>
      </c>
      <c r="D184" s="16"/>
      <c r="E184" s="17" t="str">
        <f t="shared" si="13"/>
        <v>C</v>
      </c>
      <c r="F184" s="17">
        <v>3</v>
      </c>
      <c r="G184" s="17" t="str">
        <f t="shared" si="14"/>
        <v>C</v>
      </c>
      <c r="H184" s="17">
        <v>3</v>
      </c>
      <c r="I184" s="17" t="str">
        <f t="shared" si="15"/>
        <v>C</v>
      </c>
      <c r="J184" s="18">
        <v>3</v>
      </c>
      <c r="K184" s="17" t="str">
        <f t="shared" si="16"/>
        <v>NC</v>
      </c>
      <c r="L184" s="17">
        <v>0</v>
      </c>
      <c r="M184" s="19" t="s">
        <v>26</v>
      </c>
      <c r="N184" s="17">
        <f t="shared" si="11"/>
        <v>3</v>
      </c>
      <c r="O184" s="19" t="s">
        <v>26</v>
      </c>
      <c r="P184" s="17">
        <f t="shared" si="12"/>
        <v>3</v>
      </c>
      <c r="Q184" s="21" t="s">
        <v>1097</v>
      </c>
      <c r="R184" s="20"/>
      <c r="S184" s="20"/>
      <c r="T184" s="21" t="s">
        <v>1076</v>
      </c>
      <c r="U184" s="23" t="s">
        <v>1098</v>
      </c>
      <c r="V184" s="24" t="s">
        <v>1099</v>
      </c>
      <c r="W184" s="16"/>
      <c r="X184" s="16"/>
      <c r="Y184" s="16"/>
      <c r="Z184" s="16"/>
      <c r="AA184" s="16"/>
      <c r="AB184" s="16"/>
    </row>
    <row r="185" spans="1:28" ht="43.2">
      <c r="A185" s="25"/>
      <c r="B185" s="25"/>
      <c r="C185" s="15" t="s">
        <v>1100</v>
      </c>
      <c r="D185" s="16"/>
      <c r="E185" s="17" t="str">
        <f t="shared" si="13"/>
        <v>C</v>
      </c>
      <c r="F185" s="17">
        <v>3</v>
      </c>
      <c r="G185" s="17" t="str">
        <f t="shared" si="14"/>
        <v>C</v>
      </c>
      <c r="H185" s="17">
        <v>3</v>
      </c>
      <c r="I185" s="17" t="str">
        <f t="shared" si="15"/>
        <v>C</v>
      </c>
      <c r="J185" s="18">
        <v>3</v>
      </c>
      <c r="K185" s="17" t="str">
        <f t="shared" si="16"/>
        <v>NC</v>
      </c>
      <c r="L185" s="17">
        <v>0</v>
      </c>
      <c r="M185" s="19" t="s">
        <v>26</v>
      </c>
      <c r="N185" s="17">
        <f t="shared" si="11"/>
        <v>3</v>
      </c>
      <c r="O185" s="19" t="s">
        <v>26</v>
      </c>
      <c r="P185" s="17">
        <f t="shared" si="12"/>
        <v>3</v>
      </c>
      <c r="Q185" s="21" t="s">
        <v>1101</v>
      </c>
      <c r="R185" s="20"/>
      <c r="S185" s="21" t="s">
        <v>1102</v>
      </c>
      <c r="T185" s="21" t="s">
        <v>1076</v>
      </c>
      <c r="U185" s="23" t="s">
        <v>1103</v>
      </c>
      <c r="V185" s="24" t="s">
        <v>1104</v>
      </c>
      <c r="W185" s="16"/>
      <c r="X185" s="16"/>
      <c r="Y185" s="16"/>
      <c r="Z185" s="16"/>
      <c r="AA185" s="16"/>
      <c r="AB185" s="16"/>
    </row>
    <row r="186" spans="1:28" ht="30">
      <c r="A186" s="25"/>
      <c r="B186" s="25"/>
      <c r="C186" s="15" t="s">
        <v>1105</v>
      </c>
      <c r="D186" s="16"/>
      <c r="E186" s="17" t="str">
        <f t="shared" si="13"/>
        <v>C</v>
      </c>
      <c r="F186" s="17">
        <v>3</v>
      </c>
      <c r="G186" s="17" t="str">
        <f t="shared" si="14"/>
        <v>C</v>
      </c>
      <c r="H186" s="17">
        <v>3</v>
      </c>
      <c r="I186" s="17" t="str">
        <f t="shared" si="15"/>
        <v>C</v>
      </c>
      <c r="J186" s="18">
        <v>3</v>
      </c>
      <c r="K186" s="17" t="str">
        <f t="shared" si="16"/>
        <v>NC</v>
      </c>
      <c r="L186" s="17">
        <v>0</v>
      </c>
      <c r="M186" s="19" t="s">
        <v>26</v>
      </c>
      <c r="N186" s="17">
        <f t="shared" si="11"/>
        <v>3</v>
      </c>
      <c r="O186" s="19" t="s">
        <v>26</v>
      </c>
      <c r="P186" s="17">
        <f t="shared" si="12"/>
        <v>3</v>
      </c>
      <c r="Q186" s="21" t="s">
        <v>1106</v>
      </c>
      <c r="R186" s="20"/>
      <c r="S186" s="21" t="s">
        <v>1082</v>
      </c>
      <c r="T186" s="21" t="s">
        <v>1076</v>
      </c>
      <c r="U186" s="23" t="s">
        <v>1107</v>
      </c>
      <c r="V186" s="24" t="s">
        <v>1108</v>
      </c>
      <c r="W186" s="16"/>
      <c r="X186" s="16"/>
      <c r="Y186" s="16"/>
      <c r="Z186" s="16"/>
      <c r="AA186" s="16"/>
      <c r="AB186" s="16"/>
    </row>
    <row r="187" spans="1:28" ht="28.8">
      <c r="A187" s="25"/>
      <c r="B187" s="25"/>
      <c r="C187" s="15" t="s">
        <v>1109</v>
      </c>
      <c r="D187" s="16"/>
      <c r="E187" s="17" t="str">
        <f t="shared" si="13"/>
        <v>C</v>
      </c>
      <c r="F187" s="17">
        <v>3</v>
      </c>
      <c r="G187" s="17" t="str">
        <f t="shared" si="14"/>
        <v>C</v>
      </c>
      <c r="H187" s="17">
        <v>3</v>
      </c>
      <c r="I187" s="17" t="str">
        <f t="shared" si="15"/>
        <v>C</v>
      </c>
      <c r="J187" s="18">
        <v>3</v>
      </c>
      <c r="K187" s="17" t="str">
        <f t="shared" si="16"/>
        <v>NC</v>
      </c>
      <c r="L187" s="17">
        <v>0</v>
      </c>
      <c r="M187" s="19" t="s">
        <v>26</v>
      </c>
      <c r="N187" s="17">
        <f t="shared" si="11"/>
        <v>3</v>
      </c>
      <c r="O187" s="19" t="s">
        <v>26</v>
      </c>
      <c r="P187" s="17">
        <f t="shared" si="12"/>
        <v>3</v>
      </c>
      <c r="Q187" s="21" t="s">
        <v>1110</v>
      </c>
      <c r="R187" s="20"/>
      <c r="S187" s="20" t="s">
        <v>1111</v>
      </c>
      <c r="T187" s="21" t="s">
        <v>1076</v>
      </c>
      <c r="U187" s="23" t="s">
        <v>1112</v>
      </c>
      <c r="V187" s="24" t="s">
        <v>1113</v>
      </c>
      <c r="W187" s="16"/>
      <c r="X187" s="16"/>
      <c r="Y187" s="16"/>
      <c r="Z187" s="16"/>
      <c r="AA187" s="16"/>
      <c r="AB187" s="16"/>
    </row>
    <row r="188" spans="1:28" ht="43.2">
      <c r="A188" s="25"/>
      <c r="B188" s="25"/>
      <c r="C188" s="15" t="s">
        <v>1114</v>
      </c>
      <c r="D188" s="16"/>
      <c r="E188" s="17" t="str">
        <f t="shared" si="13"/>
        <v>C</v>
      </c>
      <c r="F188" s="17">
        <v>3</v>
      </c>
      <c r="G188" s="17" t="str">
        <f t="shared" si="14"/>
        <v>C</v>
      </c>
      <c r="H188" s="17">
        <v>3</v>
      </c>
      <c r="I188" s="17" t="str">
        <f t="shared" si="15"/>
        <v>C</v>
      </c>
      <c r="J188" s="18">
        <v>3</v>
      </c>
      <c r="K188" s="17" t="str">
        <f t="shared" si="16"/>
        <v>NC</v>
      </c>
      <c r="L188" s="17">
        <v>0</v>
      </c>
      <c r="M188" s="19" t="s">
        <v>26</v>
      </c>
      <c r="N188" s="17">
        <f t="shared" si="11"/>
        <v>3</v>
      </c>
      <c r="O188" s="19" t="s">
        <v>26</v>
      </c>
      <c r="P188" s="17">
        <f t="shared" si="12"/>
        <v>3</v>
      </c>
      <c r="Q188" s="21" t="s">
        <v>1115</v>
      </c>
      <c r="R188" s="20"/>
      <c r="S188" s="20"/>
      <c r="T188" s="21" t="s">
        <v>1076</v>
      </c>
      <c r="U188" s="23" t="s">
        <v>1116</v>
      </c>
      <c r="V188" s="24" t="s">
        <v>1117</v>
      </c>
      <c r="W188" s="16"/>
      <c r="X188" s="16"/>
      <c r="Y188" s="16"/>
      <c r="Z188" s="16"/>
      <c r="AA188" s="16"/>
      <c r="AB188" s="16"/>
    </row>
    <row r="189" spans="1:28" ht="43.2">
      <c r="A189" s="25"/>
      <c r="B189" s="25"/>
      <c r="C189" s="15" t="s">
        <v>1118</v>
      </c>
      <c r="D189" s="16"/>
      <c r="E189" s="17" t="str">
        <f t="shared" si="13"/>
        <v>NC</v>
      </c>
      <c r="F189" s="17">
        <v>0</v>
      </c>
      <c r="G189" s="17" t="str">
        <f t="shared" si="14"/>
        <v>C</v>
      </c>
      <c r="H189" s="17">
        <v>3</v>
      </c>
      <c r="I189" s="17" t="str">
        <f t="shared" si="15"/>
        <v>C</v>
      </c>
      <c r="J189" s="18">
        <v>3</v>
      </c>
      <c r="K189" s="17" t="str">
        <f t="shared" si="16"/>
        <v>NC</v>
      </c>
      <c r="L189" s="17">
        <v>0</v>
      </c>
      <c r="M189" s="19" t="s">
        <v>26</v>
      </c>
      <c r="N189" s="17">
        <f t="shared" si="11"/>
        <v>3</v>
      </c>
      <c r="O189" s="19" t="s">
        <v>26</v>
      </c>
      <c r="P189" s="17">
        <f t="shared" si="12"/>
        <v>3</v>
      </c>
      <c r="Q189" s="21" t="s">
        <v>1119</v>
      </c>
      <c r="R189" s="21" t="s">
        <v>1120</v>
      </c>
      <c r="S189" s="21" t="s">
        <v>1102</v>
      </c>
      <c r="T189" s="21" t="s">
        <v>1076</v>
      </c>
      <c r="U189" s="23" t="s">
        <v>1121</v>
      </c>
      <c r="V189" s="24" t="s">
        <v>1122</v>
      </c>
      <c r="W189" s="16"/>
      <c r="X189" s="16"/>
      <c r="Y189" s="16"/>
      <c r="Z189" s="16"/>
      <c r="AA189" s="16"/>
      <c r="AB189" s="16"/>
    </row>
    <row r="190" spans="1:28" ht="46.8">
      <c r="A190" s="25"/>
      <c r="B190" s="25"/>
      <c r="C190" s="15" t="s">
        <v>1123</v>
      </c>
      <c r="D190" s="16"/>
      <c r="E190" s="17" t="str">
        <f t="shared" si="13"/>
        <v>PC</v>
      </c>
      <c r="F190" s="17">
        <v>1</v>
      </c>
      <c r="G190" s="17" t="str">
        <f t="shared" si="14"/>
        <v>C</v>
      </c>
      <c r="H190" s="17">
        <v>3</v>
      </c>
      <c r="I190" s="17" t="str">
        <f t="shared" si="15"/>
        <v>C</v>
      </c>
      <c r="J190" s="18">
        <v>3</v>
      </c>
      <c r="K190" s="17" t="str">
        <f t="shared" si="16"/>
        <v>NC</v>
      </c>
      <c r="L190" s="17">
        <v>0</v>
      </c>
      <c r="M190" s="19" t="s">
        <v>26</v>
      </c>
      <c r="N190" s="17">
        <f t="shared" si="11"/>
        <v>3</v>
      </c>
      <c r="O190" s="19" t="s">
        <v>26</v>
      </c>
      <c r="P190" s="17">
        <f t="shared" si="12"/>
        <v>3</v>
      </c>
      <c r="Q190" s="21" t="s">
        <v>1124</v>
      </c>
      <c r="R190" s="21" t="s">
        <v>1125</v>
      </c>
      <c r="S190" s="21" t="s">
        <v>1126</v>
      </c>
      <c r="T190" s="21" t="s">
        <v>1076</v>
      </c>
      <c r="U190" s="23" t="s">
        <v>1127</v>
      </c>
      <c r="V190" s="38" t="s">
        <v>1127</v>
      </c>
      <c r="W190" s="16"/>
      <c r="X190" s="16"/>
      <c r="Y190" s="16"/>
      <c r="Z190" s="16"/>
      <c r="AA190" s="16"/>
      <c r="AB190" s="16"/>
    </row>
    <row r="191" spans="1:28" ht="43.2">
      <c r="A191" s="25"/>
      <c r="B191" s="25"/>
      <c r="C191" s="15" t="s">
        <v>1128</v>
      </c>
      <c r="D191" s="16"/>
      <c r="E191" s="17" t="str">
        <f t="shared" si="13"/>
        <v>PC</v>
      </c>
      <c r="F191" s="17">
        <v>1</v>
      </c>
      <c r="G191" s="17" t="str">
        <f t="shared" si="14"/>
        <v>C</v>
      </c>
      <c r="H191" s="17">
        <v>3</v>
      </c>
      <c r="I191" s="17" t="str">
        <f t="shared" si="15"/>
        <v>C</v>
      </c>
      <c r="J191" s="18">
        <v>3</v>
      </c>
      <c r="K191" s="17" t="str">
        <f t="shared" si="16"/>
        <v>NC</v>
      </c>
      <c r="L191" s="17">
        <v>0</v>
      </c>
      <c r="M191" s="19" t="s">
        <v>26</v>
      </c>
      <c r="N191" s="17">
        <f t="shared" si="11"/>
        <v>3</v>
      </c>
      <c r="O191" s="19" t="s">
        <v>26</v>
      </c>
      <c r="P191" s="17">
        <f t="shared" si="12"/>
        <v>3</v>
      </c>
      <c r="Q191" s="21" t="s">
        <v>1129</v>
      </c>
      <c r="R191" s="21" t="s">
        <v>1130</v>
      </c>
      <c r="S191" s="21" t="s">
        <v>1131</v>
      </c>
      <c r="T191" s="21" t="s">
        <v>1076</v>
      </c>
      <c r="U191" s="23" t="s">
        <v>1132</v>
      </c>
      <c r="V191" s="24" t="s">
        <v>1133</v>
      </c>
      <c r="W191" s="16"/>
      <c r="X191" s="16"/>
      <c r="Y191" s="16"/>
      <c r="Z191" s="16"/>
      <c r="AA191" s="16"/>
      <c r="AB191" s="16"/>
    </row>
    <row r="192" spans="1:28" ht="43.2">
      <c r="A192" s="25"/>
      <c r="B192" s="25"/>
      <c r="C192" s="15" t="s">
        <v>1134</v>
      </c>
      <c r="D192" s="16"/>
      <c r="E192" s="17" t="str">
        <f t="shared" si="13"/>
        <v>PC</v>
      </c>
      <c r="F192" s="17">
        <v>1</v>
      </c>
      <c r="G192" s="17" t="str">
        <f t="shared" si="14"/>
        <v>PC</v>
      </c>
      <c r="H192" s="17">
        <v>1</v>
      </c>
      <c r="I192" s="17" t="str">
        <f t="shared" si="15"/>
        <v>C</v>
      </c>
      <c r="J192" s="18">
        <v>3</v>
      </c>
      <c r="K192" s="17" t="str">
        <f t="shared" si="16"/>
        <v>NC</v>
      </c>
      <c r="L192" s="17">
        <v>0</v>
      </c>
      <c r="M192" s="19" t="s">
        <v>26</v>
      </c>
      <c r="N192" s="17">
        <f t="shared" si="11"/>
        <v>3</v>
      </c>
      <c r="O192" s="19" t="s">
        <v>26</v>
      </c>
      <c r="P192" s="17">
        <f t="shared" si="12"/>
        <v>3</v>
      </c>
      <c r="Q192" s="21" t="s">
        <v>1135</v>
      </c>
      <c r="R192" s="21" t="s">
        <v>1136</v>
      </c>
      <c r="S192" s="21" t="s">
        <v>1137</v>
      </c>
      <c r="T192" s="21" t="s">
        <v>1076</v>
      </c>
      <c r="U192" s="23" t="s">
        <v>1138</v>
      </c>
      <c r="V192" s="24" t="s">
        <v>1139</v>
      </c>
      <c r="W192" s="16"/>
      <c r="X192" s="16"/>
      <c r="Y192" s="16"/>
      <c r="Z192" s="16"/>
      <c r="AA192" s="16"/>
      <c r="AB192" s="16"/>
    </row>
    <row r="193" spans="1:28" ht="30">
      <c r="A193" s="25"/>
      <c r="B193" s="25"/>
      <c r="C193" s="15" t="s">
        <v>1140</v>
      </c>
      <c r="D193" s="16"/>
      <c r="E193" s="17" t="str">
        <f t="shared" si="13"/>
        <v>C</v>
      </c>
      <c r="F193" s="17">
        <v>3</v>
      </c>
      <c r="G193" s="17" t="str">
        <f t="shared" si="14"/>
        <v>PC</v>
      </c>
      <c r="H193" s="17">
        <v>1</v>
      </c>
      <c r="I193" s="17" t="str">
        <f t="shared" si="15"/>
        <v>C</v>
      </c>
      <c r="J193" s="18">
        <v>3</v>
      </c>
      <c r="K193" s="17" t="str">
        <f t="shared" si="16"/>
        <v>NC</v>
      </c>
      <c r="L193" s="17">
        <v>0</v>
      </c>
      <c r="M193" s="19" t="s">
        <v>26</v>
      </c>
      <c r="N193" s="17">
        <f t="shared" si="11"/>
        <v>3</v>
      </c>
      <c r="O193" s="19" t="s">
        <v>26</v>
      </c>
      <c r="P193" s="17">
        <f t="shared" si="12"/>
        <v>3</v>
      </c>
      <c r="Q193" s="21" t="s">
        <v>1141</v>
      </c>
      <c r="R193" s="21" t="s">
        <v>1142</v>
      </c>
      <c r="S193" s="21" t="s">
        <v>1143</v>
      </c>
      <c r="T193" s="21" t="s">
        <v>1076</v>
      </c>
      <c r="U193" s="23" t="s">
        <v>1144</v>
      </c>
      <c r="V193" s="39" t="s">
        <v>1145</v>
      </c>
      <c r="W193" s="16"/>
      <c r="X193" s="16"/>
      <c r="Y193" s="16"/>
      <c r="Z193" s="16"/>
      <c r="AA193" s="16"/>
      <c r="AB193" s="16"/>
    </row>
    <row r="194" spans="1:28">
      <c r="D194" s="40">
        <f>SUM(D3:D193)</f>
        <v>1</v>
      </c>
      <c r="W194" s="43">
        <f>SUM(W3:W193)</f>
        <v>0.67794267930137508</v>
      </c>
      <c r="X194" s="43">
        <f t="shared" ref="X194:AB194" si="17">SUM(X3:X193)</f>
        <v>0.87425603864734291</v>
      </c>
      <c r="Y194" s="43">
        <f t="shared" si="17"/>
        <v>0.93305258268301761</v>
      </c>
      <c r="Z194" s="43">
        <f t="shared" si="17"/>
        <v>0.66486148272017831</v>
      </c>
      <c r="AA194" s="43">
        <f t="shared" si="17"/>
        <v>0.97273504273504263</v>
      </c>
      <c r="AB194" s="43">
        <f t="shared" si="17"/>
        <v>0.9900000000000001</v>
      </c>
    </row>
    <row r="196" spans="1:28">
      <c r="D196"/>
      <c r="W196"/>
      <c r="X196"/>
      <c r="Y196"/>
      <c r="Z196"/>
    </row>
    <row r="197" spans="1:28">
      <c r="D197"/>
      <c r="W197"/>
      <c r="X197"/>
      <c r="Y197"/>
      <c r="Z197"/>
    </row>
    <row r="198" spans="1:28">
      <c r="D198"/>
      <c r="W198"/>
      <c r="X198"/>
      <c r="Y198"/>
      <c r="Z198"/>
    </row>
    <row r="206" spans="1:28">
      <c r="V206" s="42"/>
    </row>
    <row r="207" spans="1:28">
      <c r="V207" s="42"/>
    </row>
    <row r="208" spans="1:28">
      <c r="V208" s="42"/>
    </row>
    <row r="209" spans="22:22">
      <c r="V209" s="42"/>
    </row>
    <row r="210" spans="22:22">
      <c r="V210" s="42"/>
    </row>
    <row r="211" spans="22:22">
      <c r="V211" s="42"/>
    </row>
    <row r="212" spans="22:22">
      <c r="V212" s="42"/>
    </row>
    <row r="213" spans="22:22">
      <c r="V213" s="42"/>
    </row>
    <row r="214" spans="22:22">
      <c r="V214" s="42"/>
    </row>
    <row r="215" spans="22:22">
      <c r="V215" s="42"/>
    </row>
    <row r="216" spans="22:22">
      <c r="V216" s="42"/>
    </row>
    <row r="217" spans="22:22">
      <c r="V217" s="42"/>
    </row>
    <row r="386" spans="22:22">
      <c r="V386" s="42"/>
    </row>
    <row r="581" spans="22:22">
      <c r="V581" s="42"/>
    </row>
    <row r="776" spans="22:22">
      <c r="V776" s="42"/>
    </row>
    <row r="971" spans="22:22">
      <c r="V971" s="42"/>
    </row>
    <row r="1166" spans="22:22">
      <c r="V1166" s="42"/>
    </row>
    <row r="1361" spans="22:22">
      <c r="V1361" s="42"/>
    </row>
    <row r="1556" spans="22:22">
      <c r="V1556" s="42"/>
    </row>
    <row r="1751" spans="22:22">
      <c r="V1751" s="42"/>
    </row>
    <row r="1946" spans="22:22">
      <c r="V1946" s="42"/>
    </row>
    <row r="2141" spans="22:22">
      <c r="V2141" s="42"/>
    </row>
    <row r="2336" spans="22:22">
      <c r="V2336" s="42"/>
    </row>
    <row r="2531" spans="22:22">
      <c r="V2531" s="42"/>
    </row>
    <row r="2726" spans="22:22">
      <c r="V2726" s="42"/>
    </row>
    <row r="2921" spans="22:22">
      <c r="V2921" s="42"/>
    </row>
    <row r="3116" spans="22:22">
      <c r="V3116" s="42"/>
    </row>
    <row r="3311" spans="22:22">
      <c r="V3311" s="42"/>
    </row>
    <row r="3506" spans="22:22">
      <c r="V3506" s="42"/>
    </row>
    <row r="3701" spans="22:22">
      <c r="V3701" s="42"/>
    </row>
    <row r="3896" spans="22:22">
      <c r="V3896" s="42"/>
    </row>
    <row r="4091" spans="22:22">
      <c r="V4091" s="42"/>
    </row>
    <row r="4286" spans="22:22">
      <c r="V4286" s="42"/>
    </row>
    <row r="4481" spans="22:22">
      <c r="V4481" s="42"/>
    </row>
    <row r="4676" spans="22:22">
      <c r="V4676" s="42"/>
    </row>
    <row r="4871" spans="22:22">
      <c r="V4871" s="42"/>
    </row>
    <row r="5066" spans="22:22">
      <c r="V5066" s="42"/>
    </row>
    <row r="5261" spans="22:22">
      <c r="V5261" s="42"/>
    </row>
    <row r="5456" spans="22:22">
      <c r="V5456" s="42"/>
    </row>
    <row r="5651" spans="22:22">
      <c r="V5651" s="42"/>
    </row>
    <row r="5846" spans="22:22">
      <c r="V5846" s="42"/>
    </row>
    <row r="6041" spans="22:22">
      <c r="V6041" s="42"/>
    </row>
    <row r="6236" spans="22:22">
      <c r="V6236" s="42"/>
    </row>
    <row r="6431" spans="22:22">
      <c r="V6431" s="42"/>
    </row>
    <row r="6626" spans="22:22">
      <c r="V6626" s="42"/>
    </row>
    <row r="6821" spans="22:22">
      <c r="V6821" s="42"/>
    </row>
    <row r="7016" spans="22:22">
      <c r="V7016" s="42"/>
    </row>
    <row r="7211" spans="22:22">
      <c r="V7211" s="42"/>
    </row>
    <row r="7406" spans="22:22">
      <c r="V7406" s="42"/>
    </row>
    <row r="7601" spans="22:22">
      <c r="V7601" s="42"/>
    </row>
    <row r="7796" spans="22:22">
      <c r="V7796" s="42"/>
    </row>
    <row r="7991" spans="22:22">
      <c r="V7991" s="42"/>
    </row>
    <row r="8186" spans="22:22">
      <c r="V8186" s="42"/>
    </row>
    <row r="8381" spans="22:22">
      <c r="V8381" s="42"/>
    </row>
    <row r="8576" spans="22:22">
      <c r="V8576" s="42"/>
    </row>
    <row r="8771" spans="22:22">
      <c r="V8771" s="42"/>
    </row>
    <row r="8966" spans="22:22">
      <c r="V8966" s="42"/>
    </row>
    <row r="9161" spans="22:22">
      <c r="V9161" s="42"/>
    </row>
    <row r="9356" spans="22:22">
      <c r="V9356" s="42"/>
    </row>
    <row r="9551" spans="22:22">
      <c r="V9551" s="42"/>
    </row>
    <row r="9746" spans="22:22">
      <c r="V9746" s="42"/>
    </row>
    <row r="9941" spans="22:22">
      <c r="V9941" s="42"/>
    </row>
    <row r="10136" spans="22:22">
      <c r="V10136" s="42"/>
    </row>
    <row r="10331" spans="22:22">
      <c r="V10331" s="42"/>
    </row>
    <row r="10526" spans="22:22">
      <c r="V10526" s="42"/>
    </row>
    <row r="10721" spans="22:22">
      <c r="V10721" s="42"/>
    </row>
    <row r="10916" spans="22:22">
      <c r="V10916" s="42"/>
    </row>
    <row r="11111" spans="22:22">
      <c r="V11111" s="42"/>
    </row>
    <row r="11306" spans="22:22">
      <c r="V11306" s="42"/>
    </row>
    <row r="11501" spans="22:22">
      <c r="V11501" s="42"/>
    </row>
    <row r="11696" spans="22:22">
      <c r="V11696" s="42"/>
    </row>
    <row r="11891" spans="22:22">
      <c r="V11891" s="42"/>
    </row>
    <row r="12086" spans="22:22">
      <c r="V12086" s="42"/>
    </row>
    <row r="12281" spans="22:22">
      <c r="V12281" s="42"/>
    </row>
    <row r="12476" spans="22:22">
      <c r="V12476" s="42"/>
    </row>
    <row r="12671" spans="22:22">
      <c r="V12671" s="42"/>
    </row>
    <row r="12866" spans="22:22">
      <c r="V12866" s="42"/>
    </row>
    <row r="13061" spans="22:22">
      <c r="V13061" s="42"/>
    </row>
    <row r="13256" spans="22:22">
      <c r="V13256" s="42"/>
    </row>
    <row r="13451" spans="22:22">
      <c r="V13451" s="42"/>
    </row>
    <row r="13646" spans="22:22">
      <c r="V13646" s="42"/>
    </row>
    <row r="13841" spans="22:22">
      <c r="V13841" s="42"/>
    </row>
    <row r="14036" spans="22:22">
      <c r="V14036" s="42"/>
    </row>
    <row r="14231" spans="22:22">
      <c r="V14231" s="42"/>
    </row>
    <row r="14426" spans="22:22">
      <c r="V14426" s="42"/>
    </row>
    <row r="14621" spans="22:22">
      <c r="V14621" s="42"/>
    </row>
    <row r="14816" spans="22:22">
      <c r="V14816" s="42"/>
    </row>
    <row r="15011" spans="22:22">
      <c r="V15011" s="42"/>
    </row>
    <row r="15206" spans="22:22">
      <c r="V15206" s="42"/>
    </row>
    <row r="15401" spans="22:22">
      <c r="V15401" s="42"/>
    </row>
    <row r="15596" spans="22:22">
      <c r="V15596" s="42"/>
    </row>
    <row r="15791" spans="22:22">
      <c r="V15791" s="42"/>
    </row>
    <row r="15986" spans="22:22">
      <c r="V15986" s="42"/>
    </row>
    <row r="16181" spans="22:22">
      <c r="V16181" s="42"/>
    </row>
    <row r="16376" spans="22:22">
      <c r="V16376" s="42"/>
    </row>
    <row r="16571" spans="22:22">
      <c r="V16571" s="42"/>
    </row>
    <row r="16766" spans="22:22">
      <c r="V16766" s="42"/>
    </row>
    <row r="16961" spans="22:22">
      <c r="V16961" s="42"/>
    </row>
    <row r="17156" spans="22:22">
      <c r="V17156" s="42"/>
    </row>
    <row r="17351" spans="22:22">
      <c r="V17351" s="42"/>
    </row>
    <row r="17546" spans="22:22">
      <c r="V17546" s="42"/>
    </row>
    <row r="17741" spans="22:22">
      <c r="V17741" s="42"/>
    </row>
    <row r="17936" spans="22:22">
      <c r="V17936" s="42"/>
    </row>
    <row r="18131" spans="22:22">
      <c r="V18131" s="42"/>
    </row>
    <row r="18326" spans="22:22">
      <c r="V18326" s="42"/>
    </row>
    <row r="18521" spans="22:22">
      <c r="V18521" s="42"/>
    </row>
    <row r="18716" spans="22:22">
      <c r="V18716" s="42"/>
    </row>
    <row r="18911" spans="22:22">
      <c r="V18911" s="42"/>
    </row>
    <row r="19106" spans="22:22">
      <c r="V19106" s="42"/>
    </row>
    <row r="19301" spans="22:22">
      <c r="V19301" s="42"/>
    </row>
    <row r="19496" spans="22:22">
      <c r="V19496" s="42"/>
    </row>
    <row r="19691" spans="22:22">
      <c r="V19691" s="42"/>
    </row>
    <row r="19886" spans="22:22">
      <c r="V19886" s="42"/>
    </row>
    <row r="20081" spans="22:22">
      <c r="V20081" s="42"/>
    </row>
    <row r="20276" spans="22:22">
      <c r="V20276" s="42"/>
    </row>
    <row r="20471" spans="22:22">
      <c r="V20471" s="42"/>
    </row>
    <row r="20666" spans="22:22">
      <c r="V20666" s="42"/>
    </row>
    <row r="20861" spans="22:22">
      <c r="V20861" s="42"/>
    </row>
    <row r="21056" spans="22:22">
      <c r="V21056" s="42"/>
    </row>
    <row r="21251" spans="22:22">
      <c r="V21251" s="42"/>
    </row>
    <row r="21446" spans="22:22">
      <c r="V21446" s="42"/>
    </row>
    <row r="21641" spans="22:22">
      <c r="V21641" s="42"/>
    </row>
    <row r="21836" spans="22:22">
      <c r="V21836" s="42"/>
    </row>
    <row r="22031" spans="22:22">
      <c r="V22031" s="42"/>
    </row>
    <row r="22226" spans="22:22">
      <c r="V22226" s="42"/>
    </row>
    <row r="22421" spans="22:22">
      <c r="V22421" s="42"/>
    </row>
    <row r="22616" spans="22:22">
      <c r="V22616" s="42"/>
    </row>
    <row r="22811" spans="22:22">
      <c r="V22811" s="42"/>
    </row>
    <row r="23006" spans="22:22">
      <c r="V23006" s="42"/>
    </row>
    <row r="23201" spans="22:22">
      <c r="V23201" s="42"/>
    </row>
    <row r="23396" spans="22:22">
      <c r="V23396" s="42"/>
    </row>
    <row r="23591" spans="22:22">
      <c r="V23591" s="42"/>
    </row>
    <row r="23786" spans="22:22">
      <c r="V23786" s="42"/>
    </row>
    <row r="23981" spans="22:22">
      <c r="V23981" s="42"/>
    </row>
    <row r="24176" spans="22:22">
      <c r="V24176" s="42"/>
    </row>
    <row r="24371" spans="22:22">
      <c r="V24371" s="42"/>
    </row>
    <row r="24566" spans="22:22">
      <c r="V24566" s="42"/>
    </row>
    <row r="24761" spans="22:22">
      <c r="V24761" s="42"/>
    </row>
    <row r="24956" spans="22:22">
      <c r="V24956" s="42"/>
    </row>
    <row r="25151" spans="22:22">
      <c r="V25151" s="42"/>
    </row>
    <row r="25346" spans="22:22">
      <c r="V25346" s="42"/>
    </row>
    <row r="25541" spans="22:22">
      <c r="V25541" s="42"/>
    </row>
    <row r="25736" spans="22:22">
      <c r="V25736" s="42"/>
    </row>
    <row r="25931" spans="22:22">
      <c r="V25931" s="42"/>
    </row>
    <row r="26126" spans="22:22">
      <c r="V26126" s="42"/>
    </row>
    <row r="26321" spans="22:22">
      <c r="V26321" s="42"/>
    </row>
    <row r="26516" spans="22:22">
      <c r="V26516" s="42"/>
    </row>
    <row r="26711" spans="22:22">
      <c r="V26711" s="42"/>
    </row>
    <row r="26906" spans="22:22">
      <c r="V26906" s="42"/>
    </row>
    <row r="27101" spans="22:22">
      <c r="V27101" s="42"/>
    </row>
    <row r="27296" spans="22:22">
      <c r="V27296" s="42"/>
    </row>
    <row r="27491" spans="22:22">
      <c r="V27491" s="42"/>
    </row>
    <row r="27686" spans="22:22">
      <c r="V27686" s="42"/>
    </row>
    <row r="27881" spans="22:22">
      <c r="V27881" s="42"/>
    </row>
    <row r="28076" spans="22:22">
      <c r="V28076" s="42"/>
    </row>
    <row r="28271" spans="22:22">
      <c r="V28271" s="42"/>
    </row>
    <row r="28466" spans="22:22">
      <c r="V28466" s="42"/>
    </row>
    <row r="28661" spans="22:22">
      <c r="V28661" s="42"/>
    </row>
    <row r="28856" spans="22:22">
      <c r="V28856" s="42"/>
    </row>
    <row r="29051" spans="22:22">
      <c r="V29051" s="42"/>
    </row>
    <row r="29246" spans="22:22">
      <c r="V29246" s="42"/>
    </row>
    <row r="29441" spans="22:22">
      <c r="V29441" s="42"/>
    </row>
    <row r="29636" spans="22:22">
      <c r="V29636" s="42"/>
    </row>
    <row r="29831" spans="22:22">
      <c r="V29831" s="42"/>
    </row>
    <row r="30026" spans="22:22">
      <c r="V30026" s="42"/>
    </row>
    <row r="30221" spans="22:22">
      <c r="V30221" s="42"/>
    </row>
    <row r="30416" spans="22:22">
      <c r="V30416" s="42"/>
    </row>
    <row r="30611" spans="22:22">
      <c r="V30611" s="42"/>
    </row>
    <row r="30806" spans="22:22">
      <c r="V30806" s="42"/>
    </row>
    <row r="31001" spans="22:22">
      <c r="V31001" s="42"/>
    </row>
    <row r="31196" spans="22:22">
      <c r="V31196" s="42"/>
    </row>
    <row r="31391" spans="22:22">
      <c r="V31391" s="42"/>
    </row>
    <row r="31586" spans="22:22">
      <c r="V31586" s="42"/>
    </row>
    <row r="31781" spans="22:22">
      <c r="V31781" s="42"/>
    </row>
    <row r="31976" spans="22:22">
      <c r="V31976" s="42"/>
    </row>
    <row r="32171" spans="22:22">
      <c r="V32171" s="42"/>
    </row>
    <row r="32366" spans="22:22">
      <c r="V32366" s="42"/>
    </row>
    <row r="32561" spans="22:22">
      <c r="V32561" s="42"/>
    </row>
    <row r="32756" spans="22:22">
      <c r="V32756" s="42"/>
    </row>
    <row r="32951" spans="22:22">
      <c r="V32951" s="42"/>
    </row>
    <row r="33146" spans="22:22">
      <c r="V33146" s="42"/>
    </row>
    <row r="33341" spans="22:22">
      <c r="V33341" s="42"/>
    </row>
    <row r="33536" spans="22:22">
      <c r="V33536" s="42"/>
    </row>
    <row r="33731" spans="22:22">
      <c r="V33731" s="42"/>
    </row>
    <row r="33926" spans="22:22">
      <c r="V33926" s="42"/>
    </row>
    <row r="34121" spans="22:22">
      <c r="V34121" s="42"/>
    </row>
    <row r="34316" spans="22:22">
      <c r="V34316" s="42"/>
    </row>
    <row r="34511" spans="22:22">
      <c r="V34511" s="42"/>
    </row>
    <row r="34706" spans="22:22">
      <c r="V34706" s="42"/>
    </row>
    <row r="34901" spans="22:22">
      <c r="V34901" s="42"/>
    </row>
    <row r="35096" spans="22:22">
      <c r="V35096" s="42"/>
    </row>
    <row r="35291" spans="22:22">
      <c r="V35291" s="42"/>
    </row>
    <row r="35486" spans="22:22">
      <c r="V35486" s="42"/>
    </row>
    <row r="35681" spans="22:22">
      <c r="V35681" s="42"/>
    </row>
    <row r="35876" spans="22:22">
      <c r="V35876" s="42"/>
    </row>
    <row r="36071" spans="22:22">
      <c r="V36071" s="42"/>
    </row>
    <row r="36266" spans="22:22">
      <c r="V36266" s="42"/>
    </row>
    <row r="36461" spans="22:22">
      <c r="V36461" s="42"/>
    </row>
    <row r="36656" spans="22:22">
      <c r="V36656" s="42"/>
    </row>
    <row r="36851" spans="22:22">
      <c r="V36851" s="42"/>
    </row>
    <row r="37046" spans="22:22">
      <c r="V37046" s="42"/>
    </row>
    <row r="37241" spans="22:22">
      <c r="V37241" s="42"/>
    </row>
    <row r="37436" spans="22:22">
      <c r="V37436" s="42"/>
    </row>
    <row r="37631" spans="22:22">
      <c r="V37631" s="42"/>
    </row>
    <row r="37826" spans="22:22">
      <c r="V37826" s="42"/>
    </row>
    <row r="38021" spans="22:22">
      <c r="V38021" s="42"/>
    </row>
    <row r="38216" spans="22:22">
      <c r="V38216" s="42"/>
    </row>
    <row r="38411" spans="22:22">
      <c r="V38411" s="42"/>
    </row>
    <row r="38606" spans="22:22">
      <c r="V38606" s="42"/>
    </row>
    <row r="38801" spans="22:22">
      <c r="V38801" s="42"/>
    </row>
    <row r="38996" spans="22:22">
      <c r="V38996" s="42"/>
    </row>
    <row r="39191" spans="22:22">
      <c r="V39191" s="42"/>
    </row>
    <row r="39386" spans="22:22">
      <c r="V39386" s="42"/>
    </row>
    <row r="39581" spans="22:22">
      <c r="V39581" s="42"/>
    </row>
    <row r="39776" spans="22:22">
      <c r="V39776" s="42"/>
    </row>
    <row r="39971" spans="22:22">
      <c r="V39971" s="42"/>
    </row>
    <row r="40166" spans="22:22">
      <c r="V40166" s="42"/>
    </row>
    <row r="40361" spans="22:22">
      <c r="V40361" s="42"/>
    </row>
    <row r="40556" spans="22:22">
      <c r="V40556" s="42"/>
    </row>
    <row r="40751" spans="22:22">
      <c r="V40751" s="42"/>
    </row>
    <row r="40946" spans="22:22">
      <c r="V40946" s="42"/>
    </row>
    <row r="41141" spans="22:22">
      <c r="V41141" s="42"/>
    </row>
    <row r="41336" spans="22:22">
      <c r="V41336" s="42"/>
    </row>
    <row r="41531" spans="22:22">
      <c r="V41531" s="42"/>
    </row>
    <row r="41726" spans="22:22">
      <c r="V41726" s="42"/>
    </row>
    <row r="41921" spans="22:22">
      <c r="V41921" s="42"/>
    </row>
    <row r="42116" spans="22:22">
      <c r="V42116" s="42"/>
    </row>
    <row r="42311" spans="22:22">
      <c r="V42311" s="42"/>
    </row>
    <row r="42506" spans="22:22">
      <c r="V42506" s="42"/>
    </row>
    <row r="42701" spans="22:22">
      <c r="V42701" s="42"/>
    </row>
    <row r="42896" spans="22:22">
      <c r="V42896" s="42"/>
    </row>
    <row r="43091" spans="22:22">
      <c r="V43091" s="42"/>
    </row>
    <row r="43286" spans="22:22">
      <c r="V43286" s="42"/>
    </row>
    <row r="43481" spans="22:22">
      <c r="V43481" s="42"/>
    </row>
    <row r="43676" spans="22:22">
      <c r="V43676" s="42"/>
    </row>
    <row r="43871" spans="22:22">
      <c r="V43871" s="42"/>
    </row>
    <row r="44066" spans="22:22">
      <c r="V44066" s="42"/>
    </row>
    <row r="44261" spans="22:22">
      <c r="V44261" s="42"/>
    </row>
    <row r="44456" spans="22:22">
      <c r="V44456" s="42"/>
    </row>
    <row r="44651" spans="22:22">
      <c r="V44651" s="42"/>
    </row>
    <row r="44846" spans="22:22">
      <c r="V44846" s="42"/>
    </row>
    <row r="45041" spans="22:22">
      <c r="V45041" s="42"/>
    </row>
    <row r="45236" spans="22:22">
      <c r="V45236" s="42"/>
    </row>
    <row r="45431" spans="22:22">
      <c r="V45431" s="42"/>
    </row>
    <row r="45626" spans="22:22">
      <c r="V45626" s="42"/>
    </row>
    <row r="45821" spans="22:22">
      <c r="V45821" s="42"/>
    </row>
    <row r="46016" spans="22:22">
      <c r="V46016" s="42"/>
    </row>
    <row r="46211" spans="22:22">
      <c r="V46211" s="42"/>
    </row>
    <row r="46406" spans="22:22">
      <c r="V46406" s="42"/>
    </row>
    <row r="46601" spans="22:22">
      <c r="V46601" s="42"/>
    </row>
    <row r="46796" spans="22:22">
      <c r="V46796" s="42"/>
    </row>
    <row r="46991" spans="22:22">
      <c r="V46991" s="42"/>
    </row>
    <row r="47186" spans="22:22">
      <c r="V47186" s="42"/>
    </row>
    <row r="47381" spans="22:22">
      <c r="V47381" s="42"/>
    </row>
    <row r="47576" spans="22:22">
      <c r="V47576" s="42"/>
    </row>
    <row r="47771" spans="22:22">
      <c r="V47771" s="42"/>
    </row>
    <row r="47966" spans="22:22">
      <c r="V47966" s="42"/>
    </row>
    <row r="48161" spans="22:22">
      <c r="V48161" s="42"/>
    </row>
    <row r="48356" spans="22:22">
      <c r="V48356" s="42"/>
    </row>
    <row r="48551" spans="22:22">
      <c r="V48551" s="42"/>
    </row>
    <row r="48746" spans="22:22">
      <c r="V48746" s="42"/>
    </row>
    <row r="48941" spans="22:22">
      <c r="V48941" s="42"/>
    </row>
    <row r="49136" spans="22:22">
      <c r="V49136" s="42"/>
    </row>
    <row r="49331" spans="22:22">
      <c r="V49331" s="42"/>
    </row>
    <row r="49526" spans="22:22">
      <c r="V49526" s="42"/>
    </row>
    <row r="49721" spans="22:22">
      <c r="V49721" s="42"/>
    </row>
    <row r="49916" spans="22:22">
      <c r="V49916" s="42"/>
    </row>
    <row r="50111" spans="22:22">
      <c r="V50111" s="42"/>
    </row>
    <row r="50306" spans="22:22">
      <c r="V50306" s="42"/>
    </row>
    <row r="50501" spans="22:22">
      <c r="V50501" s="42"/>
    </row>
    <row r="50696" spans="22:22">
      <c r="V50696" s="42"/>
    </row>
    <row r="50891" spans="22:22">
      <c r="V50891" s="42"/>
    </row>
    <row r="51086" spans="22:22">
      <c r="V51086" s="42"/>
    </row>
    <row r="51281" spans="22:22">
      <c r="V51281" s="42"/>
    </row>
    <row r="51476" spans="22:22">
      <c r="V51476" s="42"/>
    </row>
    <row r="51671" spans="22:22">
      <c r="V51671" s="42"/>
    </row>
    <row r="51866" spans="22:22">
      <c r="V51866" s="42"/>
    </row>
    <row r="52061" spans="22:22">
      <c r="V52061" s="42"/>
    </row>
    <row r="52256" spans="22:22">
      <c r="V52256" s="42"/>
    </row>
    <row r="52451" spans="22:22">
      <c r="V52451" s="42"/>
    </row>
    <row r="52646" spans="22:22">
      <c r="V52646" s="42"/>
    </row>
    <row r="52841" spans="22:22">
      <c r="V52841" s="42"/>
    </row>
    <row r="53036" spans="22:22">
      <c r="V53036" s="42"/>
    </row>
    <row r="53231" spans="22:22">
      <c r="V53231" s="42"/>
    </row>
    <row r="53426" spans="22:22">
      <c r="V53426" s="42"/>
    </row>
    <row r="53621" spans="22:22">
      <c r="V53621" s="42"/>
    </row>
    <row r="53816" spans="22:22">
      <c r="V53816" s="42"/>
    </row>
    <row r="54011" spans="22:22">
      <c r="V54011" s="42"/>
    </row>
    <row r="54206" spans="22:22">
      <c r="V54206" s="42"/>
    </row>
    <row r="54401" spans="22:22">
      <c r="V54401" s="42"/>
    </row>
    <row r="54596" spans="22:22">
      <c r="V54596" s="42"/>
    </row>
    <row r="54791" spans="22:22">
      <c r="V54791" s="42"/>
    </row>
    <row r="54986" spans="22:22">
      <c r="V54986" s="42"/>
    </row>
    <row r="55181" spans="22:22">
      <c r="V55181" s="42"/>
    </row>
    <row r="55376" spans="22:22">
      <c r="V55376" s="42"/>
    </row>
    <row r="55571" spans="22:22">
      <c r="V55571" s="42"/>
    </row>
    <row r="55766" spans="22:22">
      <c r="V55766" s="42"/>
    </row>
    <row r="55961" spans="22:22">
      <c r="V55961" s="42"/>
    </row>
    <row r="56156" spans="22:22">
      <c r="V56156" s="42"/>
    </row>
    <row r="56351" spans="22:22">
      <c r="V56351" s="42"/>
    </row>
    <row r="56546" spans="22:22">
      <c r="V56546" s="42"/>
    </row>
    <row r="56741" spans="22:22">
      <c r="V56741" s="42"/>
    </row>
    <row r="56936" spans="22:22">
      <c r="V56936" s="42"/>
    </row>
    <row r="57131" spans="22:22">
      <c r="V57131" s="42"/>
    </row>
    <row r="57326" spans="22:22">
      <c r="V57326" s="42"/>
    </row>
    <row r="57521" spans="22:22">
      <c r="V57521" s="42"/>
    </row>
    <row r="57716" spans="22:22">
      <c r="V57716" s="42"/>
    </row>
    <row r="57911" spans="22:22">
      <c r="V57911" s="42"/>
    </row>
    <row r="58106" spans="22:22">
      <c r="V58106" s="42"/>
    </row>
    <row r="58301" spans="22:22">
      <c r="V58301" s="42"/>
    </row>
    <row r="58496" spans="22:22">
      <c r="V58496" s="42"/>
    </row>
    <row r="58691" spans="22:22">
      <c r="V58691" s="42"/>
    </row>
    <row r="58886" spans="22:22">
      <c r="V58886" s="42"/>
    </row>
    <row r="59081" spans="22:22">
      <c r="V59081" s="42"/>
    </row>
    <row r="59276" spans="22:22">
      <c r="V59276" s="42"/>
    </row>
    <row r="59471" spans="22:22">
      <c r="V59471" s="42"/>
    </row>
    <row r="59666" spans="22:22">
      <c r="V59666" s="42"/>
    </row>
    <row r="59861" spans="22:22">
      <c r="V59861" s="42"/>
    </row>
    <row r="60056" spans="22:22">
      <c r="V60056" s="42"/>
    </row>
    <row r="60251" spans="22:22">
      <c r="V60251" s="42"/>
    </row>
    <row r="60446" spans="22:22">
      <c r="V60446" s="42"/>
    </row>
    <row r="60641" spans="22:22">
      <c r="V60641" s="42"/>
    </row>
    <row r="60836" spans="22:22">
      <c r="V60836" s="42"/>
    </row>
    <row r="61031" spans="22:22">
      <c r="V61031" s="42"/>
    </row>
    <row r="61226" spans="22:22">
      <c r="V61226" s="42"/>
    </row>
    <row r="61421" spans="22:22">
      <c r="V61421" s="42"/>
    </row>
    <row r="61616" spans="22:22">
      <c r="V61616" s="42"/>
    </row>
    <row r="61811" spans="22:22">
      <c r="V61811" s="42"/>
    </row>
    <row r="62006" spans="22:22">
      <c r="V62006" s="42"/>
    </row>
    <row r="62201" spans="22:22">
      <c r="V62201" s="42"/>
    </row>
    <row r="62396" spans="22:22">
      <c r="V62396" s="42"/>
    </row>
    <row r="62591" spans="22:22">
      <c r="V62591" s="42"/>
    </row>
    <row r="62786" spans="22:22">
      <c r="V62786" s="42"/>
    </row>
    <row r="62981" spans="22:22">
      <c r="V62981" s="42"/>
    </row>
    <row r="63176" spans="22:22">
      <c r="V63176" s="42"/>
    </row>
    <row r="63371" spans="22:22">
      <c r="V63371" s="42"/>
    </row>
    <row r="63566" spans="22:22">
      <c r="V63566" s="42"/>
    </row>
    <row r="63761" spans="22:22">
      <c r="V63761" s="42"/>
    </row>
    <row r="63956" spans="22:22">
      <c r="V63956" s="42"/>
    </row>
    <row r="64151" spans="22:22">
      <c r="V64151" s="42"/>
    </row>
    <row r="64346" spans="22:22">
      <c r="V64346" s="42"/>
    </row>
    <row r="64541" spans="22:22">
      <c r="V64541" s="42"/>
    </row>
    <row r="64736" spans="22:22">
      <c r="V64736" s="42"/>
    </row>
    <row r="64931" spans="22:22">
      <c r="V64931" s="42"/>
    </row>
    <row r="65126" spans="22:22">
      <c r="V65126" s="42"/>
    </row>
    <row r="65321" spans="22:22">
      <c r="V65321" s="42"/>
    </row>
    <row r="65516" spans="22:22">
      <c r="V65516" s="42"/>
    </row>
    <row r="65711" spans="22:22">
      <c r="V65711" s="42"/>
    </row>
    <row r="65906" spans="22:22">
      <c r="V65906" s="42"/>
    </row>
    <row r="66101" spans="22:22">
      <c r="V66101" s="42"/>
    </row>
    <row r="66296" spans="22:22">
      <c r="V66296" s="42"/>
    </row>
    <row r="66491" spans="22:22">
      <c r="V66491" s="42"/>
    </row>
    <row r="66686" spans="22:22">
      <c r="V66686" s="42"/>
    </row>
    <row r="66881" spans="22:22">
      <c r="V66881" s="42"/>
    </row>
    <row r="67076" spans="22:22">
      <c r="V67076" s="42"/>
    </row>
    <row r="67271" spans="22:22">
      <c r="V67271" s="42"/>
    </row>
    <row r="67466" spans="22:22">
      <c r="V67466" s="42"/>
    </row>
    <row r="67661" spans="22:22">
      <c r="V67661" s="42"/>
    </row>
    <row r="67856" spans="22:22">
      <c r="V67856" s="42"/>
    </row>
    <row r="68051" spans="22:22">
      <c r="V68051" s="42"/>
    </row>
    <row r="68246" spans="22:22">
      <c r="V68246" s="42"/>
    </row>
    <row r="68441" spans="22:22">
      <c r="V68441" s="42"/>
    </row>
    <row r="68636" spans="22:22">
      <c r="V68636" s="42"/>
    </row>
    <row r="68831" spans="22:22">
      <c r="V68831" s="42"/>
    </row>
    <row r="69026" spans="22:22">
      <c r="V69026" s="42"/>
    </row>
    <row r="69221" spans="22:22">
      <c r="V69221" s="42"/>
    </row>
    <row r="69416" spans="22:22">
      <c r="V69416" s="42"/>
    </row>
    <row r="69611" spans="22:22">
      <c r="V69611" s="42"/>
    </row>
    <row r="69806" spans="22:22">
      <c r="V69806" s="42"/>
    </row>
    <row r="70001" spans="22:22">
      <c r="V70001" s="42"/>
    </row>
    <row r="70196" spans="22:22">
      <c r="V70196" s="42"/>
    </row>
    <row r="70391" spans="22:22">
      <c r="V70391" s="42"/>
    </row>
    <row r="70586" spans="22:22">
      <c r="V70586" s="42"/>
    </row>
    <row r="70781" spans="22:22">
      <c r="V70781" s="42"/>
    </row>
    <row r="70976" spans="22:22">
      <c r="V70976" s="42"/>
    </row>
    <row r="71171" spans="22:22">
      <c r="V71171" s="42"/>
    </row>
    <row r="71366" spans="22:22">
      <c r="V71366" s="42"/>
    </row>
    <row r="71561" spans="22:22">
      <c r="V71561" s="42"/>
    </row>
    <row r="71756" spans="22:22">
      <c r="V71756" s="42"/>
    </row>
    <row r="71951" spans="22:22">
      <c r="V71951" s="42"/>
    </row>
    <row r="72146" spans="22:22">
      <c r="V72146" s="42"/>
    </row>
    <row r="72341" spans="22:22">
      <c r="V72341" s="42"/>
    </row>
    <row r="72536" spans="22:22">
      <c r="V72536" s="42"/>
    </row>
    <row r="72731" spans="22:22">
      <c r="V72731" s="42"/>
    </row>
    <row r="72926" spans="22:22">
      <c r="V72926" s="42"/>
    </row>
    <row r="73121" spans="22:22">
      <c r="V73121" s="42"/>
    </row>
    <row r="73316" spans="22:22">
      <c r="V73316" s="42"/>
    </row>
    <row r="73511" spans="22:22">
      <c r="V73511" s="42"/>
    </row>
    <row r="73706" spans="22:22">
      <c r="V73706" s="42"/>
    </row>
    <row r="73901" spans="22:22">
      <c r="V73901" s="42"/>
    </row>
    <row r="74096" spans="22:22">
      <c r="V74096" s="42"/>
    </row>
    <row r="74291" spans="22:22">
      <c r="V74291" s="42"/>
    </row>
    <row r="74486" spans="22:22">
      <c r="V74486" s="42"/>
    </row>
    <row r="74681" spans="22:22">
      <c r="V74681" s="42"/>
    </row>
    <row r="74876" spans="22:22">
      <c r="V74876" s="42"/>
    </row>
    <row r="75071" spans="22:22">
      <c r="V75071" s="42"/>
    </row>
    <row r="75266" spans="22:22">
      <c r="V75266" s="42"/>
    </row>
    <row r="75461" spans="22:22">
      <c r="V75461" s="42"/>
    </row>
    <row r="75656" spans="22:22">
      <c r="V75656" s="42"/>
    </row>
    <row r="75851" spans="22:22">
      <c r="V75851" s="42"/>
    </row>
    <row r="76046" spans="22:22">
      <c r="V76046" s="42"/>
    </row>
    <row r="76241" spans="22:22">
      <c r="V76241" s="42"/>
    </row>
    <row r="76436" spans="22:22">
      <c r="V76436" s="42"/>
    </row>
    <row r="76631" spans="22:22">
      <c r="V76631" s="42"/>
    </row>
    <row r="76826" spans="22:22">
      <c r="V76826" s="42"/>
    </row>
    <row r="77021" spans="22:22">
      <c r="V77021" s="42"/>
    </row>
    <row r="77216" spans="22:22">
      <c r="V77216" s="42"/>
    </row>
    <row r="77411" spans="22:22">
      <c r="V77411" s="42"/>
    </row>
    <row r="77606" spans="22:22">
      <c r="V77606" s="42"/>
    </row>
    <row r="77801" spans="22:22">
      <c r="V77801" s="42"/>
    </row>
    <row r="77996" spans="22:22">
      <c r="V77996" s="42"/>
    </row>
    <row r="78191" spans="22:22">
      <c r="V78191" s="42"/>
    </row>
    <row r="78386" spans="22:22">
      <c r="V78386" s="42"/>
    </row>
    <row r="78581" spans="22:22">
      <c r="V78581" s="42"/>
    </row>
    <row r="78776" spans="22:22">
      <c r="V78776" s="42"/>
    </row>
    <row r="78971" spans="22:22">
      <c r="V78971" s="42"/>
    </row>
    <row r="79166" spans="22:22">
      <c r="V79166" s="42"/>
    </row>
    <row r="79361" spans="22:22">
      <c r="V79361" s="42"/>
    </row>
    <row r="79556" spans="22:22">
      <c r="V79556" s="42"/>
    </row>
    <row r="79751" spans="22:22">
      <c r="V79751" s="42"/>
    </row>
    <row r="79946" spans="22:22">
      <c r="V79946" s="42"/>
    </row>
    <row r="80141" spans="22:22">
      <c r="V80141" s="42"/>
    </row>
    <row r="80336" spans="22:22">
      <c r="V80336" s="42"/>
    </row>
    <row r="80531" spans="22:22">
      <c r="V80531" s="42"/>
    </row>
    <row r="80726" spans="22:22">
      <c r="V80726" s="42"/>
    </row>
    <row r="80921" spans="22:22">
      <c r="V80921" s="42"/>
    </row>
    <row r="81116" spans="22:22">
      <c r="V81116" s="42"/>
    </row>
    <row r="81311" spans="22:22">
      <c r="V81311" s="42"/>
    </row>
    <row r="81506" spans="22:22">
      <c r="V81506" s="42"/>
    </row>
    <row r="81701" spans="22:22">
      <c r="V81701" s="42"/>
    </row>
    <row r="81896" spans="22:22">
      <c r="V81896" s="42"/>
    </row>
    <row r="82091" spans="22:22">
      <c r="V82091" s="42"/>
    </row>
    <row r="82286" spans="22:22">
      <c r="V82286" s="42"/>
    </row>
    <row r="82481" spans="22:22">
      <c r="V82481" s="42"/>
    </row>
    <row r="82676" spans="22:22">
      <c r="V82676" s="42"/>
    </row>
    <row r="82871" spans="22:22">
      <c r="V82871" s="42"/>
    </row>
    <row r="83066" spans="22:22">
      <c r="V83066" s="42"/>
    </row>
    <row r="83261" spans="22:22">
      <c r="V83261" s="42"/>
    </row>
    <row r="83456" spans="22:22">
      <c r="V83456" s="42"/>
    </row>
    <row r="83651" spans="22:22">
      <c r="V83651" s="42"/>
    </row>
    <row r="83846" spans="22:22">
      <c r="V83846" s="42"/>
    </row>
    <row r="84041" spans="22:22">
      <c r="V84041" s="42"/>
    </row>
    <row r="84236" spans="22:22">
      <c r="V84236" s="42"/>
    </row>
    <row r="84431" spans="22:22">
      <c r="V84431" s="42"/>
    </row>
    <row r="84626" spans="22:22">
      <c r="V84626" s="42"/>
    </row>
    <row r="84821" spans="22:22">
      <c r="V84821" s="42"/>
    </row>
    <row r="85016" spans="22:22">
      <c r="V85016" s="42"/>
    </row>
    <row r="85211" spans="22:22">
      <c r="V85211" s="42"/>
    </row>
    <row r="85406" spans="22:22">
      <c r="V85406" s="42"/>
    </row>
    <row r="85601" spans="22:22">
      <c r="V85601" s="42"/>
    </row>
    <row r="85796" spans="22:22">
      <c r="V85796" s="42"/>
    </row>
    <row r="85991" spans="22:22">
      <c r="V85991" s="42"/>
    </row>
    <row r="86186" spans="22:22">
      <c r="V86186" s="42"/>
    </row>
    <row r="86381" spans="22:22">
      <c r="V86381" s="42"/>
    </row>
    <row r="86576" spans="22:22">
      <c r="V86576" s="42"/>
    </row>
    <row r="86771" spans="22:22">
      <c r="V86771" s="42"/>
    </row>
    <row r="86966" spans="22:22">
      <c r="V86966" s="42"/>
    </row>
    <row r="87161" spans="22:22">
      <c r="V87161" s="42"/>
    </row>
    <row r="87356" spans="22:22">
      <c r="V87356" s="42"/>
    </row>
    <row r="87551" spans="22:22">
      <c r="V87551" s="42"/>
    </row>
    <row r="87746" spans="22:22">
      <c r="V87746" s="42"/>
    </row>
    <row r="87941" spans="22:22">
      <c r="V87941" s="42"/>
    </row>
    <row r="88136" spans="22:22">
      <c r="V88136" s="42"/>
    </row>
    <row r="88331" spans="22:22">
      <c r="V88331" s="42"/>
    </row>
    <row r="88526" spans="22:22">
      <c r="V88526" s="42"/>
    </row>
    <row r="88721" spans="22:22">
      <c r="V88721" s="42"/>
    </row>
    <row r="88916" spans="22:22">
      <c r="V88916" s="42"/>
    </row>
    <row r="89111" spans="22:22">
      <c r="V89111" s="42"/>
    </row>
    <row r="89306" spans="22:22">
      <c r="V89306" s="42"/>
    </row>
    <row r="89501" spans="22:22">
      <c r="V89501" s="42"/>
    </row>
    <row r="89696" spans="22:22">
      <c r="V89696" s="42"/>
    </row>
    <row r="89891" spans="22:22">
      <c r="V89891" s="42"/>
    </row>
    <row r="90086" spans="22:22">
      <c r="V90086" s="42"/>
    </row>
    <row r="90281" spans="22:22">
      <c r="V90281" s="42"/>
    </row>
    <row r="90476" spans="22:22">
      <c r="V90476" s="42"/>
    </row>
    <row r="90671" spans="22:22">
      <c r="V90671" s="42"/>
    </row>
    <row r="90866" spans="22:22">
      <c r="V90866" s="42"/>
    </row>
    <row r="91061" spans="22:22">
      <c r="V91061" s="42"/>
    </row>
    <row r="91256" spans="22:22">
      <c r="V91256" s="42"/>
    </row>
    <row r="91451" spans="22:22">
      <c r="V91451" s="42"/>
    </row>
    <row r="91646" spans="22:22">
      <c r="V91646" s="42"/>
    </row>
    <row r="91841" spans="22:22">
      <c r="V91841" s="42"/>
    </row>
    <row r="92036" spans="22:22">
      <c r="V92036" s="42"/>
    </row>
    <row r="92231" spans="22:22">
      <c r="V92231" s="42"/>
    </row>
    <row r="92426" spans="22:22">
      <c r="V92426" s="42"/>
    </row>
    <row r="92621" spans="22:22">
      <c r="V92621" s="42"/>
    </row>
    <row r="92816" spans="22:22">
      <c r="V92816" s="42"/>
    </row>
    <row r="93011" spans="22:22">
      <c r="V93011" s="42"/>
    </row>
    <row r="93206" spans="22:22">
      <c r="V93206" s="42"/>
    </row>
    <row r="93401" spans="22:22">
      <c r="V93401" s="42"/>
    </row>
    <row r="93596" spans="22:22">
      <c r="V93596" s="42"/>
    </row>
    <row r="93791" spans="22:22">
      <c r="V93791" s="42"/>
    </row>
    <row r="93986" spans="22:22">
      <c r="V93986" s="42"/>
    </row>
    <row r="94181" spans="22:22">
      <c r="V94181" s="42"/>
    </row>
    <row r="94376" spans="22:22">
      <c r="V94376" s="42"/>
    </row>
    <row r="94571" spans="22:22">
      <c r="V94571" s="42"/>
    </row>
    <row r="94766" spans="22:22">
      <c r="V94766" s="42"/>
    </row>
    <row r="94961" spans="22:22">
      <c r="V94961" s="42"/>
    </row>
    <row r="95156" spans="22:22">
      <c r="V95156" s="42"/>
    </row>
    <row r="95351" spans="22:22">
      <c r="V95351" s="42"/>
    </row>
    <row r="95546" spans="22:22">
      <c r="V95546" s="42"/>
    </row>
    <row r="95741" spans="22:22">
      <c r="V95741" s="42"/>
    </row>
    <row r="95936" spans="22:22">
      <c r="V95936" s="42"/>
    </row>
    <row r="96131" spans="22:22">
      <c r="V96131" s="42"/>
    </row>
    <row r="96326" spans="22:22">
      <c r="V96326" s="42"/>
    </row>
    <row r="96521" spans="22:22">
      <c r="V96521" s="42"/>
    </row>
    <row r="96716" spans="22:22">
      <c r="V96716" s="42"/>
    </row>
    <row r="96911" spans="22:22">
      <c r="V96911" s="42"/>
    </row>
    <row r="97106" spans="22:22">
      <c r="V97106" s="42"/>
    </row>
    <row r="97301" spans="22:22">
      <c r="V97301" s="42"/>
    </row>
    <row r="97496" spans="22:22">
      <c r="V97496" s="42"/>
    </row>
    <row r="97691" spans="22:22">
      <c r="V97691" s="42"/>
    </row>
    <row r="97886" spans="22:22">
      <c r="V97886" s="42"/>
    </row>
    <row r="98081" spans="22:22">
      <c r="V98081" s="42"/>
    </row>
    <row r="98276" spans="22:22">
      <c r="V98276" s="42"/>
    </row>
    <row r="98471" spans="22:22">
      <c r="V98471" s="42"/>
    </row>
    <row r="98666" spans="22:22">
      <c r="V98666" s="42"/>
    </row>
    <row r="98861" spans="22:22">
      <c r="V98861" s="42"/>
    </row>
    <row r="99056" spans="22:22">
      <c r="V99056" s="42"/>
    </row>
    <row r="99251" spans="22:22">
      <c r="V99251" s="42"/>
    </row>
    <row r="99446" spans="22:22">
      <c r="V99446" s="42"/>
    </row>
    <row r="99641" spans="22:22">
      <c r="V99641" s="42"/>
    </row>
    <row r="99836" spans="22:22">
      <c r="V99836" s="42"/>
    </row>
    <row r="100031" spans="22:22">
      <c r="V100031" s="42"/>
    </row>
    <row r="100226" spans="22:22">
      <c r="V100226" s="42"/>
    </row>
    <row r="100421" spans="22:22">
      <c r="V100421" s="42"/>
    </row>
    <row r="100616" spans="22:22">
      <c r="V100616" s="42"/>
    </row>
    <row r="100811" spans="22:22">
      <c r="V100811" s="42"/>
    </row>
    <row r="101006" spans="22:22">
      <c r="V101006" s="42"/>
    </row>
    <row r="101201" spans="22:22">
      <c r="V101201" s="42"/>
    </row>
    <row r="101396" spans="22:22">
      <c r="V101396" s="42"/>
    </row>
    <row r="101591" spans="22:22">
      <c r="V101591" s="42"/>
    </row>
    <row r="101786" spans="22:22">
      <c r="V101786" s="42"/>
    </row>
    <row r="101981" spans="22:22">
      <c r="V101981" s="42"/>
    </row>
    <row r="102176" spans="22:22">
      <c r="V102176" s="42"/>
    </row>
    <row r="102371" spans="22:22">
      <c r="V102371" s="42"/>
    </row>
    <row r="102566" spans="22:22">
      <c r="V102566" s="42"/>
    </row>
    <row r="102761" spans="22:22">
      <c r="V102761" s="42"/>
    </row>
    <row r="102956" spans="22:22">
      <c r="V102956" s="42"/>
    </row>
    <row r="103151" spans="22:22">
      <c r="V103151" s="42"/>
    </row>
    <row r="103346" spans="22:22">
      <c r="V103346" s="42"/>
    </row>
    <row r="103541" spans="22:22">
      <c r="V103541" s="42"/>
    </row>
    <row r="103736" spans="22:22">
      <c r="V103736" s="42"/>
    </row>
    <row r="103931" spans="22:22">
      <c r="V103931" s="42"/>
    </row>
    <row r="104126" spans="22:22">
      <c r="V104126" s="42"/>
    </row>
    <row r="104321" spans="22:22">
      <c r="V104321" s="42"/>
    </row>
    <row r="104516" spans="22:22">
      <c r="V104516" s="42"/>
    </row>
    <row r="104711" spans="22:22">
      <c r="V104711" s="42"/>
    </row>
    <row r="104906" spans="22:22">
      <c r="V104906" s="42"/>
    </row>
    <row r="105101" spans="22:22">
      <c r="V105101" s="42"/>
    </row>
    <row r="105296" spans="22:22">
      <c r="V105296" s="42"/>
    </row>
    <row r="105491" spans="22:22">
      <c r="V105491" s="42"/>
    </row>
    <row r="105686" spans="22:22">
      <c r="V105686" s="42"/>
    </row>
    <row r="105881" spans="22:22">
      <c r="V105881" s="42"/>
    </row>
    <row r="106076" spans="22:22">
      <c r="V106076" s="42"/>
    </row>
    <row r="106271" spans="22:22">
      <c r="V106271" s="42"/>
    </row>
    <row r="106466" spans="22:22">
      <c r="V106466" s="42"/>
    </row>
    <row r="106661" spans="22:22">
      <c r="V106661" s="42"/>
    </row>
    <row r="106856" spans="22:22">
      <c r="V106856" s="42"/>
    </row>
    <row r="107051" spans="22:22">
      <c r="V107051" s="42"/>
    </row>
    <row r="107246" spans="22:22">
      <c r="V107246" s="42"/>
    </row>
    <row r="107441" spans="22:22">
      <c r="V107441" s="42"/>
    </row>
    <row r="107636" spans="22:22">
      <c r="V107636" s="42"/>
    </row>
    <row r="107831" spans="22:22">
      <c r="V107831" s="42"/>
    </row>
    <row r="108026" spans="22:22">
      <c r="V108026" s="42"/>
    </row>
    <row r="108221" spans="22:22">
      <c r="V108221" s="42"/>
    </row>
    <row r="108416" spans="22:22">
      <c r="V108416" s="42"/>
    </row>
    <row r="108611" spans="22:22">
      <c r="V108611" s="42"/>
    </row>
    <row r="108806" spans="22:22">
      <c r="V108806" s="42"/>
    </row>
    <row r="109001" spans="22:22">
      <c r="V109001" s="42"/>
    </row>
    <row r="109196" spans="22:22">
      <c r="V109196" s="42"/>
    </row>
    <row r="109391" spans="22:22">
      <c r="V109391" s="42"/>
    </row>
    <row r="109586" spans="22:22">
      <c r="V109586" s="42"/>
    </row>
    <row r="109781" spans="22:22">
      <c r="V109781" s="42"/>
    </row>
    <row r="109976" spans="22:22">
      <c r="V109976" s="42"/>
    </row>
    <row r="110171" spans="22:22">
      <c r="V110171" s="42"/>
    </row>
    <row r="110366" spans="22:22">
      <c r="V110366" s="42"/>
    </row>
    <row r="110561" spans="22:22">
      <c r="V110561" s="42"/>
    </row>
    <row r="110756" spans="22:22">
      <c r="V110756" s="42"/>
    </row>
    <row r="110951" spans="22:22">
      <c r="V110951" s="42"/>
    </row>
    <row r="111146" spans="22:22">
      <c r="V111146" s="42"/>
    </row>
    <row r="111341" spans="22:22">
      <c r="V111341" s="42"/>
    </row>
    <row r="111536" spans="22:22">
      <c r="V111536" s="42"/>
    </row>
    <row r="111731" spans="22:22">
      <c r="V111731" s="42"/>
    </row>
    <row r="111926" spans="22:22">
      <c r="V111926" s="42"/>
    </row>
    <row r="112121" spans="22:22">
      <c r="V112121" s="42"/>
    </row>
    <row r="112316" spans="22:22">
      <c r="V112316" s="42"/>
    </row>
    <row r="112511" spans="22:22">
      <c r="V112511" s="42"/>
    </row>
    <row r="112706" spans="22:22">
      <c r="V112706" s="42"/>
    </row>
    <row r="112901" spans="22:22">
      <c r="V112901" s="42"/>
    </row>
    <row r="113096" spans="22:22">
      <c r="V113096" s="42"/>
    </row>
    <row r="113291" spans="22:22">
      <c r="V113291" s="42"/>
    </row>
    <row r="113486" spans="22:22">
      <c r="V113486" s="42"/>
    </row>
    <row r="113681" spans="22:22">
      <c r="V113681" s="42"/>
    </row>
    <row r="113876" spans="22:22">
      <c r="V113876" s="42"/>
    </row>
    <row r="114071" spans="22:22">
      <c r="V114071" s="42"/>
    </row>
    <row r="114266" spans="22:22">
      <c r="V114266" s="42"/>
    </row>
    <row r="114461" spans="22:22">
      <c r="V114461" s="42"/>
    </row>
    <row r="114656" spans="22:22">
      <c r="V114656" s="42"/>
    </row>
    <row r="114851" spans="22:22">
      <c r="V114851" s="42"/>
    </row>
    <row r="115046" spans="22:22">
      <c r="V115046" s="42"/>
    </row>
    <row r="115241" spans="22:22">
      <c r="V115241" s="42"/>
    </row>
    <row r="115436" spans="22:22">
      <c r="V115436" s="42"/>
    </row>
    <row r="115631" spans="22:22">
      <c r="V115631" s="42"/>
    </row>
    <row r="115826" spans="22:22">
      <c r="V115826" s="42"/>
    </row>
    <row r="116021" spans="22:22">
      <c r="V116021" s="42"/>
    </row>
    <row r="116216" spans="22:22">
      <c r="V116216" s="42"/>
    </row>
    <row r="116411" spans="22:22">
      <c r="V116411" s="42"/>
    </row>
    <row r="116606" spans="22:22">
      <c r="V116606" s="42"/>
    </row>
    <row r="116801" spans="22:22">
      <c r="V116801" s="42"/>
    </row>
    <row r="116996" spans="22:22">
      <c r="V116996" s="42"/>
    </row>
    <row r="117191" spans="22:22">
      <c r="V117191" s="42"/>
    </row>
    <row r="117386" spans="22:22">
      <c r="V117386" s="42"/>
    </row>
    <row r="117581" spans="22:22">
      <c r="V117581" s="42"/>
    </row>
    <row r="117776" spans="22:22">
      <c r="V117776" s="42"/>
    </row>
    <row r="117971" spans="22:22">
      <c r="V117971" s="42"/>
    </row>
    <row r="118166" spans="22:22">
      <c r="V118166" s="42"/>
    </row>
    <row r="118361" spans="22:22">
      <c r="V118361" s="42"/>
    </row>
    <row r="118556" spans="22:22">
      <c r="V118556" s="42"/>
    </row>
    <row r="118751" spans="22:22">
      <c r="V118751" s="42"/>
    </row>
    <row r="118946" spans="22:22">
      <c r="V118946" s="42"/>
    </row>
    <row r="119141" spans="22:22">
      <c r="V119141" s="42"/>
    </row>
    <row r="119336" spans="22:22">
      <c r="V119336" s="42"/>
    </row>
    <row r="119531" spans="22:22">
      <c r="V119531" s="42"/>
    </row>
    <row r="119726" spans="22:22">
      <c r="V119726" s="42"/>
    </row>
    <row r="119921" spans="22:22">
      <c r="V119921" s="42"/>
    </row>
    <row r="120116" spans="22:22">
      <c r="V120116" s="42"/>
    </row>
    <row r="120311" spans="22:22">
      <c r="V120311" s="42"/>
    </row>
    <row r="120506" spans="22:22">
      <c r="V120506" s="42"/>
    </row>
    <row r="120701" spans="22:22">
      <c r="V120701" s="42"/>
    </row>
    <row r="120896" spans="22:22">
      <c r="V120896" s="42"/>
    </row>
    <row r="121091" spans="22:22">
      <c r="V121091" s="42"/>
    </row>
    <row r="121286" spans="22:22">
      <c r="V121286" s="42"/>
    </row>
    <row r="121481" spans="22:22">
      <c r="V121481" s="42"/>
    </row>
    <row r="121676" spans="22:22">
      <c r="V121676" s="42"/>
    </row>
    <row r="121871" spans="22:22">
      <c r="V121871" s="42"/>
    </row>
    <row r="122066" spans="22:22">
      <c r="V122066" s="42"/>
    </row>
    <row r="122261" spans="22:22">
      <c r="V122261" s="42"/>
    </row>
    <row r="122456" spans="22:22">
      <c r="V122456" s="42"/>
    </row>
    <row r="122651" spans="22:22">
      <c r="V122651" s="42"/>
    </row>
    <row r="122846" spans="22:22">
      <c r="V122846" s="42"/>
    </row>
    <row r="123041" spans="22:22">
      <c r="V123041" s="42"/>
    </row>
    <row r="123236" spans="22:22">
      <c r="V123236" s="42"/>
    </row>
    <row r="123431" spans="22:22">
      <c r="V123431" s="42"/>
    </row>
    <row r="123626" spans="22:22">
      <c r="V123626" s="42"/>
    </row>
    <row r="123821" spans="22:22">
      <c r="V123821" s="42"/>
    </row>
    <row r="124016" spans="22:22">
      <c r="V124016" s="42"/>
    </row>
    <row r="124211" spans="22:22">
      <c r="V124211" s="42"/>
    </row>
    <row r="124406" spans="22:22">
      <c r="V124406" s="42"/>
    </row>
    <row r="124601" spans="22:22">
      <c r="V124601" s="42"/>
    </row>
    <row r="124796" spans="22:22">
      <c r="V124796" s="42"/>
    </row>
    <row r="124991" spans="22:22">
      <c r="V124991" s="42"/>
    </row>
    <row r="125186" spans="22:22">
      <c r="V125186" s="42"/>
    </row>
    <row r="125381" spans="22:22">
      <c r="V125381" s="42"/>
    </row>
    <row r="125576" spans="22:22">
      <c r="V125576" s="42"/>
    </row>
    <row r="125771" spans="22:22">
      <c r="V125771" s="42"/>
    </row>
    <row r="125966" spans="22:22">
      <c r="V125966" s="42"/>
    </row>
    <row r="126161" spans="22:22">
      <c r="V126161" s="42"/>
    </row>
    <row r="126356" spans="22:22">
      <c r="V126356" s="42"/>
    </row>
    <row r="126551" spans="22:22">
      <c r="V126551" s="42"/>
    </row>
    <row r="126746" spans="22:22">
      <c r="V126746" s="42"/>
    </row>
    <row r="126941" spans="22:22">
      <c r="V126941" s="42"/>
    </row>
    <row r="127136" spans="22:22">
      <c r="V127136" s="42"/>
    </row>
    <row r="127331" spans="22:22">
      <c r="V127331" s="42"/>
    </row>
    <row r="127526" spans="22:22">
      <c r="V127526" s="42"/>
    </row>
    <row r="127721" spans="22:22">
      <c r="V127721" s="42"/>
    </row>
    <row r="127916" spans="22:22">
      <c r="V127916" s="42"/>
    </row>
    <row r="128111" spans="22:22">
      <c r="V128111" s="42"/>
    </row>
    <row r="128306" spans="22:22">
      <c r="V128306" s="42"/>
    </row>
    <row r="128501" spans="22:22">
      <c r="V128501" s="42"/>
    </row>
    <row r="128696" spans="22:22">
      <c r="V128696" s="42"/>
    </row>
    <row r="128891" spans="22:22">
      <c r="V128891" s="42"/>
    </row>
    <row r="129086" spans="22:22">
      <c r="V129086" s="42"/>
    </row>
    <row r="129281" spans="22:22">
      <c r="V129281" s="42"/>
    </row>
    <row r="129476" spans="22:22">
      <c r="V129476" s="42"/>
    </row>
    <row r="129671" spans="22:22">
      <c r="V129671" s="42"/>
    </row>
    <row r="129866" spans="22:22">
      <c r="V129866" s="42"/>
    </row>
    <row r="130061" spans="22:22">
      <c r="V130061" s="42"/>
    </row>
    <row r="130256" spans="22:22">
      <c r="V130256" s="42"/>
    </row>
    <row r="130451" spans="22:22">
      <c r="V130451" s="42"/>
    </row>
    <row r="130646" spans="22:22">
      <c r="V130646" s="42"/>
    </row>
    <row r="130841" spans="22:22">
      <c r="V130841" s="42"/>
    </row>
    <row r="131036" spans="22:22">
      <c r="V131036" s="42"/>
    </row>
    <row r="131231" spans="22:22">
      <c r="V131231" s="42"/>
    </row>
    <row r="131426" spans="22:22">
      <c r="V131426" s="42"/>
    </row>
    <row r="131621" spans="22:22">
      <c r="V131621" s="42"/>
    </row>
    <row r="131816" spans="22:22">
      <c r="V131816" s="42"/>
    </row>
    <row r="132011" spans="22:22">
      <c r="V132011" s="42"/>
    </row>
    <row r="132206" spans="22:22">
      <c r="V132206" s="42"/>
    </row>
    <row r="132401" spans="22:22">
      <c r="V132401" s="42"/>
    </row>
    <row r="132596" spans="22:22">
      <c r="V132596" s="42"/>
    </row>
    <row r="132791" spans="22:22">
      <c r="V132791" s="42"/>
    </row>
    <row r="132986" spans="22:22">
      <c r="V132986" s="42"/>
    </row>
    <row r="133181" spans="22:22">
      <c r="V133181" s="42"/>
    </row>
    <row r="133376" spans="22:22">
      <c r="V133376" s="42"/>
    </row>
    <row r="133571" spans="22:22">
      <c r="V133571" s="42"/>
    </row>
    <row r="133766" spans="22:22">
      <c r="V133766" s="42"/>
    </row>
    <row r="133961" spans="22:22">
      <c r="V133961" s="42"/>
    </row>
    <row r="134156" spans="22:22">
      <c r="V134156" s="42"/>
    </row>
    <row r="134351" spans="22:22">
      <c r="V134351" s="42"/>
    </row>
    <row r="134546" spans="22:22">
      <c r="V134546" s="42"/>
    </row>
    <row r="134741" spans="22:22">
      <c r="V134741" s="42"/>
    </row>
    <row r="134936" spans="22:22">
      <c r="V134936" s="42"/>
    </row>
    <row r="135131" spans="22:22">
      <c r="V135131" s="42"/>
    </row>
    <row r="135326" spans="22:22">
      <c r="V135326" s="42"/>
    </row>
    <row r="135521" spans="22:22">
      <c r="V135521" s="42"/>
    </row>
    <row r="135716" spans="22:22">
      <c r="V135716" s="42"/>
    </row>
    <row r="135911" spans="22:22">
      <c r="V135911" s="42"/>
    </row>
    <row r="136106" spans="22:22">
      <c r="V136106" s="42"/>
    </row>
    <row r="136301" spans="22:22">
      <c r="V136301" s="42"/>
    </row>
    <row r="136496" spans="22:22">
      <c r="V136496" s="42"/>
    </row>
    <row r="136691" spans="22:22">
      <c r="V136691" s="42"/>
    </row>
    <row r="136886" spans="22:22">
      <c r="V136886" s="42"/>
    </row>
    <row r="137081" spans="22:22">
      <c r="V137081" s="42"/>
    </row>
    <row r="137276" spans="22:22">
      <c r="V137276" s="42"/>
    </row>
    <row r="137471" spans="22:22">
      <c r="V137471" s="42"/>
    </row>
    <row r="137666" spans="22:22">
      <c r="V137666" s="42"/>
    </row>
    <row r="137861" spans="22:22">
      <c r="V137861" s="42"/>
    </row>
    <row r="138056" spans="22:22">
      <c r="V138056" s="42"/>
    </row>
    <row r="138251" spans="22:22">
      <c r="V138251" s="42"/>
    </row>
    <row r="138446" spans="22:22">
      <c r="V138446" s="42"/>
    </row>
    <row r="138641" spans="22:22">
      <c r="V138641" s="42"/>
    </row>
    <row r="138836" spans="22:22">
      <c r="V138836" s="42"/>
    </row>
    <row r="139031" spans="22:22">
      <c r="V139031" s="42"/>
    </row>
    <row r="139226" spans="22:22">
      <c r="V139226" s="42"/>
    </row>
    <row r="139421" spans="22:22">
      <c r="V139421" s="42"/>
    </row>
    <row r="139616" spans="22:22">
      <c r="V139616" s="42"/>
    </row>
    <row r="139811" spans="22:22">
      <c r="V139811" s="42"/>
    </row>
    <row r="140006" spans="22:22">
      <c r="V140006" s="42"/>
    </row>
    <row r="140201" spans="22:22">
      <c r="V140201" s="42"/>
    </row>
    <row r="140396" spans="22:22">
      <c r="V140396" s="42"/>
    </row>
    <row r="140591" spans="22:22">
      <c r="V140591" s="42"/>
    </row>
    <row r="140786" spans="22:22">
      <c r="V140786" s="42"/>
    </row>
    <row r="140981" spans="22:22">
      <c r="V140981" s="42"/>
    </row>
    <row r="141176" spans="22:22">
      <c r="V141176" s="42"/>
    </row>
    <row r="141371" spans="22:22">
      <c r="V141371" s="42"/>
    </row>
    <row r="141566" spans="22:22">
      <c r="V141566" s="42"/>
    </row>
    <row r="141761" spans="22:22">
      <c r="V141761" s="42"/>
    </row>
    <row r="141956" spans="22:22">
      <c r="V141956" s="42"/>
    </row>
    <row r="142151" spans="22:22">
      <c r="V142151" s="42"/>
    </row>
    <row r="142346" spans="22:22">
      <c r="V142346" s="42"/>
    </row>
    <row r="142541" spans="22:22">
      <c r="V142541" s="42"/>
    </row>
    <row r="142736" spans="22:22">
      <c r="V142736" s="42"/>
    </row>
    <row r="142931" spans="22:22">
      <c r="V142931" s="42"/>
    </row>
    <row r="143126" spans="22:22">
      <c r="V143126" s="42"/>
    </row>
    <row r="143321" spans="22:22">
      <c r="V143321" s="42"/>
    </row>
    <row r="143516" spans="22:22">
      <c r="V143516" s="42"/>
    </row>
    <row r="143711" spans="22:22">
      <c r="V143711" s="42"/>
    </row>
    <row r="143906" spans="22:22">
      <c r="V143906" s="42"/>
    </row>
    <row r="144101" spans="22:22">
      <c r="V144101" s="42"/>
    </row>
    <row r="144296" spans="22:22">
      <c r="V144296" s="42"/>
    </row>
    <row r="144491" spans="22:22">
      <c r="V144491" s="42"/>
    </row>
    <row r="144686" spans="22:22">
      <c r="V144686" s="42"/>
    </row>
    <row r="144881" spans="22:22">
      <c r="V144881" s="42"/>
    </row>
    <row r="145076" spans="22:22">
      <c r="V145076" s="42"/>
    </row>
    <row r="145271" spans="22:22">
      <c r="V145271" s="42"/>
    </row>
    <row r="145466" spans="22:22">
      <c r="V145466" s="42"/>
    </row>
    <row r="145661" spans="22:22">
      <c r="V145661" s="42"/>
    </row>
    <row r="145856" spans="22:22">
      <c r="V145856" s="42"/>
    </row>
    <row r="146051" spans="22:22">
      <c r="V146051" s="42"/>
    </row>
    <row r="146246" spans="22:22">
      <c r="V146246" s="42"/>
    </row>
    <row r="146441" spans="22:22">
      <c r="V146441" s="42"/>
    </row>
    <row r="146636" spans="22:22">
      <c r="V146636" s="42"/>
    </row>
    <row r="146831" spans="22:22">
      <c r="V146831" s="42"/>
    </row>
    <row r="147026" spans="22:22">
      <c r="V147026" s="42"/>
    </row>
    <row r="147221" spans="22:22">
      <c r="V147221" s="42"/>
    </row>
    <row r="147416" spans="22:22">
      <c r="V147416" s="42"/>
    </row>
    <row r="147611" spans="22:22">
      <c r="V147611" s="42"/>
    </row>
    <row r="147806" spans="22:22">
      <c r="V147806" s="42"/>
    </row>
    <row r="148001" spans="22:22">
      <c r="V148001" s="42"/>
    </row>
    <row r="148196" spans="22:22">
      <c r="V148196" s="42"/>
    </row>
    <row r="148391" spans="22:22">
      <c r="V148391" s="42"/>
    </row>
    <row r="148586" spans="22:22">
      <c r="V148586" s="42"/>
    </row>
    <row r="148781" spans="22:22">
      <c r="V148781" s="42"/>
    </row>
    <row r="148976" spans="22:22">
      <c r="V148976" s="42"/>
    </row>
    <row r="149171" spans="22:22">
      <c r="V149171" s="42"/>
    </row>
    <row r="149366" spans="22:22">
      <c r="V149366" s="42"/>
    </row>
    <row r="149561" spans="22:22">
      <c r="V149561" s="42"/>
    </row>
    <row r="149756" spans="22:22">
      <c r="V149756" s="42"/>
    </row>
    <row r="149951" spans="22:22">
      <c r="V149951" s="42"/>
    </row>
    <row r="150146" spans="22:22">
      <c r="V150146" s="42"/>
    </row>
    <row r="150341" spans="22:22">
      <c r="V150341" s="42"/>
    </row>
    <row r="150536" spans="22:22">
      <c r="V150536" s="42"/>
    </row>
    <row r="150731" spans="22:22">
      <c r="V150731" s="42"/>
    </row>
    <row r="150926" spans="22:22">
      <c r="V150926" s="42"/>
    </row>
    <row r="151121" spans="22:22">
      <c r="V151121" s="42"/>
    </row>
    <row r="151316" spans="22:22">
      <c r="V151316" s="42"/>
    </row>
    <row r="151511" spans="22:22">
      <c r="V151511" s="42"/>
    </row>
    <row r="151706" spans="22:22">
      <c r="V151706" s="42"/>
    </row>
    <row r="151901" spans="22:22">
      <c r="V151901" s="42"/>
    </row>
    <row r="152096" spans="22:22">
      <c r="V152096" s="42"/>
    </row>
    <row r="152291" spans="22:22">
      <c r="V152291" s="42"/>
    </row>
    <row r="152486" spans="22:22">
      <c r="V152486" s="42"/>
    </row>
    <row r="152681" spans="22:22">
      <c r="V152681" s="42"/>
    </row>
    <row r="152876" spans="22:22">
      <c r="V152876" s="42"/>
    </row>
    <row r="153071" spans="22:22">
      <c r="V153071" s="42"/>
    </row>
    <row r="153266" spans="22:22">
      <c r="V153266" s="42"/>
    </row>
    <row r="153461" spans="22:22">
      <c r="V153461" s="42"/>
    </row>
    <row r="153656" spans="22:22">
      <c r="V153656" s="42"/>
    </row>
    <row r="153851" spans="22:22">
      <c r="V153851" s="42"/>
    </row>
    <row r="154046" spans="22:22">
      <c r="V154046" s="42"/>
    </row>
    <row r="154241" spans="22:22">
      <c r="V154241" s="42"/>
    </row>
    <row r="154436" spans="22:22">
      <c r="V154436" s="42"/>
    </row>
    <row r="154631" spans="22:22">
      <c r="V154631" s="42"/>
    </row>
    <row r="154826" spans="22:22">
      <c r="V154826" s="42"/>
    </row>
    <row r="155021" spans="22:22">
      <c r="V155021" s="42"/>
    </row>
    <row r="155216" spans="22:22">
      <c r="V155216" s="42"/>
    </row>
    <row r="155411" spans="22:22">
      <c r="V155411" s="42"/>
    </row>
    <row r="155606" spans="22:22">
      <c r="V155606" s="42"/>
    </row>
    <row r="155801" spans="22:22">
      <c r="V155801" s="42"/>
    </row>
    <row r="155996" spans="22:22">
      <c r="V155996" s="42"/>
    </row>
    <row r="156191" spans="22:22">
      <c r="V156191" s="42"/>
    </row>
    <row r="156386" spans="22:22">
      <c r="V156386" s="42"/>
    </row>
    <row r="156581" spans="22:22">
      <c r="V156581" s="42"/>
    </row>
    <row r="156776" spans="22:22">
      <c r="V156776" s="42"/>
    </row>
    <row r="156971" spans="22:22">
      <c r="V156971" s="42"/>
    </row>
    <row r="157166" spans="22:22">
      <c r="V157166" s="42"/>
    </row>
    <row r="157361" spans="22:22">
      <c r="V157361" s="42"/>
    </row>
    <row r="157556" spans="22:22">
      <c r="V157556" s="42"/>
    </row>
    <row r="157751" spans="22:22">
      <c r="V157751" s="42"/>
    </row>
    <row r="157946" spans="22:22">
      <c r="V157946" s="42"/>
    </row>
    <row r="158141" spans="22:22">
      <c r="V158141" s="42"/>
    </row>
    <row r="158336" spans="22:22">
      <c r="V158336" s="42"/>
    </row>
    <row r="158531" spans="22:22">
      <c r="V158531" s="42"/>
    </row>
    <row r="158726" spans="22:22">
      <c r="V158726" s="42"/>
    </row>
    <row r="158921" spans="22:22">
      <c r="V158921" s="42"/>
    </row>
    <row r="159116" spans="22:22">
      <c r="V159116" s="42"/>
    </row>
    <row r="159311" spans="22:22">
      <c r="V159311" s="42"/>
    </row>
    <row r="159506" spans="22:22">
      <c r="V159506" s="42"/>
    </row>
    <row r="159701" spans="22:22">
      <c r="V159701" s="42"/>
    </row>
    <row r="159896" spans="22:22">
      <c r="V159896" s="42"/>
    </row>
    <row r="160091" spans="22:22">
      <c r="V160091" s="42"/>
    </row>
    <row r="160286" spans="22:22">
      <c r="V160286" s="42"/>
    </row>
    <row r="160481" spans="22:22">
      <c r="V160481" s="42"/>
    </row>
    <row r="160676" spans="22:22">
      <c r="V160676" s="42"/>
    </row>
    <row r="160871" spans="22:22">
      <c r="V160871" s="42"/>
    </row>
    <row r="161066" spans="22:22">
      <c r="V161066" s="42"/>
    </row>
    <row r="161261" spans="22:22">
      <c r="V161261" s="42"/>
    </row>
    <row r="161456" spans="22:22">
      <c r="V161456" s="42"/>
    </row>
    <row r="161651" spans="22:22">
      <c r="V161651" s="42"/>
    </row>
    <row r="161846" spans="22:22">
      <c r="V161846" s="42"/>
    </row>
    <row r="162041" spans="22:22">
      <c r="V162041" s="42"/>
    </row>
    <row r="162236" spans="22:22">
      <c r="V162236" s="42"/>
    </row>
    <row r="162431" spans="22:22">
      <c r="V162431" s="42"/>
    </row>
    <row r="162626" spans="22:22">
      <c r="V162626" s="42"/>
    </row>
    <row r="162821" spans="22:22">
      <c r="V162821" s="42"/>
    </row>
    <row r="163016" spans="22:22">
      <c r="V163016" s="42"/>
    </row>
    <row r="163211" spans="22:22">
      <c r="V163211" s="42"/>
    </row>
    <row r="163406" spans="22:22">
      <c r="V163406" s="42"/>
    </row>
    <row r="163601" spans="22:22">
      <c r="V163601" s="42"/>
    </row>
    <row r="163796" spans="22:22">
      <c r="V163796" s="42"/>
    </row>
    <row r="163991" spans="22:22">
      <c r="V163991" s="42"/>
    </row>
    <row r="164186" spans="22:22">
      <c r="V164186" s="42"/>
    </row>
    <row r="164381" spans="22:22">
      <c r="V164381" s="42"/>
    </row>
    <row r="164576" spans="22:22">
      <c r="V164576" s="42"/>
    </row>
    <row r="164771" spans="22:22">
      <c r="V164771" s="42"/>
    </row>
    <row r="164966" spans="22:22">
      <c r="V164966" s="42"/>
    </row>
    <row r="165161" spans="22:22">
      <c r="V165161" s="42"/>
    </row>
    <row r="165356" spans="22:22">
      <c r="V165356" s="42"/>
    </row>
    <row r="165551" spans="22:22">
      <c r="V165551" s="42"/>
    </row>
    <row r="165746" spans="22:22">
      <c r="V165746" s="42"/>
    </row>
    <row r="165941" spans="22:22">
      <c r="V165941" s="42"/>
    </row>
    <row r="166136" spans="22:22">
      <c r="V166136" s="42"/>
    </row>
    <row r="166331" spans="22:22">
      <c r="V166331" s="42"/>
    </row>
    <row r="166526" spans="22:22">
      <c r="V166526" s="42"/>
    </row>
    <row r="166721" spans="22:22">
      <c r="V166721" s="42"/>
    </row>
    <row r="166916" spans="22:22">
      <c r="V166916" s="42"/>
    </row>
    <row r="167111" spans="22:22">
      <c r="V167111" s="42"/>
    </row>
    <row r="167306" spans="22:22">
      <c r="V167306" s="42"/>
    </row>
    <row r="167501" spans="22:22">
      <c r="V167501" s="42"/>
    </row>
    <row r="167696" spans="22:22">
      <c r="V167696" s="42"/>
    </row>
    <row r="167891" spans="22:22">
      <c r="V167891" s="42"/>
    </row>
    <row r="168086" spans="22:22">
      <c r="V168086" s="42"/>
    </row>
    <row r="168281" spans="22:22">
      <c r="V168281" s="42"/>
    </row>
    <row r="168476" spans="22:22">
      <c r="V168476" s="42"/>
    </row>
    <row r="168671" spans="22:22">
      <c r="V168671" s="42"/>
    </row>
    <row r="168866" spans="22:22">
      <c r="V168866" s="42"/>
    </row>
    <row r="169061" spans="22:22">
      <c r="V169061" s="42"/>
    </row>
    <row r="169256" spans="22:22">
      <c r="V169256" s="42"/>
    </row>
    <row r="169451" spans="22:22">
      <c r="V169451" s="42"/>
    </row>
    <row r="169646" spans="22:22">
      <c r="V169646" s="42"/>
    </row>
    <row r="169841" spans="22:22">
      <c r="V169841" s="42"/>
    </row>
    <row r="170036" spans="22:22">
      <c r="V170036" s="42"/>
    </row>
    <row r="170231" spans="22:22">
      <c r="V170231" s="42"/>
    </row>
    <row r="170426" spans="22:22">
      <c r="V170426" s="42"/>
    </row>
    <row r="170621" spans="22:22">
      <c r="V170621" s="42"/>
    </row>
    <row r="170816" spans="22:22">
      <c r="V170816" s="42"/>
    </row>
    <row r="171011" spans="22:22">
      <c r="V171011" s="42"/>
    </row>
    <row r="171206" spans="22:22">
      <c r="V171206" s="42"/>
    </row>
    <row r="171401" spans="22:22">
      <c r="V171401" s="42"/>
    </row>
    <row r="171596" spans="22:22">
      <c r="V171596" s="42"/>
    </row>
    <row r="171791" spans="22:22">
      <c r="V171791" s="42"/>
    </row>
    <row r="171986" spans="22:22">
      <c r="V171986" s="42"/>
    </row>
    <row r="172181" spans="22:22">
      <c r="V172181" s="42"/>
    </row>
    <row r="172376" spans="22:22">
      <c r="V172376" s="42"/>
    </row>
    <row r="172571" spans="22:22">
      <c r="V172571" s="42"/>
    </row>
    <row r="172766" spans="22:22">
      <c r="V172766" s="42"/>
    </row>
    <row r="172961" spans="22:22">
      <c r="V172961" s="42"/>
    </row>
    <row r="173156" spans="22:22">
      <c r="V173156" s="42"/>
    </row>
    <row r="173351" spans="22:22">
      <c r="V173351" s="42"/>
    </row>
    <row r="173546" spans="22:22">
      <c r="V173546" s="42"/>
    </row>
    <row r="173741" spans="22:22">
      <c r="V173741" s="42"/>
    </row>
    <row r="173936" spans="22:22">
      <c r="V173936" s="42"/>
    </row>
    <row r="174131" spans="22:22">
      <c r="V174131" s="42"/>
    </row>
    <row r="174326" spans="22:22">
      <c r="V174326" s="42"/>
    </row>
    <row r="174521" spans="22:22">
      <c r="V174521" s="42"/>
    </row>
    <row r="174716" spans="22:22">
      <c r="V174716" s="42"/>
    </row>
    <row r="174911" spans="22:22">
      <c r="V174911" s="42"/>
    </row>
    <row r="175106" spans="22:22">
      <c r="V175106" s="42"/>
    </row>
    <row r="175301" spans="22:22">
      <c r="V175301" s="42"/>
    </row>
    <row r="175496" spans="22:22">
      <c r="V175496" s="42"/>
    </row>
    <row r="175691" spans="22:22">
      <c r="V175691" s="42"/>
    </row>
    <row r="175886" spans="22:22">
      <c r="V175886" s="42"/>
    </row>
    <row r="176081" spans="22:22">
      <c r="V176081" s="42"/>
    </row>
    <row r="176276" spans="22:22">
      <c r="V176276" s="42"/>
    </row>
    <row r="176471" spans="22:22">
      <c r="V176471" s="42"/>
    </row>
    <row r="176666" spans="22:22">
      <c r="V176666" s="42"/>
    </row>
    <row r="176861" spans="22:22">
      <c r="V176861" s="42"/>
    </row>
    <row r="177056" spans="22:22">
      <c r="V177056" s="42"/>
    </row>
    <row r="177251" spans="22:22">
      <c r="V177251" s="42"/>
    </row>
    <row r="177446" spans="22:22">
      <c r="V177446" s="42"/>
    </row>
    <row r="177641" spans="22:22">
      <c r="V177641" s="42"/>
    </row>
    <row r="177836" spans="22:22">
      <c r="V177836" s="42"/>
    </row>
    <row r="178031" spans="22:22">
      <c r="V178031" s="42"/>
    </row>
    <row r="178226" spans="22:22">
      <c r="V178226" s="42"/>
    </row>
    <row r="178421" spans="22:22">
      <c r="V178421" s="42"/>
    </row>
    <row r="178616" spans="22:22">
      <c r="V178616" s="42"/>
    </row>
    <row r="178811" spans="22:22">
      <c r="V178811" s="42"/>
    </row>
    <row r="179006" spans="22:22">
      <c r="V179006" s="42"/>
    </row>
    <row r="179201" spans="22:22">
      <c r="V179201" s="42"/>
    </row>
    <row r="179396" spans="22:22">
      <c r="V179396" s="42"/>
    </row>
    <row r="179591" spans="22:22">
      <c r="V179591" s="42"/>
    </row>
    <row r="179786" spans="22:22">
      <c r="V179786" s="42"/>
    </row>
    <row r="179981" spans="22:22">
      <c r="V179981" s="42"/>
    </row>
    <row r="180176" spans="22:22">
      <c r="V180176" s="42"/>
    </row>
    <row r="180371" spans="22:22">
      <c r="V180371" s="42"/>
    </row>
    <row r="180566" spans="22:22">
      <c r="V180566" s="42"/>
    </row>
    <row r="180761" spans="22:22">
      <c r="V180761" s="42"/>
    </row>
    <row r="180956" spans="22:22">
      <c r="V180956" s="42"/>
    </row>
    <row r="181151" spans="22:22">
      <c r="V181151" s="42"/>
    </row>
    <row r="181346" spans="22:22">
      <c r="V181346" s="42"/>
    </row>
    <row r="181541" spans="22:22">
      <c r="V181541" s="42"/>
    </row>
    <row r="181736" spans="22:22">
      <c r="V181736" s="42"/>
    </row>
    <row r="181931" spans="22:22">
      <c r="V181931" s="42"/>
    </row>
    <row r="182126" spans="22:22">
      <c r="V182126" s="42"/>
    </row>
    <row r="182321" spans="22:22">
      <c r="V182321" s="42"/>
    </row>
    <row r="182516" spans="22:22">
      <c r="V182516" s="42"/>
    </row>
    <row r="182711" spans="22:22">
      <c r="V182711" s="42"/>
    </row>
    <row r="182906" spans="22:22">
      <c r="V182906" s="42"/>
    </row>
    <row r="183101" spans="22:22">
      <c r="V183101" s="42"/>
    </row>
    <row r="183296" spans="22:22">
      <c r="V183296" s="42"/>
    </row>
    <row r="183491" spans="22:22">
      <c r="V183491" s="42"/>
    </row>
    <row r="183686" spans="22:22">
      <c r="V183686" s="42"/>
    </row>
    <row r="183881" spans="22:22">
      <c r="V183881" s="42"/>
    </row>
    <row r="184076" spans="22:22">
      <c r="V184076" s="42"/>
    </row>
    <row r="184271" spans="22:22">
      <c r="V184271" s="42"/>
    </row>
    <row r="184466" spans="22:22">
      <c r="V184466" s="42"/>
    </row>
    <row r="184661" spans="22:22">
      <c r="V184661" s="42"/>
    </row>
    <row r="184856" spans="22:22">
      <c r="V184856" s="42"/>
    </row>
    <row r="185051" spans="22:22">
      <c r="V185051" s="42"/>
    </row>
    <row r="185246" spans="22:22">
      <c r="V185246" s="42"/>
    </row>
    <row r="185441" spans="22:22">
      <c r="V185441" s="42"/>
    </row>
    <row r="185636" spans="22:22">
      <c r="V185636" s="42"/>
    </row>
    <row r="185831" spans="22:22">
      <c r="V185831" s="42"/>
    </row>
    <row r="186026" spans="22:22">
      <c r="V186026" s="42"/>
    </row>
    <row r="186221" spans="22:22">
      <c r="V186221" s="42"/>
    </row>
    <row r="186416" spans="22:22">
      <c r="V186416" s="42"/>
    </row>
    <row r="186611" spans="22:22">
      <c r="V186611" s="42"/>
    </row>
    <row r="186806" spans="22:22">
      <c r="V186806" s="42"/>
    </row>
    <row r="187001" spans="22:22">
      <c r="V187001" s="42"/>
    </row>
    <row r="187196" spans="22:22">
      <c r="V187196" s="42"/>
    </row>
    <row r="187391" spans="22:22">
      <c r="V187391" s="42"/>
    </row>
    <row r="187586" spans="22:22">
      <c r="V187586" s="42"/>
    </row>
    <row r="187781" spans="22:22">
      <c r="V187781" s="42"/>
    </row>
    <row r="187976" spans="22:22">
      <c r="V187976" s="42"/>
    </row>
    <row r="188171" spans="22:22">
      <c r="V188171" s="42"/>
    </row>
    <row r="188366" spans="22:22">
      <c r="V188366" s="42"/>
    </row>
    <row r="188561" spans="22:22">
      <c r="V188561" s="42"/>
    </row>
    <row r="188756" spans="22:22">
      <c r="V188756" s="42"/>
    </row>
    <row r="188951" spans="22:22">
      <c r="V188951" s="42"/>
    </row>
    <row r="189146" spans="22:22">
      <c r="V189146" s="42"/>
    </row>
    <row r="189341" spans="22:22">
      <c r="V189341" s="42"/>
    </row>
    <row r="189536" spans="22:22">
      <c r="V189536" s="42"/>
    </row>
    <row r="189731" spans="22:22">
      <c r="V189731" s="42"/>
    </row>
    <row r="189926" spans="22:22">
      <c r="V189926" s="42"/>
    </row>
    <row r="190121" spans="22:22">
      <c r="V190121" s="42"/>
    </row>
    <row r="190316" spans="22:22">
      <c r="V190316" s="42"/>
    </row>
    <row r="190511" spans="22:22">
      <c r="V190511" s="42"/>
    </row>
    <row r="190706" spans="22:22">
      <c r="V190706" s="42"/>
    </row>
    <row r="190901" spans="22:22">
      <c r="V190901" s="42"/>
    </row>
    <row r="191096" spans="22:22">
      <c r="V191096" s="42"/>
    </row>
    <row r="191291" spans="22:22">
      <c r="V191291" s="42"/>
    </row>
    <row r="191486" spans="22:22">
      <c r="V191486" s="42"/>
    </row>
    <row r="191681" spans="22:22">
      <c r="V191681" s="42"/>
    </row>
    <row r="191876" spans="22:22">
      <c r="V191876" s="42"/>
    </row>
    <row r="192071" spans="22:22">
      <c r="V192071" s="42"/>
    </row>
    <row r="192266" spans="22:22">
      <c r="V192266" s="42"/>
    </row>
    <row r="192461" spans="22:22">
      <c r="V192461" s="42"/>
    </row>
    <row r="192656" spans="22:22">
      <c r="V192656" s="42"/>
    </row>
    <row r="192851" spans="22:22">
      <c r="V192851" s="42"/>
    </row>
    <row r="193046" spans="22:22">
      <c r="V193046" s="42"/>
    </row>
    <row r="193241" spans="22:22">
      <c r="V193241" s="42"/>
    </row>
    <row r="193436" spans="22:22">
      <c r="V193436" s="42"/>
    </row>
    <row r="193631" spans="22:22">
      <c r="V193631" s="42"/>
    </row>
    <row r="193826" spans="22:22">
      <c r="V193826" s="42"/>
    </row>
    <row r="194021" spans="22:22">
      <c r="V194021" s="42"/>
    </row>
    <row r="194216" spans="22:22">
      <c r="V194216" s="42"/>
    </row>
    <row r="194411" spans="22:22">
      <c r="V194411" s="42"/>
    </row>
    <row r="194606" spans="22:22">
      <c r="V194606" s="42"/>
    </row>
    <row r="194801" spans="22:22">
      <c r="V194801" s="42"/>
    </row>
    <row r="194996" spans="22:22">
      <c r="V194996" s="42"/>
    </row>
    <row r="195191" spans="22:22">
      <c r="V195191" s="42"/>
    </row>
    <row r="195386" spans="22:22">
      <c r="V195386" s="42"/>
    </row>
    <row r="195581" spans="22:22">
      <c r="V195581" s="42"/>
    </row>
    <row r="195776" spans="22:22">
      <c r="V195776" s="42"/>
    </row>
    <row r="195971" spans="22:22">
      <c r="V195971" s="42"/>
    </row>
    <row r="196166" spans="22:22">
      <c r="V196166" s="42"/>
    </row>
    <row r="196361" spans="22:22">
      <c r="V196361" s="42"/>
    </row>
    <row r="196556" spans="22:22">
      <c r="V196556" s="42"/>
    </row>
    <row r="196751" spans="22:22">
      <c r="V196751" s="42"/>
    </row>
    <row r="196946" spans="22:22">
      <c r="V196946" s="42"/>
    </row>
    <row r="197141" spans="22:22">
      <c r="V197141" s="42"/>
    </row>
    <row r="197336" spans="22:22">
      <c r="V197336" s="42"/>
    </row>
    <row r="197531" spans="22:22">
      <c r="V197531" s="42"/>
    </row>
    <row r="197726" spans="22:22">
      <c r="V197726" s="42"/>
    </row>
    <row r="197921" spans="22:22">
      <c r="V197921" s="42"/>
    </row>
    <row r="198116" spans="22:22">
      <c r="V198116" s="42"/>
    </row>
    <row r="198311" spans="22:22">
      <c r="V198311" s="42"/>
    </row>
    <row r="198506" spans="22:22">
      <c r="V198506" s="42"/>
    </row>
    <row r="198701" spans="22:22">
      <c r="V198701" s="42"/>
    </row>
    <row r="198896" spans="22:22">
      <c r="V198896" s="42"/>
    </row>
    <row r="199091" spans="22:22">
      <c r="V199091" s="42"/>
    </row>
    <row r="199286" spans="22:22">
      <c r="V199286" s="42"/>
    </row>
    <row r="199481" spans="22:22">
      <c r="V199481" s="42"/>
    </row>
    <row r="199676" spans="22:22">
      <c r="V199676" s="42"/>
    </row>
    <row r="199871" spans="22:22">
      <c r="V199871" s="42"/>
    </row>
    <row r="200066" spans="22:22">
      <c r="V200066" s="42"/>
    </row>
    <row r="200261" spans="22:22">
      <c r="V200261" s="42"/>
    </row>
    <row r="200456" spans="22:22">
      <c r="V200456" s="42"/>
    </row>
    <row r="200651" spans="22:22">
      <c r="V200651" s="42"/>
    </row>
    <row r="200846" spans="22:22">
      <c r="V200846" s="42"/>
    </row>
    <row r="201041" spans="22:22">
      <c r="V201041" s="42"/>
    </row>
    <row r="201236" spans="22:22">
      <c r="V201236" s="42"/>
    </row>
    <row r="201431" spans="22:22">
      <c r="V201431" s="42"/>
    </row>
    <row r="201626" spans="22:22">
      <c r="V201626" s="42"/>
    </row>
    <row r="201821" spans="22:22">
      <c r="V201821" s="42"/>
    </row>
    <row r="202016" spans="22:22">
      <c r="V202016" s="42"/>
    </row>
    <row r="202211" spans="22:22">
      <c r="V202211" s="42"/>
    </row>
    <row r="202406" spans="22:22">
      <c r="V202406" s="42"/>
    </row>
    <row r="202601" spans="22:22">
      <c r="V202601" s="42"/>
    </row>
    <row r="202796" spans="22:22">
      <c r="V202796" s="42"/>
    </row>
    <row r="202991" spans="22:22">
      <c r="V202991" s="42"/>
    </row>
    <row r="203186" spans="22:22">
      <c r="V203186" s="42"/>
    </row>
    <row r="203381" spans="22:22">
      <c r="V203381" s="42"/>
    </row>
    <row r="203576" spans="22:22">
      <c r="V203576" s="42"/>
    </row>
    <row r="203771" spans="22:22">
      <c r="V203771" s="42"/>
    </row>
    <row r="203966" spans="22:22">
      <c r="V203966" s="42"/>
    </row>
    <row r="204161" spans="22:22">
      <c r="V204161" s="42"/>
    </row>
    <row r="204356" spans="22:22">
      <c r="V204356" s="42"/>
    </row>
    <row r="204551" spans="22:22">
      <c r="V204551" s="42"/>
    </row>
    <row r="204746" spans="22:22">
      <c r="V204746" s="42"/>
    </row>
    <row r="204941" spans="22:22">
      <c r="V204941" s="42"/>
    </row>
    <row r="205136" spans="22:22">
      <c r="V205136" s="42"/>
    </row>
    <row r="205331" spans="22:22">
      <c r="V205331" s="42"/>
    </row>
    <row r="205526" spans="22:22">
      <c r="V205526" s="42"/>
    </row>
    <row r="205721" spans="22:22">
      <c r="V205721" s="42"/>
    </row>
    <row r="205916" spans="22:22">
      <c r="V205916" s="42"/>
    </row>
    <row r="206111" spans="22:22">
      <c r="V206111" s="42"/>
    </row>
    <row r="206306" spans="22:22">
      <c r="V206306" s="42"/>
    </row>
    <row r="206501" spans="22:22">
      <c r="V206501" s="42"/>
    </row>
    <row r="206696" spans="22:22">
      <c r="V206696" s="42"/>
    </row>
    <row r="206891" spans="22:22">
      <c r="V206891" s="42"/>
    </row>
    <row r="207086" spans="22:22">
      <c r="V207086" s="42"/>
    </row>
    <row r="207281" spans="22:22">
      <c r="V207281" s="42"/>
    </row>
    <row r="207476" spans="22:22">
      <c r="V207476" s="42"/>
    </row>
    <row r="207671" spans="22:22">
      <c r="V207671" s="42"/>
    </row>
    <row r="207866" spans="22:22">
      <c r="V207866" s="42"/>
    </row>
    <row r="208061" spans="22:22">
      <c r="V208061" s="42"/>
    </row>
    <row r="208256" spans="22:22">
      <c r="V208256" s="42"/>
    </row>
    <row r="208451" spans="22:22">
      <c r="V208451" s="42"/>
    </row>
    <row r="208646" spans="22:22">
      <c r="V208646" s="42"/>
    </row>
    <row r="208841" spans="22:22">
      <c r="V208841" s="42"/>
    </row>
    <row r="209036" spans="22:22">
      <c r="V209036" s="42"/>
    </row>
    <row r="209231" spans="22:22">
      <c r="V209231" s="42"/>
    </row>
    <row r="209426" spans="22:22">
      <c r="V209426" s="42"/>
    </row>
    <row r="209621" spans="22:22">
      <c r="V209621" s="42"/>
    </row>
    <row r="209816" spans="22:22">
      <c r="V209816" s="42"/>
    </row>
    <row r="210011" spans="22:22">
      <c r="V210011" s="42"/>
    </row>
    <row r="210206" spans="22:22">
      <c r="V210206" s="42"/>
    </row>
    <row r="210401" spans="22:22">
      <c r="V210401" s="42"/>
    </row>
    <row r="210596" spans="22:22">
      <c r="V210596" s="42"/>
    </row>
    <row r="210791" spans="22:22">
      <c r="V210791" s="42"/>
    </row>
    <row r="210986" spans="22:22">
      <c r="V210986" s="42"/>
    </row>
    <row r="211181" spans="22:22">
      <c r="V211181" s="42"/>
    </row>
    <row r="211376" spans="22:22">
      <c r="V211376" s="42"/>
    </row>
    <row r="211571" spans="22:22">
      <c r="V211571" s="42"/>
    </row>
    <row r="211766" spans="22:22">
      <c r="V211766" s="42"/>
    </row>
    <row r="211961" spans="22:22">
      <c r="V211961" s="42"/>
    </row>
    <row r="212156" spans="22:22">
      <c r="V212156" s="42"/>
    </row>
    <row r="212351" spans="22:22">
      <c r="V212351" s="42"/>
    </row>
    <row r="212546" spans="22:22">
      <c r="V212546" s="42"/>
    </row>
    <row r="212741" spans="22:22">
      <c r="V212741" s="42"/>
    </row>
    <row r="212936" spans="22:22">
      <c r="V212936" s="42"/>
    </row>
    <row r="213131" spans="22:22">
      <c r="V213131" s="42"/>
    </row>
    <row r="213326" spans="22:22">
      <c r="V213326" s="42"/>
    </row>
    <row r="213521" spans="22:22">
      <c r="V213521" s="42"/>
    </row>
    <row r="213716" spans="22:22">
      <c r="V213716" s="42"/>
    </row>
    <row r="213911" spans="22:22">
      <c r="V213911" s="42"/>
    </row>
    <row r="214106" spans="22:22">
      <c r="V214106" s="42"/>
    </row>
    <row r="214301" spans="22:22">
      <c r="V214301" s="42"/>
    </row>
    <row r="214496" spans="22:22">
      <c r="V214496" s="42"/>
    </row>
    <row r="214691" spans="22:22">
      <c r="V214691" s="42"/>
    </row>
    <row r="214886" spans="22:22">
      <c r="V214886" s="42"/>
    </row>
    <row r="215081" spans="22:22">
      <c r="V215081" s="42"/>
    </row>
    <row r="215276" spans="22:22">
      <c r="V215276" s="42"/>
    </row>
    <row r="215471" spans="22:22">
      <c r="V215471" s="42"/>
    </row>
    <row r="215666" spans="22:22">
      <c r="V215666" s="42"/>
    </row>
    <row r="215861" spans="22:22">
      <c r="V215861" s="42"/>
    </row>
    <row r="216056" spans="22:22">
      <c r="V216056" s="42"/>
    </row>
    <row r="216251" spans="22:22">
      <c r="V216251" s="42"/>
    </row>
    <row r="216446" spans="22:22">
      <c r="V216446" s="42"/>
    </row>
    <row r="216641" spans="22:22">
      <c r="V216641" s="42"/>
    </row>
    <row r="216836" spans="22:22">
      <c r="V216836" s="42"/>
    </row>
    <row r="217031" spans="22:22">
      <c r="V217031" s="42"/>
    </row>
    <row r="217226" spans="22:22">
      <c r="V217226" s="42"/>
    </row>
    <row r="217421" spans="22:22">
      <c r="V217421" s="42"/>
    </row>
    <row r="217616" spans="22:22">
      <c r="V217616" s="42"/>
    </row>
    <row r="217811" spans="22:22">
      <c r="V217811" s="42"/>
    </row>
    <row r="218006" spans="22:22">
      <c r="V218006" s="42"/>
    </row>
    <row r="218201" spans="22:22">
      <c r="V218201" s="42"/>
    </row>
    <row r="218396" spans="22:22">
      <c r="V218396" s="42"/>
    </row>
    <row r="218591" spans="22:22">
      <c r="V218591" s="42"/>
    </row>
    <row r="218786" spans="22:22">
      <c r="V218786" s="42"/>
    </row>
    <row r="218981" spans="22:22">
      <c r="V218981" s="42"/>
    </row>
    <row r="219176" spans="22:22">
      <c r="V219176" s="42"/>
    </row>
    <row r="219371" spans="22:22">
      <c r="V219371" s="42"/>
    </row>
    <row r="219566" spans="22:22">
      <c r="V219566" s="42"/>
    </row>
    <row r="219761" spans="22:22">
      <c r="V219761" s="42"/>
    </row>
    <row r="219956" spans="22:22">
      <c r="V219956" s="42"/>
    </row>
    <row r="220151" spans="22:22">
      <c r="V220151" s="42"/>
    </row>
    <row r="220346" spans="22:22">
      <c r="V220346" s="42"/>
    </row>
    <row r="220541" spans="22:22">
      <c r="V220541" s="42"/>
    </row>
    <row r="220736" spans="22:22">
      <c r="V220736" s="42"/>
    </row>
    <row r="220931" spans="22:22">
      <c r="V220931" s="42"/>
    </row>
    <row r="221126" spans="22:22">
      <c r="V221126" s="42"/>
    </row>
    <row r="221321" spans="22:22">
      <c r="V221321" s="42"/>
    </row>
    <row r="221516" spans="22:22">
      <c r="V221516" s="42"/>
    </row>
    <row r="221711" spans="22:22">
      <c r="V221711" s="42"/>
    </row>
    <row r="221906" spans="22:22">
      <c r="V221906" s="42"/>
    </row>
    <row r="222101" spans="22:22">
      <c r="V222101" s="42"/>
    </row>
    <row r="222296" spans="22:22">
      <c r="V222296" s="42"/>
    </row>
    <row r="222491" spans="22:22">
      <c r="V222491" s="42"/>
    </row>
    <row r="222686" spans="22:22">
      <c r="V222686" s="42"/>
    </row>
    <row r="222881" spans="22:22">
      <c r="V222881" s="42"/>
    </row>
    <row r="223076" spans="22:22">
      <c r="V223076" s="42"/>
    </row>
    <row r="223271" spans="22:22">
      <c r="V223271" s="42"/>
    </row>
    <row r="223466" spans="22:22">
      <c r="V223466" s="42"/>
    </row>
    <row r="223661" spans="22:22">
      <c r="V223661" s="42"/>
    </row>
    <row r="223856" spans="22:22">
      <c r="V223856" s="42"/>
    </row>
    <row r="224051" spans="22:22">
      <c r="V224051" s="42"/>
    </row>
    <row r="224246" spans="22:22">
      <c r="V224246" s="42"/>
    </row>
    <row r="224441" spans="22:22">
      <c r="V224441" s="42"/>
    </row>
    <row r="224636" spans="22:22">
      <c r="V224636" s="42"/>
    </row>
    <row r="224831" spans="22:22">
      <c r="V224831" s="42"/>
    </row>
    <row r="225026" spans="22:22">
      <c r="V225026" s="42"/>
    </row>
    <row r="225221" spans="22:22">
      <c r="V225221" s="42"/>
    </row>
    <row r="225416" spans="22:22">
      <c r="V225416" s="42"/>
    </row>
    <row r="225611" spans="22:22">
      <c r="V225611" s="42"/>
    </row>
    <row r="225806" spans="22:22">
      <c r="V225806" s="42"/>
    </row>
    <row r="226001" spans="22:22">
      <c r="V226001" s="42"/>
    </row>
    <row r="226196" spans="22:22">
      <c r="V226196" s="42"/>
    </row>
    <row r="226391" spans="22:22">
      <c r="V226391" s="42"/>
    </row>
    <row r="226586" spans="22:22">
      <c r="V226586" s="42"/>
    </row>
    <row r="226781" spans="22:22">
      <c r="V226781" s="42"/>
    </row>
    <row r="226976" spans="22:22">
      <c r="V226976" s="42"/>
    </row>
    <row r="227171" spans="22:22">
      <c r="V227171" s="42"/>
    </row>
    <row r="227366" spans="22:22">
      <c r="V227366" s="42"/>
    </row>
    <row r="227561" spans="22:22">
      <c r="V227561" s="42"/>
    </row>
    <row r="227756" spans="22:22">
      <c r="V227756" s="42"/>
    </row>
    <row r="227951" spans="22:22">
      <c r="V227951" s="42"/>
    </row>
    <row r="228146" spans="22:22">
      <c r="V228146" s="42"/>
    </row>
    <row r="228341" spans="22:22">
      <c r="V228341" s="42"/>
    </row>
    <row r="228536" spans="22:22">
      <c r="V228536" s="42"/>
    </row>
    <row r="228731" spans="22:22">
      <c r="V228731" s="42"/>
    </row>
    <row r="228926" spans="22:22">
      <c r="V228926" s="42"/>
    </row>
    <row r="229121" spans="22:22">
      <c r="V229121" s="42"/>
    </row>
    <row r="229316" spans="22:22">
      <c r="V229316" s="42"/>
    </row>
    <row r="229511" spans="22:22">
      <c r="V229511" s="42"/>
    </row>
    <row r="229706" spans="22:22">
      <c r="V229706" s="42"/>
    </row>
    <row r="229901" spans="22:22">
      <c r="V229901" s="42"/>
    </row>
    <row r="230096" spans="22:22">
      <c r="V230096" s="42"/>
    </row>
    <row r="230291" spans="22:22">
      <c r="V230291" s="42"/>
    </row>
    <row r="230486" spans="22:22">
      <c r="V230486" s="42"/>
    </row>
    <row r="230681" spans="22:22">
      <c r="V230681" s="42"/>
    </row>
    <row r="230876" spans="22:22">
      <c r="V230876" s="42"/>
    </row>
    <row r="231071" spans="22:22">
      <c r="V231071" s="42"/>
    </row>
    <row r="231266" spans="22:22">
      <c r="V231266" s="42"/>
    </row>
    <row r="231461" spans="22:22">
      <c r="V231461" s="42"/>
    </row>
    <row r="231656" spans="22:22">
      <c r="V231656" s="42"/>
    </row>
    <row r="231851" spans="22:22">
      <c r="V231851" s="42"/>
    </row>
    <row r="232046" spans="22:22">
      <c r="V232046" s="42"/>
    </row>
    <row r="232241" spans="22:22">
      <c r="V232241" s="42"/>
    </row>
    <row r="232436" spans="22:22">
      <c r="V232436" s="42"/>
    </row>
    <row r="232631" spans="22:22">
      <c r="V232631" s="42"/>
    </row>
    <row r="232826" spans="22:22">
      <c r="V232826" s="42"/>
    </row>
    <row r="233021" spans="22:22">
      <c r="V233021" s="42"/>
    </row>
    <row r="233216" spans="22:22">
      <c r="V233216" s="42"/>
    </row>
    <row r="233411" spans="22:22">
      <c r="V233411" s="42"/>
    </row>
    <row r="233606" spans="22:22">
      <c r="V233606" s="42"/>
    </row>
    <row r="233801" spans="22:22">
      <c r="V233801" s="42"/>
    </row>
    <row r="233996" spans="22:22">
      <c r="V233996" s="42"/>
    </row>
    <row r="234191" spans="22:22">
      <c r="V234191" s="42"/>
    </row>
    <row r="234386" spans="22:22">
      <c r="V234386" s="42"/>
    </row>
    <row r="234581" spans="22:22">
      <c r="V234581" s="42"/>
    </row>
    <row r="234776" spans="22:22">
      <c r="V234776" s="42"/>
    </row>
    <row r="234971" spans="22:22">
      <c r="V234971" s="42"/>
    </row>
    <row r="235166" spans="22:22">
      <c r="V235166" s="42"/>
    </row>
    <row r="235361" spans="22:22">
      <c r="V235361" s="42"/>
    </row>
    <row r="235556" spans="22:22">
      <c r="V235556" s="42"/>
    </row>
    <row r="235751" spans="22:22">
      <c r="V235751" s="42"/>
    </row>
    <row r="235946" spans="22:22">
      <c r="V235946" s="42"/>
    </row>
    <row r="236141" spans="22:22">
      <c r="V236141" s="42"/>
    </row>
    <row r="236336" spans="22:22">
      <c r="V236336" s="42"/>
    </row>
    <row r="236531" spans="22:22">
      <c r="V236531" s="42"/>
    </row>
    <row r="236726" spans="22:22">
      <c r="V236726" s="42"/>
    </row>
    <row r="236921" spans="22:22">
      <c r="V236921" s="42"/>
    </row>
    <row r="237116" spans="22:22">
      <c r="V237116" s="42"/>
    </row>
    <row r="237311" spans="22:22">
      <c r="V237311" s="42"/>
    </row>
    <row r="237506" spans="22:22">
      <c r="V237506" s="42"/>
    </row>
    <row r="237701" spans="22:22">
      <c r="V237701" s="42"/>
    </row>
    <row r="237896" spans="22:22">
      <c r="V237896" s="42"/>
    </row>
    <row r="238091" spans="22:22">
      <c r="V238091" s="42"/>
    </row>
    <row r="238286" spans="22:22">
      <c r="V238286" s="42"/>
    </row>
    <row r="238481" spans="22:22">
      <c r="V238481" s="42"/>
    </row>
    <row r="238676" spans="22:22">
      <c r="V238676" s="42"/>
    </row>
    <row r="238871" spans="22:22">
      <c r="V238871" s="42"/>
    </row>
    <row r="239066" spans="22:22">
      <c r="V239066" s="42"/>
    </row>
    <row r="239261" spans="22:22">
      <c r="V239261" s="42"/>
    </row>
    <row r="239456" spans="22:22">
      <c r="V239456" s="42"/>
    </row>
    <row r="239651" spans="22:22">
      <c r="V239651" s="42"/>
    </row>
    <row r="239846" spans="22:22">
      <c r="V239846" s="42"/>
    </row>
    <row r="240041" spans="22:22">
      <c r="V240041" s="42"/>
    </row>
    <row r="240236" spans="22:22">
      <c r="V240236" s="42"/>
    </row>
    <row r="240431" spans="22:22">
      <c r="V240431" s="42"/>
    </row>
    <row r="240626" spans="22:22">
      <c r="V240626" s="42"/>
    </row>
    <row r="240821" spans="22:22">
      <c r="V240821" s="42"/>
    </row>
    <row r="241016" spans="22:22">
      <c r="V241016" s="42"/>
    </row>
    <row r="241211" spans="22:22">
      <c r="V241211" s="42"/>
    </row>
    <row r="241406" spans="22:22">
      <c r="V241406" s="42"/>
    </row>
    <row r="241601" spans="22:22">
      <c r="V241601" s="42"/>
    </row>
    <row r="241796" spans="22:22">
      <c r="V241796" s="42"/>
    </row>
    <row r="241991" spans="22:22">
      <c r="V241991" s="42"/>
    </row>
    <row r="242186" spans="22:22">
      <c r="V242186" s="42"/>
    </row>
    <row r="242381" spans="22:22">
      <c r="V242381" s="42"/>
    </row>
    <row r="242576" spans="22:22">
      <c r="V242576" s="42"/>
    </row>
    <row r="242771" spans="22:22">
      <c r="V242771" s="42"/>
    </row>
    <row r="242966" spans="22:22">
      <c r="V242966" s="42"/>
    </row>
    <row r="243161" spans="22:22">
      <c r="V243161" s="42"/>
    </row>
    <row r="243356" spans="22:22">
      <c r="V243356" s="42"/>
    </row>
    <row r="243551" spans="22:22">
      <c r="V243551" s="42"/>
    </row>
    <row r="243746" spans="22:22">
      <c r="V243746" s="42"/>
    </row>
    <row r="243941" spans="22:22">
      <c r="V243941" s="42"/>
    </row>
    <row r="244136" spans="22:22">
      <c r="V244136" s="42"/>
    </row>
    <row r="244331" spans="22:22">
      <c r="V244331" s="42"/>
    </row>
    <row r="244526" spans="22:22">
      <c r="V244526" s="42"/>
    </row>
    <row r="244721" spans="22:22">
      <c r="V244721" s="42"/>
    </row>
    <row r="244916" spans="22:22">
      <c r="V244916" s="42"/>
    </row>
    <row r="245111" spans="22:22">
      <c r="V245111" s="42"/>
    </row>
    <row r="245306" spans="22:22">
      <c r="V245306" s="42"/>
    </row>
    <row r="245501" spans="22:22">
      <c r="V245501" s="42"/>
    </row>
    <row r="245696" spans="22:22">
      <c r="V245696" s="42"/>
    </row>
    <row r="245891" spans="22:22">
      <c r="V245891" s="42"/>
    </row>
    <row r="246086" spans="22:22">
      <c r="V246086" s="42"/>
    </row>
    <row r="246281" spans="22:22">
      <c r="V246281" s="42"/>
    </row>
    <row r="246476" spans="22:22">
      <c r="V246476" s="42"/>
    </row>
    <row r="246671" spans="22:22">
      <c r="V246671" s="42"/>
    </row>
    <row r="246866" spans="22:22">
      <c r="V246866" s="42"/>
    </row>
    <row r="247061" spans="22:22">
      <c r="V247061" s="42"/>
    </row>
    <row r="247256" spans="22:22">
      <c r="V247256" s="42"/>
    </row>
    <row r="247451" spans="22:22">
      <c r="V247451" s="42"/>
    </row>
    <row r="247646" spans="22:22">
      <c r="V247646" s="42"/>
    </row>
    <row r="247841" spans="22:22">
      <c r="V247841" s="42"/>
    </row>
    <row r="248036" spans="22:22">
      <c r="V248036" s="42"/>
    </row>
    <row r="248231" spans="22:22">
      <c r="V248231" s="42"/>
    </row>
    <row r="248426" spans="22:22">
      <c r="V248426" s="42"/>
    </row>
    <row r="248621" spans="22:22">
      <c r="V248621" s="42"/>
    </row>
    <row r="248816" spans="22:22">
      <c r="V248816" s="42"/>
    </row>
    <row r="249011" spans="22:22">
      <c r="V249011" s="42"/>
    </row>
    <row r="249206" spans="22:22">
      <c r="V249206" s="42"/>
    </row>
    <row r="249401" spans="22:22">
      <c r="V249401" s="42"/>
    </row>
    <row r="249596" spans="22:22">
      <c r="V249596" s="42"/>
    </row>
    <row r="249791" spans="22:22">
      <c r="V249791" s="42"/>
    </row>
    <row r="249986" spans="22:22">
      <c r="V249986" s="42"/>
    </row>
    <row r="250181" spans="22:22">
      <c r="V250181" s="42"/>
    </row>
    <row r="250376" spans="22:22">
      <c r="V250376" s="42"/>
    </row>
    <row r="250571" spans="22:22">
      <c r="V250571" s="42"/>
    </row>
    <row r="250766" spans="22:22">
      <c r="V250766" s="42"/>
    </row>
    <row r="250961" spans="22:22">
      <c r="V250961" s="42"/>
    </row>
    <row r="251156" spans="22:22">
      <c r="V251156" s="42"/>
    </row>
    <row r="251351" spans="22:22">
      <c r="V251351" s="42"/>
    </row>
    <row r="251546" spans="22:22">
      <c r="V251546" s="42"/>
    </row>
    <row r="251741" spans="22:22">
      <c r="V251741" s="42"/>
    </row>
    <row r="251936" spans="22:22">
      <c r="V251936" s="42"/>
    </row>
    <row r="252131" spans="22:22">
      <c r="V252131" s="42"/>
    </row>
    <row r="252326" spans="22:22">
      <c r="V252326" s="42"/>
    </row>
    <row r="252521" spans="22:22">
      <c r="V252521" s="42"/>
    </row>
    <row r="252716" spans="22:22">
      <c r="V252716" s="42"/>
    </row>
    <row r="252911" spans="22:22">
      <c r="V252911" s="42"/>
    </row>
    <row r="253106" spans="22:22">
      <c r="V253106" s="42"/>
    </row>
    <row r="253301" spans="22:22">
      <c r="V253301" s="42"/>
    </row>
    <row r="253496" spans="22:22">
      <c r="V253496" s="42"/>
    </row>
    <row r="253691" spans="22:22">
      <c r="V253691" s="42"/>
    </row>
    <row r="253886" spans="22:22">
      <c r="V253886" s="42"/>
    </row>
    <row r="254081" spans="22:22">
      <c r="V254081" s="42"/>
    </row>
    <row r="254276" spans="22:22">
      <c r="V254276" s="42"/>
    </row>
    <row r="254471" spans="22:22">
      <c r="V254471" s="42"/>
    </row>
    <row r="254666" spans="22:22">
      <c r="V254666" s="42"/>
    </row>
    <row r="254861" spans="22:22">
      <c r="V254861" s="42"/>
    </row>
    <row r="255056" spans="22:22">
      <c r="V255056" s="42"/>
    </row>
    <row r="255251" spans="22:22">
      <c r="V255251" s="42"/>
    </row>
    <row r="255446" spans="22:22">
      <c r="V255446" s="42"/>
    </row>
    <row r="255641" spans="22:22">
      <c r="V255641" s="42"/>
    </row>
    <row r="255836" spans="22:22">
      <c r="V255836" s="42"/>
    </row>
    <row r="256031" spans="22:22">
      <c r="V256031" s="42"/>
    </row>
    <row r="256226" spans="22:22">
      <c r="V256226" s="42"/>
    </row>
    <row r="256421" spans="22:22">
      <c r="V256421" s="42"/>
    </row>
    <row r="256616" spans="22:22">
      <c r="V256616" s="42"/>
    </row>
    <row r="256811" spans="22:22">
      <c r="V256811" s="42"/>
    </row>
    <row r="257006" spans="22:22">
      <c r="V257006" s="42"/>
    </row>
    <row r="257201" spans="22:22">
      <c r="V257201" s="42"/>
    </row>
    <row r="257396" spans="22:22">
      <c r="V257396" s="42"/>
    </row>
    <row r="257591" spans="22:22">
      <c r="V257591" s="42"/>
    </row>
    <row r="257786" spans="22:22">
      <c r="V257786" s="42"/>
    </row>
    <row r="257981" spans="22:22">
      <c r="V257981" s="42"/>
    </row>
    <row r="258176" spans="22:22">
      <c r="V258176" s="42"/>
    </row>
    <row r="258371" spans="22:22">
      <c r="V258371" s="42"/>
    </row>
    <row r="258566" spans="22:22">
      <c r="V258566" s="42"/>
    </row>
    <row r="258761" spans="22:22">
      <c r="V258761" s="42"/>
    </row>
    <row r="258956" spans="22:22">
      <c r="V258956" s="42"/>
    </row>
    <row r="259151" spans="22:22">
      <c r="V259151" s="42"/>
    </row>
    <row r="259346" spans="22:22">
      <c r="V259346" s="42"/>
    </row>
    <row r="259541" spans="22:22">
      <c r="V259541" s="42"/>
    </row>
    <row r="259736" spans="22:22">
      <c r="V259736" s="42"/>
    </row>
    <row r="259931" spans="22:22">
      <c r="V259931" s="42"/>
    </row>
    <row r="260126" spans="22:22">
      <c r="V260126" s="42"/>
    </row>
    <row r="260321" spans="22:22">
      <c r="V260321" s="42"/>
    </row>
    <row r="260516" spans="22:22">
      <c r="V260516" s="42"/>
    </row>
    <row r="260711" spans="22:22">
      <c r="V260711" s="42"/>
    </row>
    <row r="260906" spans="22:22">
      <c r="V260906" s="42"/>
    </row>
    <row r="261101" spans="22:22">
      <c r="V261101" s="42"/>
    </row>
    <row r="261296" spans="22:22">
      <c r="V261296" s="42"/>
    </row>
    <row r="261491" spans="22:22">
      <c r="V261491" s="42"/>
    </row>
    <row r="261686" spans="22:22">
      <c r="V261686" s="42"/>
    </row>
    <row r="261881" spans="22:22">
      <c r="V261881" s="42"/>
    </row>
    <row r="262076" spans="22:22">
      <c r="V262076" s="42"/>
    </row>
    <row r="262271" spans="22:22">
      <c r="V262271" s="42"/>
    </row>
    <row r="262466" spans="22:22">
      <c r="V262466" s="42"/>
    </row>
    <row r="262661" spans="22:22">
      <c r="V262661" s="42"/>
    </row>
    <row r="262856" spans="22:22">
      <c r="V262856" s="42"/>
    </row>
    <row r="263051" spans="22:22">
      <c r="V263051" s="42"/>
    </row>
    <row r="263246" spans="22:22">
      <c r="V263246" s="42"/>
    </row>
    <row r="263441" spans="22:22">
      <c r="V263441" s="42"/>
    </row>
    <row r="263636" spans="22:22">
      <c r="V263636" s="42"/>
    </row>
    <row r="263831" spans="22:22">
      <c r="V263831" s="42"/>
    </row>
    <row r="264026" spans="22:22">
      <c r="V264026" s="42"/>
    </row>
    <row r="264221" spans="22:22">
      <c r="V264221" s="42"/>
    </row>
    <row r="264416" spans="22:22">
      <c r="V264416" s="42"/>
    </row>
    <row r="264611" spans="22:22">
      <c r="V264611" s="42"/>
    </row>
    <row r="264806" spans="22:22">
      <c r="V264806" s="42"/>
    </row>
    <row r="265001" spans="22:22">
      <c r="V265001" s="42"/>
    </row>
    <row r="265196" spans="22:22">
      <c r="V265196" s="42"/>
    </row>
    <row r="265391" spans="22:22">
      <c r="V265391" s="42"/>
    </row>
    <row r="265586" spans="22:22">
      <c r="V265586" s="42"/>
    </row>
    <row r="265781" spans="22:22">
      <c r="V265781" s="42"/>
    </row>
    <row r="265976" spans="22:22">
      <c r="V265976" s="42"/>
    </row>
    <row r="266171" spans="22:22">
      <c r="V266171" s="42"/>
    </row>
    <row r="266366" spans="22:22">
      <c r="V266366" s="42"/>
    </row>
    <row r="266561" spans="22:22">
      <c r="V266561" s="42"/>
    </row>
    <row r="266756" spans="22:22">
      <c r="V266756" s="42"/>
    </row>
    <row r="266951" spans="22:22">
      <c r="V266951" s="42"/>
    </row>
    <row r="267146" spans="22:22">
      <c r="V267146" s="42"/>
    </row>
    <row r="267341" spans="22:22">
      <c r="V267341" s="42"/>
    </row>
    <row r="267536" spans="22:22">
      <c r="V267536" s="42"/>
    </row>
    <row r="267731" spans="22:22">
      <c r="V267731" s="42"/>
    </row>
    <row r="267926" spans="22:22">
      <c r="V267926" s="42"/>
    </row>
    <row r="268121" spans="22:22">
      <c r="V268121" s="42"/>
    </row>
    <row r="268316" spans="22:22">
      <c r="V268316" s="42"/>
    </row>
    <row r="268511" spans="22:22">
      <c r="V268511" s="42"/>
    </row>
    <row r="268706" spans="22:22">
      <c r="V268706" s="42"/>
    </row>
    <row r="268901" spans="22:22">
      <c r="V268901" s="42"/>
    </row>
    <row r="269096" spans="22:22">
      <c r="V269096" s="42"/>
    </row>
    <row r="269291" spans="22:22">
      <c r="V269291" s="42"/>
    </row>
    <row r="269486" spans="22:22">
      <c r="V269486" s="42"/>
    </row>
    <row r="269681" spans="22:22">
      <c r="V269681" s="42"/>
    </row>
    <row r="269876" spans="22:22">
      <c r="V269876" s="42"/>
    </row>
    <row r="270071" spans="22:22">
      <c r="V270071" s="42"/>
    </row>
    <row r="270266" spans="22:22">
      <c r="V270266" s="42"/>
    </row>
    <row r="270461" spans="22:22">
      <c r="V270461" s="42"/>
    </row>
    <row r="270656" spans="22:22">
      <c r="V270656" s="42"/>
    </row>
    <row r="270851" spans="22:22">
      <c r="V270851" s="42"/>
    </row>
    <row r="271046" spans="22:22">
      <c r="V271046" s="42"/>
    </row>
    <row r="271241" spans="22:22">
      <c r="V271241" s="42"/>
    </row>
    <row r="271436" spans="22:22">
      <c r="V271436" s="42"/>
    </row>
    <row r="271631" spans="22:22">
      <c r="V271631" s="42"/>
    </row>
    <row r="271826" spans="22:22">
      <c r="V271826" s="42"/>
    </row>
    <row r="272021" spans="22:22">
      <c r="V272021" s="42"/>
    </row>
    <row r="272216" spans="22:22">
      <c r="V272216" s="42"/>
    </row>
    <row r="272411" spans="22:22">
      <c r="V272411" s="42"/>
    </row>
    <row r="272606" spans="22:22">
      <c r="V272606" s="42"/>
    </row>
    <row r="272801" spans="22:22">
      <c r="V272801" s="42"/>
    </row>
    <row r="272996" spans="22:22">
      <c r="V272996" s="42"/>
    </row>
    <row r="273191" spans="22:22">
      <c r="V273191" s="42"/>
    </row>
    <row r="273386" spans="22:22">
      <c r="V273386" s="42"/>
    </row>
    <row r="273581" spans="22:22">
      <c r="V273581" s="42"/>
    </row>
    <row r="273776" spans="22:22">
      <c r="V273776" s="42"/>
    </row>
    <row r="273971" spans="22:22">
      <c r="V273971" s="42"/>
    </row>
    <row r="274166" spans="22:22">
      <c r="V274166" s="42"/>
    </row>
    <row r="274361" spans="22:22">
      <c r="V274361" s="42"/>
    </row>
    <row r="274556" spans="22:22">
      <c r="V274556" s="42"/>
    </row>
    <row r="274751" spans="22:22">
      <c r="V274751" s="42"/>
    </row>
    <row r="274946" spans="22:22">
      <c r="V274946" s="42"/>
    </row>
    <row r="275141" spans="22:22">
      <c r="V275141" s="42"/>
    </row>
    <row r="275336" spans="22:22">
      <c r="V275336" s="42"/>
    </row>
    <row r="275531" spans="22:22">
      <c r="V275531" s="42"/>
    </row>
    <row r="275726" spans="22:22">
      <c r="V275726" s="42"/>
    </row>
    <row r="275921" spans="22:22">
      <c r="V275921" s="42"/>
    </row>
    <row r="276116" spans="22:22">
      <c r="V276116" s="42"/>
    </row>
    <row r="276311" spans="22:22">
      <c r="V276311" s="42"/>
    </row>
    <row r="276506" spans="22:22">
      <c r="V276506" s="42"/>
    </row>
    <row r="276701" spans="22:22">
      <c r="V276701" s="42"/>
    </row>
    <row r="276896" spans="22:22">
      <c r="V276896" s="42"/>
    </row>
    <row r="277091" spans="22:22">
      <c r="V277091" s="42"/>
    </row>
    <row r="277286" spans="22:22">
      <c r="V277286" s="42"/>
    </row>
    <row r="277481" spans="22:22">
      <c r="V277481" s="42"/>
    </row>
    <row r="277676" spans="22:22">
      <c r="V277676" s="42"/>
    </row>
    <row r="277871" spans="22:22">
      <c r="V277871" s="42"/>
    </row>
    <row r="278066" spans="22:22">
      <c r="V278066" s="42"/>
    </row>
    <row r="278261" spans="22:22">
      <c r="V278261" s="42"/>
    </row>
    <row r="278456" spans="22:22">
      <c r="V278456" s="42"/>
    </row>
    <row r="278651" spans="22:22">
      <c r="V278651" s="42"/>
    </row>
    <row r="278846" spans="22:22">
      <c r="V278846" s="42"/>
    </row>
    <row r="279041" spans="22:22">
      <c r="V279041" s="42"/>
    </row>
    <row r="279236" spans="22:22">
      <c r="V279236" s="42"/>
    </row>
    <row r="279431" spans="22:22">
      <c r="V279431" s="42"/>
    </row>
    <row r="279626" spans="22:22">
      <c r="V279626" s="42"/>
    </row>
    <row r="279821" spans="22:22">
      <c r="V279821" s="42"/>
    </row>
    <row r="280016" spans="22:22">
      <c r="V280016" s="42"/>
    </row>
    <row r="280211" spans="22:22">
      <c r="V280211" s="42"/>
    </row>
    <row r="280406" spans="22:22">
      <c r="V280406" s="42"/>
    </row>
    <row r="280601" spans="22:22">
      <c r="V280601" s="42"/>
    </row>
    <row r="280796" spans="22:22">
      <c r="V280796" s="42"/>
    </row>
    <row r="280991" spans="22:22">
      <c r="V280991" s="42"/>
    </row>
    <row r="281186" spans="22:22">
      <c r="V281186" s="42"/>
    </row>
    <row r="281381" spans="22:22">
      <c r="V281381" s="42"/>
    </row>
    <row r="281576" spans="22:22">
      <c r="V281576" s="42"/>
    </row>
    <row r="281771" spans="22:22">
      <c r="V281771" s="42"/>
    </row>
    <row r="281966" spans="22:22">
      <c r="V281966" s="42"/>
    </row>
    <row r="282161" spans="22:22">
      <c r="V282161" s="42"/>
    </row>
    <row r="282356" spans="22:22">
      <c r="V282356" s="42"/>
    </row>
    <row r="282551" spans="22:22">
      <c r="V282551" s="42"/>
    </row>
    <row r="282746" spans="22:22">
      <c r="V282746" s="42"/>
    </row>
    <row r="282941" spans="22:22">
      <c r="V282941" s="42"/>
    </row>
    <row r="283136" spans="22:22">
      <c r="V283136" s="42"/>
    </row>
    <row r="283331" spans="22:22">
      <c r="V283331" s="42"/>
    </row>
    <row r="283526" spans="22:22">
      <c r="V283526" s="42"/>
    </row>
    <row r="283721" spans="22:22">
      <c r="V283721" s="42"/>
    </row>
    <row r="283916" spans="22:22">
      <c r="V283916" s="42"/>
    </row>
    <row r="284111" spans="22:22">
      <c r="V284111" s="42"/>
    </row>
    <row r="284306" spans="22:22">
      <c r="V284306" s="42"/>
    </row>
    <row r="284501" spans="22:22">
      <c r="V284501" s="42"/>
    </row>
    <row r="284696" spans="22:22">
      <c r="V284696" s="42"/>
    </row>
    <row r="284891" spans="22:22">
      <c r="V284891" s="42"/>
    </row>
    <row r="285086" spans="22:22">
      <c r="V285086" s="42"/>
    </row>
    <row r="285281" spans="22:22">
      <c r="V285281" s="42"/>
    </row>
    <row r="285476" spans="22:22">
      <c r="V285476" s="42"/>
    </row>
    <row r="285671" spans="22:22">
      <c r="V285671" s="42"/>
    </row>
    <row r="285866" spans="22:22">
      <c r="V285866" s="42"/>
    </row>
    <row r="286061" spans="22:22">
      <c r="V286061" s="42"/>
    </row>
    <row r="286256" spans="22:22">
      <c r="V286256" s="42"/>
    </row>
    <row r="286451" spans="22:22">
      <c r="V286451" s="42"/>
    </row>
    <row r="286646" spans="22:22">
      <c r="V286646" s="42"/>
    </row>
    <row r="286841" spans="22:22">
      <c r="V286841" s="42"/>
    </row>
    <row r="287036" spans="22:22">
      <c r="V287036" s="42"/>
    </row>
    <row r="287231" spans="22:22">
      <c r="V287231" s="42"/>
    </row>
    <row r="287426" spans="22:22">
      <c r="V287426" s="42"/>
    </row>
    <row r="287621" spans="22:22">
      <c r="V287621" s="42"/>
    </row>
    <row r="287816" spans="22:22">
      <c r="V287816" s="42"/>
    </row>
    <row r="288011" spans="22:22">
      <c r="V288011" s="42"/>
    </row>
    <row r="288206" spans="22:22">
      <c r="V288206" s="42"/>
    </row>
    <row r="288401" spans="22:22">
      <c r="V288401" s="42"/>
    </row>
    <row r="288596" spans="22:22">
      <c r="V288596" s="42"/>
    </row>
    <row r="288791" spans="22:22">
      <c r="V288791" s="42"/>
    </row>
    <row r="288986" spans="22:22">
      <c r="V288986" s="42"/>
    </row>
    <row r="289181" spans="22:22">
      <c r="V289181" s="42"/>
    </row>
    <row r="289376" spans="22:22">
      <c r="V289376" s="42"/>
    </row>
    <row r="289571" spans="22:22">
      <c r="V289571" s="42"/>
    </row>
    <row r="289766" spans="22:22">
      <c r="V289766" s="42"/>
    </row>
    <row r="289961" spans="22:22">
      <c r="V289961" s="42"/>
    </row>
    <row r="290156" spans="22:22">
      <c r="V290156" s="42"/>
    </row>
    <row r="290351" spans="22:22">
      <c r="V290351" s="42"/>
    </row>
    <row r="290546" spans="22:22">
      <c r="V290546" s="42"/>
    </row>
    <row r="290741" spans="22:22">
      <c r="V290741" s="42"/>
    </row>
    <row r="290936" spans="22:22">
      <c r="V290936" s="42"/>
    </row>
    <row r="291131" spans="22:22">
      <c r="V291131" s="42"/>
    </row>
    <row r="291326" spans="22:22">
      <c r="V291326" s="42"/>
    </row>
    <row r="291521" spans="22:22">
      <c r="V291521" s="42"/>
    </row>
    <row r="291716" spans="22:22">
      <c r="V291716" s="42"/>
    </row>
    <row r="291911" spans="22:22">
      <c r="V291911" s="42"/>
    </row>
    <row r="292106" spans="22:22">
      <c r="V292106" s="42"/>
    </row>
    <row r="292301" spans="22:22">
      <c r="V292301" s="42"/>
    </row>
    <row r="292496" spans="22:22">
      <c r="V292496" s="42"/>
    </row>
    <row r="292691" spans="22:22">
      <c r="V292691" s="42"/>
    </row>
    <row r="292886" spans="22:22">
      <c r="V292886" s="42"/>
    </row>
    <row r="293081" spans="22:22">
      <c r="V293081" s="42"/>
    </row>
    <row r="293276" spans="22:22">
      <c r="V293276" s="42"/>
    </row>
    <row r="293471" spans="22:22">
      <c r="V293471" s="42"/>
    </row>
    <row r="293666" spans="22:22">
      <c r="V293666" s="42"/>
    </row>
    <row r="293861" spans="22:22">
      <c r="V293861" s="42"/>
    </row>
    <row r="294056" spans="22:22">
      <c r="V294056" s="42"/>
    </row>
    <row r="294251" spans="22:22">
      <c r="V294251" s="42"/>
    </row>
    <row r="294446" spans="22:22">
      <c r="V294446" s="42"/>
    </row>
    <row r="294641" spans="22:22">
      <c r="V294641" s="42"/>
    </row>
    <row r="294836" spans="22:22">
      <c r="V294836" s="42"/>
    </row>
    <row r="295031" spans="22:22">
      <c r="V295031" s="42"/>
    </row>
    <row r="295226" spans="22:22">
      <c r="V295226" s="42"/>
    </row>
    <row r="295421" spans="22:22">
      <c r="V295421" s="42"/>
    </row>
    <row r="295616" spans="22:22">
      <c r="V295616" s="42"/>
    </row>
    <row r="295811" spans="22:22">
      <c r="V295811" s="42"/>
    </row>
    <row r="296006" spans="22:22">
      <c r="V296006" s="42"/>
    </row>
    <row r="296201" spans="22:22">
      <c r="V296201" s="42"/>
    </row>
    <row r="296396" spans="22:22">
      <c r="V296396" s="42"/>
    </row>
    <row r="296591" spans="22:22">
      <c r="V296591" s="42"/>
    </row>
    <row r="296786" spans="22:22">
      <c r="V296786" s="42"/>
    </row>
    <row r="296981" spans="22:22">
      <c r="V296981" s="42"/>
    </row>
    <row r="297176" spans="22:22">
      <c r="V297176" s="42"/>
    </row>
    <row r="297371" spans="22:22">
      <c r="V297371" s="42"/>
    </row>
    <row r="297566" spans="22:22">
      <c r="V297566" s="42"/>
    </row>
    <row r="297761" spans="22:22">
      <c r="V297761" s="42"/>
    </row>
    <row r="297956" spans="22:22">
      <c r="V297956" s="42"/>
    </row>
    <row r="298151" spans="22:22">
      <c r="V298151" s="42"/>
    </row>
    <row r="298346" spans="22:22">
      <c r="V298346" s="42"/>
    </row>
    <row r="298541" spans="22:22">
      <c r="V298541" s="42"/>
    </row>
    <row r="298736" spans="22:22">
      <c r="V298736" s="42"/>
    </row>
    <row r="298931" spans="22:22">
      <c r="V298931" s="42"/>
    </row>
    <row r="299126" spans="22:22">
      <c r="V299126" s="42"/>
    </row>
    <row r="299321" spans="22:22">
      <c r="V299321" s="42"/>
    </row>
    <row r="299516" spans="22:22">
      <c r="V299516" s="42"/>
    </row>
    <row r="299711" spans="22:22">
      <c r="V299711" s="42"/>
    </row>
    <row r="299906" spans="22:22">
      <c r="V299906" s="42"/>
    </row>
    <row r="300101" spans="22:22">
      <c r="V300101" s="42"/>
    </row>
    <row r="300296" spans="22:22">
      <c r="V300296" s="42"/>
    </row>
    <row r="300491" spans="22:22">
      <c r="V300491" s="42"/>
    </row>
    <row r="300686" spans="22:22">
      <c r="V300686" s="42"/>
    </row>
    <row r="300881" spans="22:22">
      <c r="V300881" s="42"/>
    </row>
    <row r="301076" spans="22:22">
      <c r="V301076" s="42"/>
    </row>
    <row r="301271" spans="22:22">
      <c r="V301271" s="42"/>
    </row>
    <row r="301466" spans="22:22">
      <c r="V301466" s="42"/>
    </row>
    <row r="301661" spans="22:22">
      <c r="V301661" s="42"/>
    </row>
    <row r="301856" spans="22:22">
      <c r="V301856" s="42"/>
    </row>
    <row r="302051" spans="22:22">
      <c r="V302051" s="42"/>
    </row>
    <row r="302246" spans="22:22">
      <c r="V302246" s="42"/>
    </row>
    <row r="302441" spans="22:22">
      <c r="V302441" s="42"/>
    </row>
    <row r="302636" spans="22:22">
      <c r="V302636" s="42"/>
    </row>
    <row r="302831" spans="22:22">
      <c r="V302831" s="42"/>
    </row>
    <row r="303026" spans="22:22">
      <c r="V303026" s="42"/>
    </row>
    <row r="303221" spans="22:22">
      <c r="V303221" s="42"/>
    </row>
    <row r="303416" spans="22:22">
      <c r="V303416" s="42"/>
    </row>
    <row r="303611" spans="22:22">
      <c r="V303611" s="42"/>
    </row>
    <row r="303806" spans="22:22">
      <c r="V303806" s="42"/>
    </row>
    <row r="304001" spans="22:22">
      <c r="V304001" s="42"/>
    </row>
    <row r="304196" spans="22:22">
      <c r="V304196" s="42"/>
    </row>
    <row r="304391" spans="22:22">
      <c r="V304391" s="42"/>
    </row>
    <row r="304586" spans="22:22">
      <c r="V304586" s="42"/>
    </row>
    <row r="304781" spans="22:22">
      <c r="V304781" s="42"/>
    </row>
    <row r="304976" spans="22:22">
      <c r="V304976" s="42"/>
    </row>
    <row r="305171" spans="22:22">
      <c r="V305171" s="42"/>
    </row>
    <row r="305366" spans="22:22">
      <c r="V305366" s="42"/>
    </row>
    <row r="305561" spans="22:22">
      <c r="V305561" s="42"/>
    </row>
    <row r="305756" spans="22:22">
      <c r="V305756" s="42"/>
    </row>
    <row r="305951" spans="22:22">
      <c r="V305951" s="42"/>
    </row>
    <row r="306146" spans="22:22">
      <c r="V306146" s="42"/>
    </row>
    <row r="306341" spans="22:22">
      <c r="V306341" s="42"/>
    </row>
    <row r="306536" spans="22:22">
      <c r="V306536" s="42"/>
    </row>
    <row r="306731" spans="22:22">
      <c r="V306731" s="42"/>
    </row>
    <row r="306926" spans="22:22">
      <c r="V306926" s="42"/>
    </row>
    <row r="307121" spans="22:22">
      <c r="V307121" s="42"/>
    </row>
    <row r="307316" spans="22:22">
      <c r="V307316" s="42"/>
    </row>
    <row r="307511" spans="22:22">
      <c r="V307511" s="42"/>
    </row>
    <row r="307706" spans="22:22">
      <c r="V307706" s="42"/>
    </row>
    <row r="307901" spans="22:22">
      <c r="V307901" s="42"/>
    </row>
    <row r="308096" spans="22:22">
      <c r="V308096" s="42"/>
    </row>
    <row r="308291" spans="22:22">
      <c r="V308291" s="42"/>
    </row>
    <row r="308486" spans="22:22">
      <c r="V308486" s="42"/>
    </row>
    <row r="308681" spans="22:22">
      <c r="V308681" s="42"/>
    </row>
    <row r="308876" spans="22:22">
      <c r="V308876" s="42"/>
    </row>
    <row r="309071" spans="22:22">
      <c r="V309071" s="42"/>
    </row>
    <row r="309266" spans="22:22">
      <c r="V309266" s="42"/>
    </row>
    <row r="309461" spans="22:22">
      <c r="V309461" s="42"/>
    </row>
    <row r="309656" spans="22:22">
      <c r="V309656" s="42"/>
    </row>
    <row r="309851" spans="22:22">
      <c r="V309851" s="42"/>
    </row>
    <row r="310046" spans="22:22">
      <c r="V310046" s="42"/>
    </row>
    <row r="310241" spans="22:22">
      <c r="V310241" s="42"/>
    </row>
    <row r="310436" spans="22:22">
      <c r="V310436" s="42"/>
    </row>
    <row r="310631" spans="22:22">
      <c r="V310631" s="42"/>
    </row>
    <row r="310826" spans="22:22">
      <c r="V310826" s="42"/>
    </row>
    <row r="311021" spans="22:22">
      <c r="V311021" s="42"/>
    </row>
    <row r="311216" spans="22:22">
      <c r="V311216" s="42"/>
    </row>
    <row r="311411" spans="22:22">
      <c r="V311411" s="42"/>
    </row>
    <row r="311606" spans="22:22">
      <c r="V311606" s="42"/>
    </row>
    <row r="311801" spans="22:22">
      <c r="V311801" s="42"/>
    </row>
    <row r="311996" spans="22:22">
      <c r="V311996" s="42"/>
    </row>
    <row r="312191" spans="22:22">
      <c r="V312191" s="42"/>
    </row>
    <row r="312386" spans="22:22">
      <c r="V312386" s="42"/>
    </row>
    <row r="312581" spans="22:22">
      <c r="V312581" s="42"/>
    </row>
    <row r="312776" spans="22:22">
      <c r="V312776" s="42"/>
    </row>
    <row r="312971" spans="22:22">
      <c r="V312971" s="42"/>
    </row>
    <row r="313166" spans="22:22">
      <c r="V313166" s="42"/>
    </row>
    <row r="313361" spans="22:22">
      <c r="V313361" s="42"/>
    </row>
    <row r="313556" spans="22:22">
      <c r="V313556" s="42"/>
    </row>
    <row r="313751" spans="22:22">
      <c r="V313751" s="42"/>
    </row>
    <row r="313946" spans="22:22">
      <c r="V313946" s="42"/>
    </row>
    <row r="314141" spans="22:22">
      <c r="V314141" s="42"/>
    </row>
    <row r="314336" spans="22:22">
      <c r="V314336" s="42"/>
    </row>
    <row r="314531" spans="22:22">
      <c r="V314531" s="42"/>
    </row>
    <row r="314726" spans="22:22">
      <c r="V314726" s="42"/>
    </row>
    <row r="314921" spans="22:22">
      <c r="V314921" s="42"/>
    </row>
    <row r="315116" spans="22:22">
      <c r="V315116" s="42"/>
    </row>
    <row r="315311" spans="22:22">
      <c r="V315311" s="42"/>
    </row>
    <row r="315506" spans="22:22">
      <c r="V315506" s="42"/>
    </row>
    <row r="315701" spans="22:22">
      <c r="V315701" s="42"/>
    </row>
    <row r="315896" spans="22:22">
      <c r="V315896" s="42"/>
    </row>
    <row r="316091" spans="22:22">
      <c r="V316091" s="42"/>
    </row>
    <row r="316286" spans="22:22">
      <c r="V316286" s="42"/>
    </row>
    <row r="316481" spans="22:22">
      <c r="V316481" s="42"/>
    </row>
    <row r="316676" spans="22:22">
      <c r="V316676" s="42"/>
    </row>
    <row r="316871" spans="22:22">
      <c r="V316871" s="42"/>
    </row>
    <row r="317066" spans="22:22">
      <c r="V317066" s="42"/>
    </row>
    <row r="317261" spans="22:22">
      <c r="V317261" s="42"/>
    </row>
    <row r="317456" spans="22:22">
      <c r="V317456" s="42"/>
    </row>
    <row r="317651" spans="22:22">
      <c r="V317651" s="42"/>
    </row>
    <row r="317846" spans="22:22">
      <c r="V317846" s="42"/>
    </row>
    <row r="318041" spans="22:22">
      <c r="V318041" s="42"/>
    </row>
    <row r="318236" spans="22:22">
      <c r="V318236" s="42"/>
    </row>
    <row r="318431" spans="22:22">
      <c r="V318431" s="42"/>
    </row>
    <row r="318626" spans="22:22">
      <c r="V318626" s="42"/>
    </row>
    <row r="318821" spans="22:22">
      <c r="V318821" s="42"/>
    </row>
    <row r="319016" spans="22:22">
      <c r="V319016" s="42"/>
    </row>
    <row r="319211" spans="22:22">
      <c r="V319211" s="42"/>
    </row>
    <row r="319406" spans="22:22">
      <c r="V319406" s="42"/>
    </row>
    <row r="319601" spans="22:22">
      <c r="V319601" s="42"/>
    </row>
    <row r="319796" spans="22:22">
      <c r="V319796" s="42"/>
    </row>
    <row r="319991" spans="22:22">
      <c r="V319991" s="42"/>
    </row>
    <row r="320186" spans="22:22">
      <c r="V320186" s="42"/>
    </row>
    <row r="320381" spans="22:22">
      <c r="V320381" s="42"/>
    </row>
    <row r="320576" spans="22:22">
      <c r="V320576" s="42"/>
    </row>
    <row r="320771" spans="22:22">
      <c r="V320771" s="42"/>
    </row>
    <row r="320966" spans="22:22">
      <c r="V320966" s="42"/>
    </row>
    <row r="321161" spans="22:22">
      <c r="V321161" s="42"/>
    </row>
    <row r="321356" spans="22:22">
      <c r="V321356" s="42"/>
    </row>
    <row r="321551" spans="22:22">
      <c r="V321551" s="42"/>
    </row>
    <row r="321746" spans="22:22">
      <c r="V321746" s="42"/>
    </row>
    <row r="321941" spans="22:22">
      <c r="V321941" s="42"/>
    </row>
    <row r="322136" spans="22:22">
      <c r="V322136" s="42"/>
    </row>
    <row r="322331" spans="22:22">
      <c r="V322331" s="42"/>
    </row>
    <row r="322526" spans="22:22">
      <c r="V322526" s="42"/>
    </row>
    <row r="322721" spans="22:22">
      <c r="V322721" s="42"/>
    </row>
    <row r="322916" spans="22:22">
      <c r="V322916" s="42"/>
    </row>
    <row r="323111" spans="22:22">
      <c r="V323111" s="42"/>
    </row>
    <row r="323306" spans="22:22">
      <c r="V323306" s="42"/>
    </row>
    <row r="323501" spans="22:22">
      <c r="V323501" s="42"/>
    </row>
    <row r="323696" spans="22:22">
      <c r="V323696" s="42"/>
    </row>
    <row r="323891" spans="22:22">
      <c r="V323891" s="42"/>
    </row>
    <row r="324086" spans="22:22">
      <c r="V324086" s="42"/>
    </row>
    <row r="324281" spans="22:22">
      <c r="V324281" s="42"/>
    </row>
    <row r="324476" spans="22:22">
      <c r="V324476" s="42"/>
    </row>
    <row r="324671" spans="22:22">
      <c r="V324671" s="42"/>
    </row>
    <row r="324866" spans="22:22">
      <c r="V324866" s="42"/>
    </row>
    <row r="325061" spans="22:22">
      <c r="V325061" s="42"/>
    </row>
    <row r="325256" spans="22:22">
      <c r="V325256" s="42"/>
    </row>
    <row r="325451" spans="22:22">
      <c r="V325451" s="42"/>
    </row>
    <row r="325646" spans="22:22">
      <c r="V325646" s="42"/>
    </row>
    <row r="325841" spans="22:22">
      <c r="V325841" s="42"/>
    </row>
    <row r="326036" spans="22:22">
      <c r="V326036" s="42"/>
    </row>
    <row r="326231" spans="22:22">
      <c r="V326231" s="42"/>
    </row>
    <row r="326426" spans="22:22">
      <c r="V326426" s="42"/>
    </row>
    <row r="326621" spans="22:22">
      <c r="V326621" s="42"/>
    </row>
    <row r="326816" spans="22:22">
      <c r="V326816" s="42"/>
    </row>
    <row r="327011" spans="22:22">
      <c r="V327011" s="42"/>
    </row>
    <row r="327206" spans="22:22">
      <c r="V327206" s="42"/>
    </row>
    <row r="327401" spans="22:22">
      <c r="V327401" s="42"/>
    </row>
    <row r="327596" spans="22:22">
      <c r="V327596" s="42"/>
    </row>
    <row r="327791" spans="22:22">
      <c r="V327791" s="42"/>
    </row>
    <row r="327986" spans="22:22">
      <c r="V327986" s="42"/>
    </row>
    <row r="328181" spans="22:22">
      <c r="V328181" s="42"/>
    </row>
    <row r="328376" spans="22:22">
      <c r="V328376" s="42"/>
    </row>
    <row r="328571" spans="22:22">
      <c r="V328571" s="42"/>
    </row>
    <row r="328766" spans="22:22">
      <c r="V328766" s="42"/>
    </row>
    <row r="328961" spans="22:22">
      <c r="V328961" s="42"/>
    </row>
    <row r="329156" spans="22:22">
      <c r="V329156" s="42"/>
    </row>
    <row r="329351" spans="22:22">
      <c r="V329351" s="42"/>
    </row>
    <row r="329546" spans="22:22">
      <c r="V329546" s="42"/>
    </row>
    <row r="329741" spans="22:22">
      <c r="V329741" s="42"/>
    </row>
    <row r="329936" spans="22:22">
      <c r="V329936" s="42"/>
    </row>
    <row r="330131" spans="22:22">
      <c r="V330131" s="42"/>
    </row>
    <row r="330326" spans="22:22">
      <c r="V330326" s="42"/>
    </row>
    <row r="330521" spans="22:22">
      <c r="V330521" s="42"/>
    </row>
    <row r="330716" spans="22:22">
      <c r="V330716" s="42"/>
    </row>
    <row r="330911" spans="22:22">
      <c r="V330911" s="42"/>
    </row>
    <row r="331106" spans="22:22">
      <c r="V331106" s="42"/>
    </row>
    <row r="331301" spans="22:22">
      <c r="V331301" s="42"/>
    </row>
    <row r="331496" spans="22:22">
      <c r="V331496" s="42"/>
    </row>
    <row r="331691" spans="22:22">
      <c r="V331691" s="42"/>
    </row>
    <row r="331886" spans="22:22">
      <c r="V331886" s="42"/>
    </row>
    <row r="332081" spans="22:22">
      <c r="V332081" s="42"/>
    </row>
    <row r="332276" spans="22:22">
      <c r="V332276" s="42"/>
    </row>
    <row r="332471" spans="22:22">
      <c r="V332471" s="42"/>
    </row>
    <row r="332666" spans="22:22">
      <c r="V332666" s="42"/>
    </row>
    <row r="332861" spans="22:22">
      <c r="V332861" s="42"/>
    </row>
    <row r="333056" spans="22:22">
      <c r="V333056" s="42"/>
    </row>
    <row r="333251" spans="22:22">
      <c r="V333251" s="42"/>
    </row>
    <row r="333446" spans="22:22">
      <c r="V333446" s="42"/>
    </row>
    <row r="333641" spans="22:22">
      <c r="V333641" s="42"/>
    </row>
    <row r="333836" spans="22:22">
      <c r="V333836" s="42"/>
    </row>
    <row r="334031" spans="22:22">
      <c r="V334031" s="42"/>
    </row>
    <row r="334226" spans="22:22">
      <c r="V334226" s="42"/>
    </row>
    <row r="334421" spans="22:22">
      <c r="V334421" s="42"/>
    </row>
    <row r="334616" spans="22:22">
      <c r="V334616" s="42"/>
    </row>
    <row r="334811" spans="22:22">
      <c r="V334811" s="42"/>
    </row>
    <row r="335006" spans="22:22">
      <c r="V335006" s="42"/>
    </row>
    <row r="335201" spans="22:22">
      <c r="V335201" s="42"/>
    </row>
    <row r="335396" spans="22:22">
      <c r="V335396" s="42"/>
    </row>
    <row r="335591" spans="22:22">
      <c r="V335591" s="42"/>
    </row>
    <row r="335786" spans="22:22">
      <c r="V335786" s="42"/>
    </row>
    <row r="335981" spans="22:22">
      <c r="V335981" s="42"/>
    </row>
    <row r="336176" spans="22:22">
      <c r="V336176" s="42"/>
    </row>
    <row r="336371" spans="22:22">
      <c r="V336371" s="42"/>
    </row>
    <row r="336566" spans="22:22">
      <c r="V336566" s="42"/>
    </row>
    <row r="336761" spans="22:22">
      <c r="V336761" s="42"/>
    </row>
    <row r="336956" spans="22:22">
      <c r="V336956" s="42"/>
    </row>
    <row r="337151" spans="22:22">
      <c r="V337151" s="42"/>
    </row>
    <row r="337346" spans="22:22">
      <c r="V337346" s="42"/>
    </row>
    <row r="337541" spans="22:22">
      <c r="V337541" s="42"/>
    </row>
    <row r="337736" spans="22:22">
      <c r="V337736" s="42"/>
    </row>
    <row r="337931" spans="22:22">
      <c r="V337931" s="42"/>
    </row>
    <row r="338126" spans="22:22">
      <c r="V338126" s="42"/>
    </row>
    <row r="338321" spans="22:22">
      <c r="V338321" s="42"/>
    </row>
    <row r="338516" spans="22:22">
      <c r="V338516" s="42"/>
    </row>
    <row r="338711" spans="22:22">
      <c r="V338711" s="42"/>
    </row>
    <row r="338906" spans="22:22">
      <c r="V338906" s="42"/>
    </row>
    <row r="339101" spans="22:22">
      <c r="V339101" s="42"/>
    </row>
    <row r="339296" spans="22:22">
      <c r="V339296" s="42"/>
    </row>
    <row r="339491" spans="22:22">
      <c r="V339491" s="42"/>
    </row>
    <row r="339686" spans="22:22">
      <c r="V339686" s="42"/>
    </row>
    <row r="339881" spans="22:22">
      <c r="V339881" s="42"/>
    </row>
    <row r="340076" spans="22:22">
      <c r="V340076" s="42"/>
    </row>
    <row r="340271" spans="22:22">
      <c r="V340271" s="42"/>
    </row>
    <row r="340466" spans="22:22">
      <c r="V340466" s="42"/>
    </row>
    <row r="340661" spans="22:22">
      <c r="V340661" s="42"/>
    </row>
    <row r="340856" spans="22:22">
      <c r="V340856" s="42"/>
    </row>
    <row r="341051" spans="22:22">
      <c r="V341051" s="42"/>
    </row>
    <row r="341246" spans="22:22">
      <c r="V341246" s="42"/>
    </row>
    <row r="341441" spans="22:22">
      <c r="V341441" s="42"/>
    </row>
    <row r="341636" spans="22:22">
      <c r="V341636" s="42"/>
    </row>
    <row r="341831" spans="22:22">
      <c r="V341831" s="42"/>
    </row>
    <row r="342026" spans="22:22">
      <c r="V342026" s="42"/>
    </row>
    <row r="342221" spans="22:22">
      <c r="V342221" s="42"/>
    </row>
    <row r="342416" spans="22:22">
      <c r="V342416" s="42"/>
    </row>
    <row r="342611" spans="22:22">
      <c r="V342611" s="42"/>
    </row>
    <row r="342806" spans="22:22">
      <c r="V342806" s="42"/>
    </row>
    <row r="343001" spans="22:22">
      <c r="V343001" s="42"/>
    </row>
    <row r="343196" spans="22:22">
      <c r="V343196" s="42"/>
    </row>
    <row r="343391" spans="22:22">
      <c r="V343391" s="42"/>
    </row>
    <row r="343586" spans="22:22">
      <c r="V343586" s="42"/>
    </row>
    <row r="343781" spans="22:22">
      <c r="V343781" s="42"/>
    </row>
    <row r="343976" spans="22:22">
      <c r="V343976" s="42"/>
    </row>
    <row r="344171" spans="22:22">
      <c r="V344171" s="42"/>
    </row>
    <row r="344366" spans="22:22">
      <c r="V344366" s="42"/>
    </row>
    <row r="344561" spans="22:22">
      <c r="V344561" s="42"/>
    </row>
    <row r="344756" spans="22:22">
      <c r="V344756" s="42"/>
    </row>
    <row r="344951" spans="22:22">
      <c r="V344951" s="42"/>
    </row>
    <row r="345146" spans="22:22">
      <c r="V345146" s="42"/>
    </row>
    <row r="345341" spans="22:22">
      <c r="V345341" s="42"/>
    </row>
    <row r="345536" spans="22:22">
      <c r="V345536" s="42"/>
    </row>
    <row r="345731" spans="22:22">
      <c r="V345731" s="42"/>
    </row>
    <row r="345926" spans="22:22">
      <c r="V345926" s="42"/>
    </row>
    <row r="346121" spans="22:22">
      <c r="V346121" s="42"/>
    </row>
    <row r="346316" spans="22:22">
      <c r="V346316" s="42"/>
    </row>
    <row r="346511" spans="22:22">
      <c r="V346511" s="42"/>
    </row>
    <row r="346706" spans="22:22">
      <c r="V346706" s="42"/>
    </row>
    <row r="346901" spans="22:22">
      <c r="V346901" s="42"/>
    </row>
    <row r="347096" spans="22:22">
      <c r="V347096" s="42"/>
    </row>
    <row r="347291" spans="22:22">
      <c r="V347291" s="42"/>
    </row>
    <row r="347486" spans="22:22">
      <c r="V347486" s="42"/>
    </row>
    <row r="347681" spans="22:22">
      <c r="V347681" s="42"/>
    </row>
    <row r="347876" spans="22:22">
      <c r="V347876" s="42"/>
    </row>
    <row r="348071" spans="22:22">
      <c r="V348071" s="42"/>
    </row>
    <row r="348266" spans="22:22">
      <c r="V348266" s="42"/>
    </row>
    <row r="348461" spans="22:22">
      <c r="V348461" s="42"/>
    </row>
    <row r="348656" spans="22:22">
      <c r="V348656" s="42"/>
    </row>
    <row r="348851" spans="22:22">
      <c r="V348851" s="42"/>
    </row>
    <row r="349046" spans="22:22">
      <c r="V349046" s="42"/>
    </row>
    <row r="349241" spans="22:22">
      <c r="V349241" s="42"/>
    </row>
    <row r="349436" spans="22:22">
      <c r="V349436" s="42"/>
    </row>
    <row r="349631" spans="22:22">
      <c r="V349631" s="42"/>
    </row>
    <row r="349826" spans="22:22">
      <c r="V349826" s="42"/>
    </row>
    <row r="350021" spans="22:22">
      <c r="V350021" s="42"/>
    </row>
    <row r="350216" spans="22:22">
      <c r="V350216" s="42"/>
    </row>
    <row r="350411" spans="22:22">
      <c r="V350411" s="42"/>
    </row>
    <row r="350606" spans="22:22">
      <c r="V350606" s="42"/>
    </row>
    <row r="350801" spans="22:22">
      <c r="V350801" s="42"/>
    </row>
    <row r="350996" spans="22:22">
      <c r="V350996" s="42"/>
    </row>
    <row r="351191" spans="22:22">
      <c r="V351191" s="42"/>
    </row>
    <row r="351386" spans="22:22">
      <c r="V351386" s="42"/>
    </row>
    <row r="351581" spans="22:22">
      <c r="V351581" s="42"/>
    </row>
    <row r="351776" spans="22:22">
      <c r="V351776" s="42"/>
    </row>
    <row r="351971" spans="22:22">
      <c r="V351971" s="42"/>
    </row>
    <row r="352166" spans="22:22">
      <c r="V352166" s="42"/>
    </row>
    <row r="352361" spans="22:22">
      <c r="V352361" s="42"/>
    </row>
    <row r="352556" spans="22:22">
      <c r="V352556" s="42"/>
    </row>
    <row r="352751" spans="22:22">
      <c r="V352751" s="42"/>
    </row>
    <row r="352946" spans="22:22">
      <c r="V352946" s="42"/>
    </row>
    <row r="353141" spans="22:22">
      <c r="V353141" s="42"/>
    </row>
    <row r="353336" spans="22:22">
      <c r="V353336" s="42"/>
    </row>
    <row r="353531" spans="22:22">
      <c r="V353531" s="42"/>
    </row>
    <row r="353726" spans="22:22">
      <c r="V353726" s="42"/>
    </row>
    <row r="353921" spans="22:22">
      <c r="V353921" s="42"/>
    </row>
    <row r="354116" spans="22:22">
      <c r="V354116" s="42"/>
    </row>
    <row r="354311" spans="22:22">
      <c r="V354311" s="42"/>
    </row>
    <row r="354506" spans="22:22">
      <c r="V354506" s="42"/>
    </row>
    <row r="354701" spans="22:22">
      <c r="V354701" s="42"/>
    </row>
    <row r="354896" spans="22:22">
      <c r="V354896" s="42"/>
    </row>
    <row r="355091" spans="22:22">
      <c r="V355091" s="42"/>
    </row>
    <row r="355286" spans="22:22">
      <c r="V355286" s="42"/>
    </row>
    <row r="355481" spans="22:22">
      <c r="V355481" s="42"/>
    </row>
    <row r="355676" spans="22:22">
      <c r="V355676" s="42"/>
    </row>
    <row r="355871" spans="22:22">
      <c r="V355871" s="42"/>
    </row>
    <row r="356066" spans="22:22">
      <c r="V356066" s="42"/>
    </row>
    <row r="356261" spans="22:22">
      <c r="V356261" s="42"/>
    </row>
    <row r="356456" spans="22:22">
      <c r="V356456" s="42"/>
    </row>
    <row r="356651" spans="22:22">
      <c r="V356651" s="42"/>
    </row>
    <row r="356846" spans="22:22">
      <c r="V356846" s="42"/>
    </row>
    <row r="357041" spans="22:22">
      <c r="V357041" s="42"/>
    </row>
    <row r="357236" spans="22:22">
      <c r="V357236" s="42"/>
    </row>
    <row r="357431" spans="22:22">
      <c r="V357431" s="42"/>
    </row>
    <row r="357626" spans="22:22">
      <c r="V357626" s="42"/>
    </row>
    <row r="357821" spans="22:22">
      <c r="V357821" s="42"/>
    </row>
    <row r="358016" spans="22:22">
      <c r="V358016" s="42"/>
    </row>
    <row r="358211" spans="22:22">
      <c r="V358211" s="42"/>
    </row>
    <row r="358406" spans="22:22">
      <c r="V358406" s="42"/>
    </row>
    <row r="358601" spans="22:22">
      <c r="V358601" s="42"/>
    </row>
    <row r="358796" spans="22:22">
      <c r="V358796" s="42"/>
    </row>
    <row r="358991" spans="22:22">
      <c r="V358991" s="42"/>
    </row>
    <row r="359186" spans="22:22">
      <c r="V359186" s="42"/>
    </row>
    <row r="359381" spans="22:22">
      <c r="V359381" s="42"/>
    </row>
    <row r="359576" spans="22:22">
      <c r="V359576" s="42"/>
    </row>
    <row r="359771" spans="22:22">
      <c r="V359771" s="42"/>
    </row>
    <row r="359966" spans="22:22">
      <c r="V359966" s="42"/>
    </row>
    <row r="360161" spans="22:22">
      <c r="V360161" s="42"/>
    </row>
    <row r="360356" spans="22:22">
      <c r="V360356" s="42"/>
    </row>
    <row r="360551" spans="22:22">
      <c r="V360551" s="42"/>
    </row>
    <row r="360746" spans="22:22">
      <c r="V360746" s="42"/>
    </row>
    <row r="360941" spans="22:22">
      <c r="V360941" s="42"/>
    </row>
    <row r="361136" spans="22:22">
      <c r="V361136" s="42"/>
    </row>
    <row r="361331" spans="22:22">
      <c r="V361331" s="42"/>
    </row>
    <row r="361526" spans="22:22">
      <c r="V361526" s="42"/>
    </row>
    <row r="361721" spans="22:22">
      <c r="V361721" s="42"/>
    </row>
    <row r="361916" spans="22:22">
      <c r="V361916" s="42"/>
    </row>
    <row r="362111" spans="22:22">
      <c r="V362111" s="42"/>
    </row>
    <row r="362306" spans="22:22">
      <c r="V362306" s="42"/>
    </row>
    <row r="362501" spans="22:22">
      <c r="V362501" s="42"/>
    </row>
    <row r="362696" spans="22:22">
      <c r="V362696" s="42"/>
    </row>
    <row r="362891" spans="22:22">
      <c r="V362891" s="42"/>
    </row>
    <row r="363086" spans="22:22">
      <c r="V363086" s="42"/>
    </row>
    <row r="363281" spans="22:22">
      <c r="V363281" s="42"/>
    </row>
    <row r="363476" spans="22:22">
      <c r="V363476" s="42"/>
    </row>
    <row r="363671" spans="22:22">
      <c r="V363671" s="42"/>
    </row>
    <row r="363866" spans="22:22">
      <c r="V363866" s="42"/>
    </row>
    <row r="364061" spans="22:22">
      <c r="V364061" s="42"/>
    </row>
    <row r="364256" spans="22:22">
      <c r="V364256" s="42"/>
    </row>
    <row r="364451" spans="22:22">
      <c r="V364451" s="42"/>
    </row>
    <row r="364646" spans="22:22">
      <c r="V364646" s="42"/>
    </row>
    <row r="364841" spans="22:22">
      <c r="V364841" s="42"/>
    </row>
    <row r="365036" spans="22:22">
      <c r="V365036" s="42"/>
    </row>
    <row r="365231" spans="22:22">
      <c r="V365231" s="42"/>
    </row>
    <row r="365426" spans="22:22">
      <c r="V365426" s="42"/>
    </row>
    <row r="365621" spans="22:22">
      <c r="V365621" s="42"/>
    </row>
    <row r="365816" spans="22:22">
      <c r="V365816" s="42"/>
    </row>
    <row r="366011" spans="22:22">
      <c r="V366011" s="42"/>
    </row>
    <row r="366206" spans="22:22">
      <c r="V366206" s="42"/>
    </row>
    <row r="366401" spans="22:22">
      <c r="V366401" s="42"/>
    </row>
    <row r="366596" spans="22:22">
      <c r="V366596" s="42"/>
    </row>
    <row r="366791" spans="22:22">
      <c r="V366791" s="42"/>
    </row>
    <row r="366986" spans="22:22">
      <c r="V366986" s="42"/>
    </row>
    <row r="367181" spans="22:22">
      <c r="V367181" s="42"/>
    </row>
    <row r="367376" spans="22:22">
      <c r="V367376" s="42"/>
    </row>
    <row r="367571" spans="22:22">
      <c r="V367571" s="42"/>
    </row>
    <row r="367766" spans="22:22">
      <c r="V367766" s="42"/>
    </row>
    <row r="367961" spans="22:22">
      <c r="V367961" s="42"/>
    </row>
    <row r="368156" spans="22:22">
      <c r="V368156" s="42"/>
    </row>
    <row r="368351" spans="22:22">
      <c r="V368351" s="42"/>
    </row>
    <row r="368546" spans="22:22">
      <c r="V368546" s="42"/>
    </row>
    <row r="368741" spans="22:22">
      <c r="V368741" s="42"/>
    </row>
    <row r="368936" spans="22:22">
      <c r="V368936" s="42"/>
    </row>
    <row r="369131" spans="22:22">
      <c r="V369131" s="42"/>
    </row>
    <row r="369326" spans="22:22">
      <c r="V369326" s="42"/>
    </row>
    <row r="369521" spans="22:22">
      <c r="V369521" s="42"/>
    </row>
    <row r="369716" spans="22:22">
      <c r="V369716" s="42"/>
    </row>
    <row r="369911" spans="22:22">
      <c r="V369911" s="42"/>
    </row>
    <row r="370106" spans="22:22">
      <c r="V370106" s="42"/>
    </row>
    <row r="370301" spans="22:22">
      <c r="V370301" s="42"/>
    </row>
    <row r="370496" spans="22:22">
      <c r="V370496" s="42"/>
    </row>
    <row r="370691" spans="22:22">
      <c r="V370691" s="42"/>
    </row>
    <row r="370886" spans="22:22">
      <c r="V370886" s="42"/>
    </row>
    <row r="371081" spans="22:22">
      <c r="V371081" s="42"/>
    </row>
    <row r="371276" spans="22:22">
      <c r="V371276" s="42"/>
    </row>
    <row r="371471" spans="22:22">
      <c r="V371471" s="42"/>
    </row>
    <row r="371666" spans="22:22">
      <c r="V371666" s="42"/>
    </row>
    <row r="371861" spans="22:22">
      <c r="V371861" s="42"/>
    </row>
    <row r="372056" spans="22:22">
      <c r="V372056" s="42"/>
    </row>
    <row r="372251" spans="22:22">
      <c r="V372251" s="42"/>
    </row>
    <row r="372446" spans="22:22">
      <c r="V372446" s="42"/>
    </row>
    <row r="372641" spans="22:22">
      <c r="V372641" s="42"/>
    </row>
    <row r="372836" spans="22:22">
      <c r="V372836" s="42"/>
    </row>
    <row r="373031" spans="22:22">
      <c r="V373031" s="42"/>
    </row>
    <row r="373226" spans="22:22">
      <c r="V373226" s="42"/>
    </row>
    <row r="373421" spans="22:22">
      <c r="V373421" s="42"/>
    </row>
    <row r="373616" spans="22:22">
      <c r="V373616" s="42"/>
    </row>
    <row r="373811" spans="22:22">
      <c r="V373811" s="42"/>
    </row>
    <row r="374006" spans="22:22">
      <c r="V374006" s="42"/>
    </row>
    <row r="374201" spans="22:22">
      <c r="V374201" s="42"/>
    </row>
    <row r="374396" spans="22:22">
      <c r="V374396" s="42"/>
    </row>
    <row r="374591" spans="22:22">
      <c r="V374591" s="42"/>
    </row>
    <row r="374786" spans="22:22">
      <c r="V374786" s="42"/>
    </row>
    <row r="374981" spans="22:22">
      <c r="V374981" s="42"/>
    </row>
    <row r="375176" spans="22:22">
      <c r="V375176" s="42"/>
    </row>
    <row r="375371" spans="22:22">
      <c r="V375371" s="42"/>
    </row>
    <row r="375566" spans="22:22">
      <c r="V375566" s="42"/>
    </row>
    <row r="375761" spans="22:22">
      <c r="V375761" s="42"/>
    </row>
    <row r="375956" spans="22:22">
      <c r="V375956" s="42"/>
    </row>
    <row r="376151" spans="22:22">
      <c r="V376151" s="42"/>
    </row>
    <row r="376346" spans="22:22">
      <c r="V376346" s="42"/>
    </row>
    <row r="376541" spans="22:22">
      <c r="V376541" s="42"/>
    </row>
    <row r="376736" spans="22:22">
      <c r="V376736" s="42"/>
    </row>
    <row r="376931" spans="22:22">
      <c r="V376931" s="42"/>
    </row>
    <row r="377126" spans="22:22">
      <c r="V377126" s="42"/>
    </row>
    <row r="377321" spans="22:22">
      <c r="V377321" s="42"/>
    </row>
    <row r="377516" spans="22:22">
      <c r="V377516" s="42"/>
    </row>
    <row r="377711" spans="22:22">
      <c r="V377711" s="42"/>
    </row>
    <row r="377906" spans="22:22">
      <c r="V377906" s="42"/>
    </row>
    <row r="378101" spans="22:22">
      <c r="V378101" s="42"/>
    </row>
    <row r="378296" spans="22:22">
      <c r="V378296" s="42"/>
    </row>
    <row r="378491" spans="22:22">
      <c r="V378491" s="42"/>
    </row>
    <row r="378686" spans="22:22">
      <c r="V378686" s="42"/>
    </row>
    <row r="378881" spans="22:22">
      <c r="V378881" s="42"/>
    </row>
    <row r="379076" spans="22:22">
      <c r="V379076" s="42"/>
    </row>
    <row r="379271" spans="22:22">
      <c r="V379271" s="42"/>
    </row>
    <row r="379466" spans="22:22">
      <c r="V379466" s="42"/>
    </row>
    <row r="379661" spans="22:22">
      <c r="V379661" s="42"/>
    </row>
    <row r="379856" spans="22:22">
      <c r="V379856" s="42"/>
    </row>
    <row r="380051" spans="22:22">
      <c r="V380051" s="42"/>
    </row>
    <row r="380246" spans="22:22">
      <c r="V380246" s="42"/>
    </row>
    <row r="380441" spans="22:22">
      <c r="V380441" s="42"/>
    </row>
    <row r="380636" spans="22:22">
      <c r="V380636" s="42"/>
    </row>
    <row r="380831" spans="22:22">
      <c r="V380831" s="42"/>
    </row>
    <row r="381026" spans="22:22">
      <c r="V381026" s="42"/>
    </row>
    <row r="381221" spans="22:22">
      <c r="V381221" s="42"/>
    </row>
    <row r="381416" spans="22:22">
      <c r="V381416" s="42"/>
    </row>
    <row r="381611" spans="22:22">
      <c r="V381611" s="42"/>
    </row>
    <row r="381806" spans="22:22">
      <c r="V381806" s="42"/>
    </row>
    <row r="382001" spans="22:22">
      <c r="V382001" s="42"/>
    </row>
    <row r="382196" spans="22:22">
      <c r="V382196" s="42"/>
    </row>
    <row r="382391" spans="22:22">
      <c r="V382391" s="42"/>
    </row>
    <row r="382586" spans="22:22">
      <c r="V382586" s="42"/>
    </row>
    <row r="382781" spans="22:22">
      <c r="V382781" s="42"/>
    </row>
    <row r="382976" spans="22:22">
      <c r="V382976" s="42"/>
    </row>
    <row r="383171" spans="22:22">
      <c r="V383171" s="42"/>
    </row>
    <row r="383366" spans="22:22">
      <c r="V383366" s="42"/>
    </row>
    <row r="383561" spans="22:22">
      <c r="V383561" s="42"/>
    </row>
    <row r="383756" spans="22:22">
      <c r="V383756" s="42"/>
    </row>
    <row r="383951" spans="22:22">
      <c r="V383951" s="42"/>
    </row>
    <row r="384146" spans="22:22">
      <c r="V384146" s="42"/>
    </row>
    <row r="384341" spans="22:22">
      <c r="V384341" s="42"/>
    </row>
    <row r="384536" spans="22:22">
      <c r="V384536" s="42"/>
    </row>
    <row r="384731" spans="22:22">
      <c r="V384731" s="42"/>
    </row>
    <row r="384926" spans="22:22">
      <c r="V384926" s="42"/>
    </row>
    <row r="385121" spans="22:22">
      <c r="V385121" s="42"/>
    </row>
    <row r="385316" spans="22:22">
      <c r="V385316" s="42"/>
    </row>
    <row r="385511" spans="22:22">
      <c r="V385511" s="42"/>
    </row>
    <row r="385706" spans="22:22">
      <c r="V385706" s="42"/>
    </row>
    <row r="385901" spans="22:22">
      <c r="V385901" s="42"/>
    </row>
    <row r="386096" spans="22:22">
      <c r="V386096" s="42"/>
    </row>
    <row r="386291" spans="22:22">
      <c r="V386291" s="42"/>
    </row>
    <row r="386486" spans="22:22">
      <c r="V386486" s="42"/>
    </row>
    <row r="386681" spans="22:22">
      <c r="V386681" s="42"/>
    </row>
    <row r="386876" spans="22:22">
      <c r="V386876" s="42"/>
    </row>
    <row r="387071" spans="22:22">
      <c r="V387071" s="42"/>
    </row>
    <row r="387266" spans="22:22">
      <c r="V387266" s="42"/>
    </row>
    <row r="387461" spans="22:22">
      <c r="V387461" s="42"/>
    </row>
    <row r="387656" spans="22:22">
      <c r="V387656" s="42"/>
    </row>
    <row r="387851" spans="22:22">
      <c r="V387851" s="42"/>
    </row>
    <row r="388046" spans="22:22">
      <c r="V388046" s="42"/>
    </row>
    <row r="388241" spans="22:22">
      <c r="V388241" s="42"/>
    </row>
    <row r="388436" spans="22:22">
      <c r="V388436" s="42"/>
    </row>
    <row r="388631" spans="22:22">
      <c r="V388631" s="42"/>
    </row>
    <row r="388826" spans="22:22">
      <c r="V388826" s="42"/>
    </row>
    <row r="389021" spans="22:22">
      <c r="V389021" s="42"/>
    </row>
    <row r="389216" spans="22:22">
      <c r="V389216" s="42"/>
    </row>
    <row r="389411" spans="22:22">
      <c r="V389411" s="42"/>
    </row>
    <row r="389606" spans="22:22">
      <c r="V389606" s="42"/>
    </row>
    <row r="389801" spans="22:22">
      <c r="V389801" s="42"/>
    </row>
    <row r="389996" spans="22:22">
      <c r="V389996" s="42"/>
    </row>
    <row r="390191" spans="22:22">
      <c r="V390191" s="42"/>
    </row>
    <row r="390386" spans="22:22">
      <c r="V390386" s="42"/>
    </row>
    <row r="390581" spans="22:22">
      <c r="V390581" s="42"/>
    </row>
    <row r="390776" spans="22:22">
      <c r="V390776" s="42"/>
    </row>
    <row r="390971" spans="22:22">
      <c r="V390971" s="42"/>
    </row>
    <row r="391166" spans="22:22">
      <c r="V391166" s="42"/>
    </row>
    <row r="391361" spans="22:22">
      <c r="V391361" s="42"/>
    </row>
    <row r="391556" spans="22:22">
      <c r="V391556" s="42"/>
    </row>
    <row r="391751" spans="22:22">
      <c r="V391751" s="42"/>
    </row>
    <row r="391946" spans="22:22">
      <c r="V391946" s="42"/>
    </row>
    <row r="392141" spans="22:22">
      <c r="V392141" s="42"/>
    </row>
    <row r="392336" spans="22:22">
      <c r="V392336" s="42"/>
    </row>
    <row r="392531" spans="22:22">
      <c r="V392531" s="42"/>
    </row>
    <row r="392726" spans="22:22">
      <c r="V392726" s="42"/>
    </row>
    <row r="392921" spans="22:22">
      <c r="V392921" s="42"/>
    </row>
    <row r="393116" spans="22:22">
      <c r="V393116" s="42"/>
    </row>
    <row r="393311" spans="22:22">
      <c r="V393311" s="42"/>
    </row>
    <row r="393506" spans="22:22">
      <c r="V393506" s="42"/>
    </row>
    <row r="393701" spans="22:22">
      <c r="V393701" s="42"/>
    </row>
    <row r="393896" spans="22:22">
      <c r="V393896" s="42"/>
    </row>
    <row r="394091" spans="22:22">
      <c r="V394091" s="42"/>
    </row>
    <row r="394286" spans="22:22">
      <c r="V394286" s="42"/>
    </row>
    <row r="394481" spans="22:22">
      <c r="V394481" s="42"/>
    </row>
    <row r="394676" spans="22:22">
      <c r="V394676" s="42"/>
    </row>
    <row r="394871" spans="22:22">
      <c r="V394871" s="42"/>
    </row>
    <row r="395066" spans="22:22">
      <c r="V395066" s="42"/>
    </row>
    <row r="395261" spans="22:22">
      <c r="V395261" s="42"/>
    </row>
    <row r="395456" spans="22:22">
      <c r="V395456" s="42"/>
    </row>
    <row r="395651" spans="22:22">
      <c r="V395651" s="42"/>
    </row>
    <row r="395846" spans="22:22">
      <c r="V395846" s="42"/>
    </row>
    <row r="396041" spans="22:22">
      <c r="V396041" s="42"/>
    </row>
    <row r="396236" spans="22:22">
      <c r="V396236" s="42"/>
    </row>
    <row r="396431" spans="22:22">
      <c r="V396431" s="42"/>
    </row>
    <row r="396626" spans="22:22">
      <c r="V396626" s="42"/>
    </row>
    <row r="396821" spans="22:22">
      <c r="V396821" s="42"/>
    </row>
    <row r="397016" spans="22:22">
      <c r="V397016" s="42"/>
    </row>
    <row r="397211" spans="22:22">
      <c r="V397211" s="42"/>
    </row>
    <row r="397406" spans="22:22">
      <c r="V397406" s="42"/>
    </row>
    <row r="397601" spans="22:22">
      <c r="V397601" s="42"/>
    </row>
    <row r="397796" spans="22:22">
      <c r="V397796" s="42"/>
    </row>
    <row r="397991" spans="22:22">
      <c r="V397991" s="42"/>
    </row>
    <row r="398186" spans="22:22">
      <c r="V398186" s="42"/>
    </row>
    <row r="398381" spans="22:22">
      <c r="V398381" s="42"/>
    </row>
    <row r="398576" spans="22:22">
      <c r="V398576" s="42"/>
    </row>
    <row r="398771" spans="22:22">
      <c r="V398771" s="42"/>
    </row>
    <row r="398966" spans="22:22">
      <c r="V398966" s="42"/>
    </row>
    <row r="399161" spans="22:22">
      <c r="V399161" s="42"/>
    </row>
    <row r="399356" spans="22:22">
      <c r="V399356" s="42"/>
    </row>
    <row r="399551" spans="22:22">
      <c r="V399551" s="42"/>
    </row>
    <row r="399746" spans="22:22">
      <c r="V399746" s="42"/>
    </row>
    <row r="399941" spans="22:22">
      <c r="V399941" s="42"/>
    </row>
    <row r="400136" spans="22:22">
      <c r="V400136" s="42"/>
    </row>
    <row r="400331" spans="22:22">
      <c r="V400331" s="42"/>
    </row>
    <row r="400526" spans="22:22">
      <c r="V400526" s="42"/>
    </row>
    <row r="400721" spans="22:22">
      <c r="V400721" s="42"/>
    </row>
    <row r="400916" spans="22:22">
      <c r="V400916" s="42"/>
    </row>
    <row r="401111" spans="22:22">
      <c r="V401111" s="42"/>
    </row>
    <row r="401306" spans="22:22">
      <c r="V401306" s="42"/>
    </row>
    <row r="401501" spans="22:22">
      <c r="V401501" s="42"/>
    </row>
    <row r="401696" spans="22:22">
      <c r="V401696" s="42"/>
    </row>
    <row r="401891" spans="22:22">
      <c r="V401891" s="42"/>
    </row>
    <row r="402086" spans="22:22">
      <c r="V402086" s="42"/>
    </row>
    <row r="402281" spans="22:22">
      <c r="V402281" s="42"/>
    </row>
    <row r="402476" spans="22:22">
      <c r="V402476" s="42"/>
    </row>
    <row r="402671" spans="22:22">
      <c r="V402671" s="42"/>
    </row>
    <row r="402866" spans="22:22">
      <c r="V402866" s="42"/>
    </row>
    <row r="403061" spans="22:22">
      <c r="V403061" s="42"/>
    </row>
    <row r="403256" spans="22:22">
      <c r="V403256" s="42"/>
    </row>
    <row r="403451" spans="22:22">
      <c r="V403451" s="42"/>
    </row>
    <row r="403646" spans="22:22">
      <c r="V403646" s="42"/>
    </row>
    <row r="403841" spans="22:22">
      <c r="V403841" s="42"/>
    </row>
    <row r="404036" spans="22:22">
      <c r="V404036" s="42"/>
    </row>
    <row r="404231" spans="22:22">
      <c r="V404231" s="42"/>
    </row>
    <row r="404426" spans="22:22">
      <c r="V404426" s="42"/>
    </row>
    <row r="404621" spans="22:22">
      <c r="V404621" s="42"/>
    </row>
    <row r="404816" spans="22:22">
      <c r="V404816" s="42"/>
    </row>
    <row r="405011" spans="22:22">
      <c r="V405011" s="42"/>
    </row>
    <row r="405206" spans="22:22">
      <c r="V405206" s="42"/>
    </row>
    <row r="405401" spans="22:22">
      <c r="V405401" s="42"/>
    </row>
    <row r="405596" spans="22:22">
      <c r="V405596" s="42"/>
    </row>
    <row r="405791" spans="22:22">
      <c r="V405791" s="42"/>
    </row>
    <row r="405986" spans="22:22">
      <c r="V405986" s="42"/>
    </row>
    <row r="406181" spans="22:22">
      <c r="V406181" s="42"/>
    </row>
    <row r="406376" spans="22:22">
      <c r="V406376" s="42"/>
    </row>
    <row r="406571" spans="22:22">
      <c r="V406571" s="42"/>
    </row>
    <row r="406766" spans="22:22">
      <c r="V406766" s="42"/>
    </row>
    <row r="406961" spans="22:22">
      <c r="V406961" s="42"/>
    </row>
    <row r="407156" spans="22:22">
      <c r="V407156" s="42"/>
    </row>
    <row r="407351" spans="22:22">
      <c r="V407351" s="42"/>
    </row>
    <row r="407546" spans="22:22">
      <c r="V407546" s="42"/>
    </row>
    <row r="407741" spans="22:22">
      <c r="V407741" s="42"/>
    </row>
    <row r="407936" spans="22:22">
      <c r="V407936" s="42"/>
    </row>
    <row r="408131" spans="22:22">
      <c r="V408131" s="42"/>
    </row>
    <row r="408326" spans="22:22">
      <c r="V408326" s="42"/>
    </row>
    <row r="408521" spans="22:22">
      <c r="V408521" s="42"/>
    </row>
    <row r="408716" spans="22:22">
      <c r="V408716" s="42"/>
    </row>
    <row r="408911" spans="22:22">
      <c r="V408911" s="42"/>
    </row>
    <row r="409106" spans="22:22">
      <c r="V409106" s="42"/>
    </row>
    <row r="409301" spans="22:22">
      <c r="V409301" s="42"/>
    </row>
    <row r="409496" spans="22:22">
      <c r="V409496" s="42"/>
    </row>
    <row r="409691" spans="22:22">
      <c r="V409691" s="42"/>
    </row>
    <row r="409886" spans="22:22">
      <c r="V409886" s="42"/>
    </row>
    <row r="410081" spans="22:22">
      <c r="V410081" s="42"/>
    </row>
    <row r="410276" spans="22:22">
      <c r="V410276" s="42"/>
    </row>
    <row r="410471" spans="22:22">
      <c r="V410471" s="42"/>
    </row>
    <row r="410666" spans="22:22">
      <c r="V410666" s="42"/>
    </row>
    <row r="410861" spans="22:22">
      <c r="V410861" s="42"/>
    </row>
    <row r="411056" spans="22:22">
      <c r="V411056" s="42"/>
    </row>
    <row r="411251" spans="22:22">
      <c r="V411251" s="42"/>
    </row>
    <row r="411446" spans="22:22">
      <c r="V411446" s="42"/>
    </row>
    <row r="411641" spans="22:22">
      <c r="V411641" s="42"/>
    </row>
    <row r="411836" spans="22:22">
      <c r="V411836" s="42"/>
    </row>
    <row r="412031" spans="22:22">
      <c r="V412031" s="42"/>
    </row>
    <row r="412226" spans="22:22">
      <c r="V412226" s="42"/>
    </row>
    <row r="412421" spans="22:22">
      <c r="V412421" s="42"/>
    </row>
    <row r="412616" spans="22:22">
      <c r="V412616" s="42"/>
    </row>
    <row r="412811" spans="22:22">
      <c r="V412811" s="42"/>
    </row>
    <row r="413006" spans="22:22">
      <c r="V413006" s="42"/>
    </row>
    <row r="413201" spans="22:22">
      <c r="V413201" s="42"/>
    </row>
    <row r="413396" spans="22:22">
      <c r="V413396" s="42"/>
    </row>
    <row r="413591" spans="22:22">
      <c r="V413591" s="42"/>
    </row>
    <row r="413786" spans="22:22">
      <c r="V413786" s="42"/>
    </row>
    <row r="413981" spans="22:22">
      <c r="V413981" s="42"/>
    </row>
    <row r="414176" spans="22:22">
      <c r="V414176" s="42"/>
    </row>
    <row r="414371" spans="22:22">
      <c r="V414371" s="42"/>
    </row>
    <row r="414566" spans="22:22">
      <c r="V414566" s="42"/>
    </row>
    <row r="414761" spans="22:22">
      <c r="V414761" s="42"/>
    </row>
    <row r="414956" spans="22:22">
      <c r="V414956" s="42"/>
    </row>
    <row r="415151" spans="22:22">
      <c r="V415151" s="42"/>
    </row>
    <row r="415346" spans="22:22">
      <c r="V415346" s="42"/>
    </row>
    <row r="415541" spans="22:22">
      <c r="V415541" s="42"/>
    </row>
    <row r="415736" spans="22:22">
      <c r="V415736" s="42"/>
    </row>
    <row r="415931" spans="22:22">
      <c r="V415931" s="42"/>
    </row>
    <row r="416126" spans="22:22">
      <c r="V416126" s="42"/>
    </row>
    <row r="416321" spans="22:22">
      <c r="V416321" s="42"/>
    </row>
    <row r="416516" spans="22:22">
      <c r="V416516" s="42"/>
    </row>
    <row r="416711" spans="22:22">
      <c r="V416711" s="42"/>
    </row>
    <row r="416906" spans="22:22">
      <c r="V416906" s="42"/>
    </row>
    <row r="417101" spans="22:22">
      <c r="V417101" s="42"/>
    </row>
    <row r="417296" spans="22:22">
      <c r="V417296" s="42"/>
    </row>
    <row r="417491" spans="22:22">
      <c r="V417491" s="42"/>
    </row>
    <row r="417686" spans="22:22">
      <c r="V417686" s="42"/>
    </row>
    <row r="417881" spans="22:22">
      <c r="V417881" s="42"/>
    </row>
    <row r="418076" spans="22:22">
      <c r="V418076" s="42"/>
    </row>
    <row r="418271" spans="22:22">
      <c r="V418271" s="42"/>
    </row>
    <row r="418466" spans="22:22">
      <c r="V418466" s="42"/>
    </row>
    <row r="418661" spans="22:22">
      <c r="V418661" s="42"/>
    </row>
    <row r="418856" spans="22:22">
      <c r="V418856" s="42"/>
    </row>
    <row r="419051" spans="22:22">
      <c r="V419051" s="42"/>
    </row>
    <row r="419246" spans="22:22">
      <c r="V419246" s="42"/>
    </row>
    <row r="419441" spans="22:22">
      <c r="V419441" s="42"/>
    </row>
    <row r="419636" spans="22:22">
      <c r="V419636" s="42"/>
    </row>
    <row r="419831" spans="22:22">
      <c r="V419831" s="42"/>
    </row>
    <row r="420026" spans="22:22">
      <c r="V420026" s="42"/>
    </row>
    <row r="420221" spans="22:22">
      <c r="V420221" s="42"/>
    </row>
    <row r="420416" spans="22:22">
      <c r="V420416" s="42"/>
    </row>
    <row r="420611" spans="22:22">
      <c r="V420611" s="42"/>
    </row>
    <row r="420806" spans="22:22">
      <c r="V420806" s="42"/>
    </row>
    <row r="421001" spans="22:22">
      <c r="V421001" s="42"/>
    </row>
    <row r="421196" spans="22:22">
      <c r="V421196" s="42"/>
    </row>
    <row r="421391" spans="22:22">
      <c r="V421391" s="42"/>
    </row>
    <row r="421586" spans="22:22">
      <c r="V421586" s="42"/>
    </row>
    <row r="421781" spans="22:22">
      <c r="V421781" s="42"/>
    </row>
    <row r="421976" spans="22:22">
      <c r="V421976" s="42"/>
    </row>
    <row r="422171" spans="22:22">
      <c r="V422171" s="42"/>
    </row>
    <row r="422366" spans="22:22">
      <c r="V422366" s="42"/>
    </row>
    <row r="422561" spans="22:22">
      <c r="V422561" s="42"/>
    </row>
    <row r="422756" spans="22:22">
      <c r="V422756" s="42"/>
    </row>
    <row r="422951" spans="22:22">
      <c r="V422951" s="42"/>
    </row>
    <row r="423146" spans="22:22">
      <c r="V423146" s="42"/>
    </row>
    <row r="423341" spans="22:22">
      <c r="V423341" s="42"/>
    </row>
    <row r="423536" spans="22:22">
      <c r="V423536" s="42"/>
    </row>
    <row r="423731" spans="22:22">
      <c r="V423731" s="42"/>
    </row>
    <row r="423926" spans="22:22">
      <c r="V423926" s="42"/>
    </row>
    <row r="424121" spans="22:22">
      <c r="V424121" s="42"/>
    </row>
    <row r="424316" spans="22:22">
      <c r="V424316" s="42"/>
    </row>
    <row r="424511" spans="22:22">
      <c r="V424511" s="42"/>
    </row>
    <row r="424706" spans="22:22">
      <c r="V424706" s="42"/>
    </row>
    <row r="424901" spans="22:22">
      <c r="V424901" s="42"/>
    </row>
    <row r="425096" spans="22:22">
      <c r="V425096" s="42"/>
    </row>
    <row r="425291" spans="22:22">
      <c r="V425291" s="42"/>
    </row>
    <row r="425486" spans="22:22">
      <c r="V425486" s="42"/>
    </row>
    <row r="425681" spans="22:22">
      <c r="V425681" s="42"/>
    </row>
    <row r="425876" spans="22:22">
      <c r="V425876" s="42"/>
    </row>
    <row r="426071" spans="22:22">
      <c r="V426071" s="42"/>
    </row>
    <row r="426266" spans="22:22">
      <c r="V426266" s="42"/>
    </row>
    <row r="426461" spans="22:22">
      <c r="V426461" s="42"/>
    </row>
    <row r="426656" spans="22:22">
      <c r="V426656" s="42"/>
    </row>
    <row r="426851" spans="22:22">
      <c r="V426851" s="42"/>
    </row>
    <row r="427046" spans="22:22">
      <c r="V427046" s="42"/>
    </row>
    <row r="427241" spans="22:22">
      <c r="V427241" s="42"/>
    </row>
    <row r="427436" spans="22:22">
      <c r="V427436" s="42"/>
    </row>
    <row r="427631" spans="22:22">
      <c r="V427631" s="42"/>
    </row>
    <row r="427826" spans="22:22">
      <c r="V427826" s="42"/>
    </row>
    <row r="428021" spans="22:22">
      <c r="V428021" s="42"/>
    </row>
    <row r="428216" spans="22:22">
      <c r="V428216" s="42"/>
    </row>
    <row r="428411" spans="22:22">
      <c r="V428411" s="42"/>
    </row>
    <row r="428606" spans="22:22">
      <c r="V428606" s="42"/>
    </row>
    <row r="428801" spans="22:22">
      <c r="V428801" s="42"/>
    </row>
    <row r="428996" spans="22:22">
      <c r="V428996" s="42"/>
    </row>
    <row r="429191" spans="22:22">
      <c r="V429191" s="42"/>
    </row>
    <row r="429386" spans="22:22">
      <c r="V429386" s="42"/>
    </row>
    <row r="429581" spans="22:22">
      <c r="V429581" s="42"/>
    </row>
    <row r="429776" spans="22:22">
      <c r="V429776" s="42"/>
    </row>
    <row r="429971" spans="22:22">
      <c r="V429971" s="42"/>
    </row>
    <row r="430166" spans="22:22">
      <c r="V430166" s="42"/>
    </row>
    <row r="430361" spans="22:22">
      <c r="V430361" s="42"/>
    </row>
    <row r="430556" spans="22:22">
      <c r="V430556" s="42"/>
    </row>
    <row r="430751" spans="22:22">
      <c r="V430751" s="42"/>
    </row>
    <row r="430946" spans="22:22">
      <c r="V430946" s="42"/>
    </row>
    <row r="431141" spans="22:22">
      <c r="V431141" s="42"/>
    </row>
    <row r="431336" spans="22:22">
      <c r="V431336" s="42"/>
    </row>
    <row r="431531" spans="22:22">
      <c r="V431531" s="42"/>
    </row>
    <row r="431726" spans="22:22">
      <c r="V431726" s="42"/>
    </row>
    <row r="431921" spans="22:22">
      <c r="V431921" s="42"/>
    </row>
    <row r="432116" spans="22:22">
      <c r="V432116" s="42"/>
    </row>
    <row r="432311" spans="22:22">
      <c r="V432311" s="42"/>
    </row>
    <row r="432506" spans="22:22">
      <c r="V432506" s="42"/>
    </row>
    <row r="432701" spans="22:22">
      <c r="V432701" s="42"/>
    </row>
    <row r="432896" spans="22:22">
      <c r="V432896" s="42"/>
    </row>
    <row r="433091" spans="22:22">
      <c r="V433091" s="42"/>
    </row>
    <row r="433286" spans="22:22">
      <c r="V433286" s="42"/>
    </row>
    <row r="433481" spans="22:22">
      <c r="V433481" s="42"/>
    </row>
    <row r="433676" spans="22:22">
      <c r="V433676" s="42"/>
    </row>
    <row r="433871" spans="22:22">
      <c r="V433871" s="42"/>
    </row>
    <row r="434066" spans="22:22">
      <c r="V434066" s="42"/>
    </row>
    <row r="434261" spans="22:22">
      <c r="V434261" s="42"/>
    </row>
    <row r="434456" spans="22:22">
      <c r="V434456" s="42"/>
    </row>
    <row r="434651" spans="22:22">
      <c r="V434651" s="42"/>
    </row>
    <row r="434846" spans="22:22">
      <c r="V434846" s="42"/>
    </row>
    <row r="435041" spans="22:22">
      <c r="V435041" s="42"/>
    </row>
    <row r="435236" spans="22:22">
      <c r="V435236" s="42"/>
    </row>
    <row r="435431" spans="22:22">
      <c r="V435431" s="42"/>
    </row>
    <row r="435626" spans="22:22">
      <c r="V435626" s="42"/>
    </row>
    <row r="435821" spans="22:22">
      <c r="V435821" s="42"/>
    </row>
    <row r="436016" spans="22:22">
      <c r="V436016" s="42"/>
    </row>
    <row r="436211" spans="22:22">
      <c r="V436211" s="42"/>
    </row>
    <row r="436406" spans="22:22">
      <c r="V436406" s="42"/>
    </row>
    <row r="436601" spans="22:22">
      <c r="V436601" s="42"/>
    </row>
    <row r="436796" spans="22:22">
      <c r="V436796" s="42"/>
    </row>
    <row r="436991" spans="22:22">
      <c r="V436991" s="42"/>
    </row>
    <row r="437186" spans="22:22">
      <c r="V437186" s="42"/>
    </row>
    <row r="437381" spans="22:22">
      <c r="V437381" s="42"/>
    </row>
    <row r="437576" spans="22:22">
      <c r="V437576" s="42"/>
    </row>
    <row r="437771" spans="22:22">
      <c r="V437771" s="42"/>
    </row>
    <row r="437966" spans="22:22">
      <c r="V437966" s="42"/>
    </row>
    <row r="438161" spans="22:22">
      <c r="V438161" s="42"/>
    </row>
    <row r="438356" spans="22:22">
      <c r="V438356" s="42"/>
    </row>
    <row r="438551" spans="22:22">
      <c r="V438551" s="42"/>
    </row>
    <row r="438746" spans="22:22">
      <c r="V438746" s="42"/>
    </row>
    <row r="438941" spans="22:22">
      <c r="V438941" s="42"/>
    </row>
    <row r="439136" spans="22:22">
      <c r="V439136" s="42"/>
    </row>
    <row r="439331" spans="22:22">
      <c r="V439331" s="42"/>
    </row>
    <row r="439526" spans="22:22">
      <c r="V439526" s="42"/>
    </row>
    <row r="439721" spans="22:22">
      <c r="V439721" s="42"/>
    </row>
    <row r="439916" spans="22:22">
      <c r="V439916" s="42"/>
    </row>
    <row r="440111" spans="22:22">
      <c r="V440111" s="42"/>
    </row>
    <row r="440306" spans="22:22">
      <c r="V440306" s="42"/>
    </row>
    <row r="440501" spans="22:22">
      <c r="V440501" s="42"/>
    </row>
    <row r="440696" spans="22:22">
      <c r="V440696" s="42"/>
    </row>
    <row r="440891" spans="22:22">
      <c r="V440891" s="42"/>
    </row>
    <row r="441086" spans="22:22">
      <c r="V441086" s="42"/>
    </row>
    <row r="441281" spans="22:22">
      <c r="V441281" s="42"/>
    </row>
    <row r="441476" spans="22:22">
      <c r="V441476" s="42"/>
    </row>
    <row r="441671" spans="22:22">
      <c r="V441671" s="42"/>
    </row>
    <row r="441866" spans="22:22">
      <c r="V441866" s="42"/>
    </row>
    <row r="442061" spans="22:22">
      <c r="V442061" s="42"/>
    </row>
    <row r="442256" spans="22:22">
      <c r="V442256" s="42"/>
    </row>
    <row r="442451" spans="22:22">
      <c r="V442451" s="42"/>
    </row>
    <row r="442646" spans="22:22">
      <c r="V442646" s="42"/>
    </row>
    <row r="442841" spans="22:22">
      <c r="V442841" s="42"/>
    </row>
    <row r="443036" spans="22:22">
      <c r="V443036" s="42"/>
    </row>
    <row r="443231" spans="22:22">
      <c r="V443231" s="42"/>
    </row>
    <row r="443426" spans="22:22">
      <c r="V443426" s="42"/>
    </row>
    <row r="443621" spans="22:22">
      <c r="V443621" s="42"/>
    </row>
    <row r="443816" spans="22:22">
      <c r="V443816" s="42"/>
    </row>
    <row r="444011" spans="22:22">
      <c r="V444011" s="42"/>
    </row>
    <row r="444206" spans="22:22">
      <c r="V444206" s="42"/>
    </row>
    <row r="444401" spans="22:22">
      <c r="V444401" s="42"/>
    </row>
    <row r="444596" spans="22:22">
      <c r="V444596" s="42"/>
    </row>
    <row r="444791" spans="22:22">
      <c r="V444791" s="42"/>
    </row>
    <row r="444986" spans="22:22">
      <c r="V444986" s="42"/>
    </row>
    <row r="445181" spans="22:22">
      <c r="V445181" s="42"/>
    </row>
    <row r="445376" spans="22:22">
      <c r="V445376" s="42"/>
    </row>
    <row r="445571" spans="22:22">
      <c r="V445571" s="42"/>
    </row>
    <row r="445766" spans="22:22">
      <c r="V445766" s="42"/>
    </row>
    <row r="445961" spans="22:22">
      <c r="V445961" s="42"/>
    </row>
    <row r="446156" spans="22:22">
      <c r="V446156" s="42"/>
    </row>
    <row r="446351" spans="22:22">
      <c r="V446351" s="42"/>
    </row>
    <row r="446546" spans="22:22">
      <c r="V446546" s="42"/>
    </row>
    <row r="446741" spans="22:22">
      <c r="V446741" s="42"/>
    </row>
    <row r="446936" spans="22:22">
      <c r="V446936" s="42"/>
    </row>
    <row r="447131" spans="22:22">
      <c r="V447131" s="42"/>
    </row>
    <row r="447326" spans="22:22">
      <c r="V447326" s="42"/>
    </row>
    <row r="447521" spans="22:22">
      <c r="V447521" s="42"/>
    </row>
    <row r="447716" spans="22:22">
      <c r="V447716" s="42"/>
    </row>
    <row r="447911" spans="22:22">
      <c r="V447911" s="42"/>
    </row>
    <row r="448106" spans="22:22">
      <c r="V448106" s="42"/>
    </row>
    <row r="448301" spans="22:22">
      <c r="V448301" s="42"/>
    </row>
    <row r="448496" spans="22:22">
      <c r="V448496" s="42"/>
    </row>
    <row r="448691" spans="22:22">
      <c r="V448691" s="42"/>
    </row>
    <row r="448886" spans="22:22">
      <c r="V448886" s="42"/>
    </row>
    <row r="449081" spans="22:22">
      <c r="V449081" s="42"/>
    </row>
    <row r="449276" spans="22:22">
      <c r="V449276" s="42"/>
    </row>
    <row r="449471" spans="22:22">
      <c r="V449471" s="42"/>
    </row>
    <row r="449666" spans="22:22">
      <c r="V449666" s="42"/>
    </row>
    <row r="449861" spans="22:22">
      <c r="V449861" s="42"/>
    </row>
    <row r="450056" spans="22:22">
      <c r="V450056" s="42"/>
    </row>
    <row r="450251" spans="22:22">
      <c r="V450251" s="42"/>
    </row>
    <row r="450446" spans="22:22">
      <c r="V450446" s="42"/>
    </row>
    <row r="450641" spans="22:22">
      <c r="V450641" s="42"/>
    </row>
    <row r="450836" spans="22:22">
      <c r="V450836" s="42"/>
    </row>
    <row r="451031" spans="22:22">
      <c r="V451031" s="42"/>
    </row>
    <row r="451226" spans="22:22">
      <c r="V451226" s="42"/>
    </row>
    <row r="451421" spans="22:22">
      <c r="V451421" s="42"/>
    </row>
    <row r="451616" spans="22:22">
      <c r="V451616" s="42"/>
    </row>
    <row r="451811" spans="22:22">
      <c r="V451811" s="42"/>
    </row>
    <row r="452006" spans="22:22">
      <c r="V452006" s="42"/>
    </row>
    <row r="452201" spans="22:22">
      <c r="V452201" s="42"/>
    </row>
    <row r="452396" spans="22:22">
      <c r="V452396" s="42"/>
    </row>
    <row r="452591" spans="22:22">
      <c r="V452591" s="42"/>
    </row>
    <row r="452786" spans="22:22">
      <c r="V452786" s="42"/>
    </row>
    <row r="452981" spans="22:22">
      <c r="V452981" s="42"/>
    </row>
    <row r="453176" spans="22:22">
      <c r="V453176" s="42"/>
    </row>
    <row r="453371" spans="22:22">
      <c r="V453371" s="42"/>
    </row>
    <row r="453566" spans="22:22">
      <c r="V453566" s="42"/>
    </row>
    <row r="453761" spans="22:22">
      <c r="V453761" s="42"/>
    </row>
    <row r="453956" spans="22:22">
      <c r="V453956" s="42"/>
    </row>
    <row r="454151" spans="22:22">
      <c r="V454151" s="42"/>
    </row>
    <row r="454346" spans="22:22">
      <c r="V454346" s="42"/>
    </row>
    <row r="454541" spans="22:22">
      <c r="V454541" s="42"/>
    </row>
    <row r="454736" spans="22:22">
      <c r="V454736" s="42"/>
    </row>
    <row r="454931" spans="22:22">
      <c r="V454931" s="42"/>
    </row>
    <row r="455126" spans="22:22">
      <c r="V455126" s="42"/>
    </row>
    <row r="455321" spans="22:22">
      <c r="V455321" s="42"/>
    </row>
    <row r="455516" spans="22:22">
      <c r="V455516" s="42"/>
    </row>
    <row r="455711" spans="22:22">
      <c r="V455711" s="42"/>
    </row>
    <row r="455906" spans="22:22">
      <c r="V455906" s="42"/>
    </row>
    <row r="456101" spans="22:22">
      <c r="V456101" s="42"/>
    </row>
    <row r="456296" spans="22:22">
      <c r="V456296" s="42"/>
    </row>
    <row r="456491" spans="22:22">
      <c r="V456491" s="42"/>
    </row>
    <row r="456686" spans="22:22">
      <c r="V456686" s="42"/>
    </row>
    <row r="456881" spans="22:22">
      <c r="V456881" s="42"/>
    </row>
    <row r="457076" spans="22:22">
      <c r="V457076" s="42"/>
    </row>
    <row r="457271" spans="22:22">
      <c r="V457271" s="42"/>
    </row>
    <row r="457466" spans="22:22">
      <c r="V457466" s="42"/>
    </row>
    <row r="457661" spans="22:22">
      <c r="V457661" s="42"/>
    </row>
    <row r="457856" spans="22:22">
      <c r="V457856" s="42"/>
    </row>
    <row r="458051" spans="22:22">
      <c r="V458051" s="42"/>
    </row>
    <row r="458246" spans="22:22">
      <c r="V458246" s="42"/>
    </row>
    <row r="458441" spans="22:22">
      <c r="V458441" s="42"/>
    </row>
    <row r="458636" spans="22:22">
      <c r="V458636" s="42"/>
    </row>
    <row r="458831" spans="22:22">
      <c r="V458831" s="42"/>
    </row>
    <row r="459026" spans="22:22">
      <c r="V459026" s="42"/>
    </row>
    <row r="459221" spans="22:22">
      <c r="V459221" s="42"/>
    </row>
    <row r="459416" spans="22:22">
      <c r="V459416" s="42"/>
    </row>
    <row r="459611" spans="22:22">
      <c r="V459611" s="42"/>
    </row>
    <row r="459806" spans="22:22">
      <c r="V459806" s="42"/>
    </row>
    <row r="460001" spans="22:22">
      <c r="V460001" s="42"/>
    </row>
    <row r="460196" spans="22:22">
      <c r="V460196" s="42"/>
    </row>
    <row r="460391" spans="22:22">
      <c r="V460391" s="42"/>
    </row>
    <row r="460586" spans="22:22">
      <c r="V460586" s="42"/>
    </row>
    <row r="460781" spans="22:22">
      <c r="V460781" s="42"/>
    </row>
    <row r="460976" spans="22:22">
      <c r="V460976" s="42"/>
    </row>
    <row r="461171" spans="22:22">
      <c r="V461171" s="42"/>
    </row>
    <row r="461366" spans="22:22">
      <c r="V461366" s="42"/>
    </row>
    <row r="461561" spans="22:22">
      <c r="V461561" s="42"/>
    </row>
    <row r="461756" spans="22:22">
      <c r="V461756" s="42"/>
    </row>
    <row r="461951" spans="22:22">
      <c r="V461951" s="42"/>
    </row>
    <row r="462146" spans="22:22">
      <c r="V462146" s="42"/>
    </row>
    <row r="462341" spans="22:22">
      <c r="V462341" s="42"/>
    </row>
    <row r="462536" spans="22:22">
      <c r="V462536" s="42"/>
    </row>
    <row r="462731" spans="22:22">
      <c r="V462731" s="42"/>
    </row>
    <row r="462926" spans="22:22">
      <c r="V462926" s="42"/>
    </row>
    <row r="463121" spans="22:22">
      <c r="V463121" s="42"/>
    </row>
    <row r="463316" spans="22:22">
      <c r="V463316" s="42"/>
    </row>
    <row r="463511" spans="22:22">
      <c r="V463511" s="42"/>
    </row>
    <row r="463706" spans="22:22">
      <c r="V463706" s="42"/>
    </row>
    <row r="463901" spans="22:22">
      <c r="V463901" s="42"/>
    </row>
    <row r="464096" spans="22:22">
      <c r="V464096" s="42"/>
    </row>
    <row r="464291" spans="22:22">
      <c r="V464291" s="42"/>
    </row>
    <row r="464486" spans="22:22">
      <c r="V464486" s="42"/>
    </row>
    <row r="464681" spans="22:22">
      <c r="V464681" s="42"/>
    </row>
    <row r="464876" spans="22:22">
      <c r="V464876" s="42"/>
    </row>
    <row r="465071" spans="22:22">
      <c r="V465071" s="42"/>
    </row>
    <row r="465266" spans="22:22">
      <c r="V465266" s="42"/>
    </row>
    <row r="465461" spans="22:22">
      <c r="V465461" s="42"/>
    </row>
    <row r="465656" spans="22:22">
      <c r="V465656" s="42"/>
    </row>
    <row r="465851" spans="22:22">
      <c r="V465851" s="42"/>
    </row>
    <row r="466046" spans="22:22">
      <c r="V466046" s="42"/>
    </row>
    <row r="466241" spans="22:22">
      <c r="V466241" s="42"/>
    </row>
    <row r="466436" spans="22:22">
      <c r="V466436" s="42"/>
    </row>
    <row r="466631" spans="22:22">
      <c r="V466631" s="42"/>
    </row>
    <row r="466826" spans="22:22">
      <c r="V466826" s="42"/>
    </row>
    <row r="467021" spans="22:22">
      <c r="V467021" s="42"/>
    </row>
    <row r="467216" spans="22:22">
      <c r="V467216" s="42"/>
    </row>
    <row r="467411" spans="22:22">
      <c r="V467411" s="42"/>
    </row>
    <row r="467606" spans="22:22">
      <c r="V467606" s="42"/>
    </row>
    <row r="467801" spans="22:22">
      <c r="V467801" s="42"/>
    </row>
    <row r="467996" spans="22:22">
      <c r="V467996" s="42"/>
    </row>
    <row r="468191" spans="22:22">
      <c r="V468191" s="42"/>
    </row>
    <row r="468386" spans="22:22">
      <c r="V468386" s="42"/>
    </row>
    <row r="468581" spans="22:22">
      <c r="V468581" s="42"/>
    </row>
    <row r="468776" spans="22:22">
      <c r="V468776" s="42"/>
    </row>
    <row r="468971" spans="22:22">
      <c r="V468971" s="42"/>
    </row>
    <row r="469166" spans="22:22">
      <c r="V469166" s="42"/>
    </row>
    <row r="469361" spans="22:22">
      <c r="V469361" s="42"/>
    </row>
    <row r="469556" spans="22:22">
      <c r="V469556" s="42"/>
    </row>
    <row r="469751" spans="22:22">
      <c r="V469751" s="42"/>
    </row>
    <row r="469946" spans="22:22">
      <c r="V469946" s="42"/>
    </row>
    <row r="470141" spans="22:22">
      <c r="V470141" s="42"/>
    </row>
    <row r="470336" spans="22:22">
      <c r="V470336" s="42"/>
    </row>
    <row r="470531" spans="22:22">
      <c r="V470531" s="42"/>
    </row>
    <row r="470726" spans="22:22">
      <c r="V470726" s="42"/>
    </row>
    <row r="470921" spans="22:22">
      <c r="V470921" s="42"/>
    </row>
    <row r="471116" spans="22:22">
      <c r="V471116" s="42"/>
    </row>
    <row r="471311" spans="22:22">
      <c r="V471311" s="42"/>
    </row>
    <row r="471506" spans="22:22">
      <c r="V471506" s="42"/>
    </row>
    <row r="471701" spans="22:22">
      <c r="V471701" s="42"/>
    </row>
    <row r="471896" spans="22:22">
      <c r="V471896" s="42"/>
    </row>
    <row r="472091" spans="22:22">
      <c r="V472091" s="42"/>
    </row>
    <row r="472286" spans="22:22">
      <c r="V472286" s="42"/>
    </row>
    <row r="472481" spans="22:22">
      <c r="V472481" s="42"/>
    </row>
    <row r="472676" spans="22:22">
      <c r="V472676" s="42"/>
    </row>
    <row r="472871" spans="22:22">
      <c r="V472871" s="42"/>
    </row>
    <row r="473066" spans="22:22">
      <c r="V473066" s="42"/>
    </row>
    <row r="473261" spans="22:22">
      <c r="V473261" s="42"/>
    </row>
    <row r="473456" spans="22:22">
      <c r="V473456" s="42"/>
    </row>
    <row r="473651" spans="22:22">
      <c r="V473651" s="42"/>
    </row>
    <row r="473846" spans="22:22">
      <c r="V473846" s="42"/>
    </row>
    <row r="474041" spans="22:22">
      <c r="V474041" s="42"/>
    </row>
    <row r="474236" spans="22:22">
      <c r="V474236" s="42"/>
    </row>
    <row r="474431" spans="22:22">
      <c r="V474431" s="42"/>
    </row>
    <row r="474626" spans="22:22">
      <c r="V474626" s="42"/>
    </row>
    <row r="474821" spans="22:22">
      <c r="V474821" s="42"/>
    </row>
    <row r="475016" spans="22:22">
      <c r="V475016" s="42"/>
    </row>
    <row r="475211" spans="22:22">
      <c r="V475211" s="42"/>
    </row>
    <row r="475406" spans="22:22">
      <c r="V475406" s="42"/>
    </row>
    <row r="475601" spans="22:22">
      <c r="V475601" s="42"/>
    </row>
    <row r="475796" spans="22:22">
      <c r="V475796" s="42"/>
    </row>
    <row r="475991" spans="22:22">
      <c r="V475991" s="42"/>
    </row>
    <row r="476186" spans="22:22">
      <c r="V476186" s="42"/>
    </row>
    <row r="476381" spans="22:22">
      <c r="V476381" s="42"/>
    </row>
    <row r="476576" spans="22:22">
      <c r="V476576" s="42"/>
    </row>
    <row r="476771" spans="22:22">
      <c r="V476771" s="42"/>
    </row>
    <row r="476966" spans="22:22">
      <c r="V476966" s="42"/>
    </row>
    <row r="477161" spans="22:22">
      <c r="V477161" s="42"/>
    </row>
    <row r="477356" spans="22:22">
      <c r="V477356" s="42"/>
    </row>
    <row r="477551" spans="22:22">
      <c r="V477551" s="42"/>
    </row>
    <row r="477746" spans="22:22">
      <c r="V477746" s="42"/>
    </row>
    <row r="477941" spans="22:22">
      <c r="V477941" s="42"/>
    </row>
    <row r="478136" spans="22:22">
      <c r="V478136" s="42"/>
    </row>
    <row r="478331" spans="22:22">
      <c r="V478331" s="42"/>
    </row>
    <row r="478526" spans="22:22">
      <c r="V478526" s="42"/>
    </row>
    <row r="478721" spans="22:22">
      <c r="V478721" s="42"/>
    </row>
    <row r="478916" spans="22:22">
      <c r="V478916" s="42"/>
    </row>
    <row r="479111" spans="22:22">
      <c r="V479111" s="42"/>
    </row>
    <row r="479306" spans="22:22">
      <c r="V479306" s="42"/>
    </row>
    <row r="479501" spans="22:22">
      <c r="V479501" s="42"/>
    </row>
    <row r="479696" spans="22:22">
      <c r="V479696" s="42"/>
    </row>
    <row r="479891" spans="22:22">
      <c r="V479891" s="42"/>
    </row>
    <row r="480086" spans="22:22">
      <c r="V480086" s="42"/>
    </row>
    <row r="480281" spans="22:22">
      <c r="V480281" s="42"/>
    </row>
    <row r="480476" spans="22:22">
      <c r="V480476" s="42"/>
    </row>
    <row r="480671" spans="22:22">
      <c r="V480671" s="42"/>
    </row>
    <row r="480866" spans="22:22">
      <c r="V480866" s="42"/>
    </row>
    <row r="481061" spans="22:22">
      <c r="V481061" s="42"/>
    </row>
    <row r="481256" spans="22:22">
      <c r="V481256" s="42"/>
    </row>
    <row r="481451" spans="22:22">
      <c r="V481451" s="42"/>
    </row>
    <row r="481646" spans="22:22">
      <c r="V481646" s="42"/>
    </row>
    <row r="481841" spans="22:22">
      <c r="V481841" s="42"/>
    </row>
    <row r="482036" spans="22:22">
      <c r="V482036" s="42"/>
    </row>
    <row r="482231" spans="22:22">
      <c r="V482231" s="42"/>
    </row>
    <row r="482426" spans="22:22">
      <c r="V482426" s="42"/>
    </row>
    <row r="482621" spans="22:22">
      <c r="V482621" s="42"/>
    </row>
    <row r="482816" spans="22:22">
      <c r="V482816" s="42"/>
    </row>
    <row r="483011" spans="22:22">
      <c r="V483011" s="42"/>
    </row>
    <row r="483206" spans="22:22">
      <c r="V483206" s="42"/>
    </row>
    <row r="483401" spans="22:22">
      <c r="V483401" s="42"/>
    </row>
    <row r="483596" spans="22:22">
      <c r="V483596" s="42"/>
    </row>
    <row r="483791" spans="22:22">
      <c r="V483791" s="42"/>
    </row>
    <row r="483986" spans="22:22">
      <c r="V483986" s="42"/>
    </row>
    <row r="484181" spans="22:22">
      <c r="V484181" s="42"/>
    </row>
    <row r="484376" spans="22:22">
      <c r="V484376" s="42"/>
    </row>
    <row r="484571" spans="22:22">
      <c r="V484571" s="42"/>
    </row>
    <row r="484766" spans="22:22">
      <c r="V484766" s="42"/>
    </row>
    <row r="484961" spans="22:22">
      <c r="V484961" s="42"/>
    </row>
    <row r="485156" spans="22:22">
      <c r="V485156" s="42"/>
    </row>
    <row r="485351" spans="22:22">
      <c r="V485351" s="42"/>
    </row>
    <row r="485546" spans="22:22">
      <c r="V485546" s="42"/>
    </row>
    <row r="485741" spans="22:22">
      <c r="V485741" s="42"/>
    </row>
    <row r="485936" spans="22:22">
      <c r="V485936" s="42"/>
    </row>
    <row r="486131" spans="22:22">
      <c r="V486131" s="42"/>
    </row>
    <row r="486326" spans="22:22">
      <c r="V486326" s="42"/>
    </row>
    <row r="486521" spans="22:22">
      <c r="V486521" s="42"/>
    </row>
    <row r="486716" spans="22:22">
      <c r="V486716" s="42"/>
    </row>
    <row r="486911" spans="22:22">
      <c r="V486911" s="42"/>
    </row>
    <row r="487106" spans="22:22">
      <c r="V487106" s="42"/>
    </row>
    <row r="487301" spans="22:22">
      <c r="V487301" s="42"/>
    </row>
    <row r="487496" spans="22:22">
      <c r="V487496" s="42"/>
    </row>
    <row r="487691" spans="22:22">
      <c r="V487691" s="42"/>
    </row>
    <row r="487886" spans="22:22">
      <c r="V487886" s="42"/>
    </row>
    <row r="488081" spans="22:22">
      <c r="V488081" s="42"/>
    </row>
    <row r="488276" spans="22:22">
      <c r="V488276" s="42"/>
    </row>
    <row r="488471" spans="22:22">
      <c r="V488471" s="42"/>
    </row>
    <row r="488666" spans="22:22">
      <c r="V488666" s="42"/>
    </row>
    <row r="488861" spans="22:22">
      <c r="V488861" s="42"/>
    </row>
    <row r="489056" spans="22:22">
      <c r="V489056" s="42"/>
    </row>
    <row r="489251" spans="22:22">
      <c r="V489251" s="42"/>
    </row>
    <row r="489446" spans="22:22">
      <c r="V489446" s="42"/>
    </row>
    <row r="489641" spans="22:22">
      <c r="V489641" s="42"/>
    </row>
    <row r="489836" spans="22:22">
      <c r="V489836" s="42"/>
    </row>
    <row r="490031" spans="22:22">
      <c r="V490031" s="42"/>
    </row>
    <row r="490226" spans="22:22">
      <c r="V490226" s="42"/>
    </row>
    <row r="490421" spans="22:22">
      <c r="V490421" s="42"/>
    </row>
    <row r="490616" spans="22:22">
      <c r="V490616" s="42"/>
    </row>
    <row r="490811" spans="22:22">
      <c r="V490811" s="42"/>
    </row>
    <row r="491006" spans="22:22">
      <c r="V491006" s="42"/>
    </row>
    <row r="491201" spans="22:22">
      <c r="V491201" s="42"/>
    </row>
    <row r="491396" spans="22:22">
      <c r="V491396" s="42"/>
    </row>
    <row r="491591" spans="22:22">
      <c r="V491591" s="42"/>
    </row>
    <row r="491786" spans="22:22">
      <c r="V491786" s="42"/>
    </row>
    <row r="491981" spans="22:22">
      <c r="V491981" s="42"/>
    </row>
    <row r="492176" spans="22:22">
      <c r="V492176" s="42"/>
    </row>
    <row r="492371" spans="22:22">
      <c r="V492371" s="42"/>
    </row>
    <row r="492566" spans="22:22">
      <c r="V492566" s="42"/>
    </row>
    <row r="492761" spans="22:22">
      <c r="V492761" s="42"/>
    </row>
    <row r="492956" spans="22:22">
      <c r="V492956" s="42"/>
    </row>
    <row r="493151" spans="22:22">
      <c r="V493151" s="42"/>
    </row>
    <row r="493346" spans="22:22">
      <c r="V493346" s="42"/>
    </row>
    <row r="493541" spans="22:22">
      <c r="V493541" s="42"/>
    </row>
    <row r="493736" spans="22:22">
      <c r="V493736" s="42"/>
    </row>
    <row r="493931" spans="22:22">
      <c r="V493931" s="42"/>
    </row>
    <row r="494126" spans="22:22">
      <c r="V494126" s="42"/>
    </row>
    <row r="494321" spans="22:22">
      <c r="V494321" s="42"/>
    </row>
    <row r="494516" spans="22:22">
      <c r="V494516" s="42"/>
    </row>
    <row r="494711" spans="22:22">
      <c r="V494711" s="42"/>
    </row>
    <row r="494906" spans="22:22">
      <c r="V494906" s="42"/>
    </row>
    <row r="495101" spans="22:22">
      <c r="V495101" s="42"/>
    </row>
    <row r="495296" spans="22:22">
      <c r="V495296" s="42"/>
    </row>
    <row r="495491" spans="22:22">
      <c r="V495491" s="42"/>
    </row>
    <row r="495686" spans="22:22">
      <c r="V495686" s="42"/>
    </row>
    <row r="495881" spans="22:22">
      <c r="V495881" s="42"/>
    </row>
    <row r="496076" spans="22:22">
      <c r="V496076" s="42"/>
    </row>
    <row r="496271" spans="22:22">
      <c r="V496271" s="42"/>
    </row>
    <row r="496466" spans="22:22">
      <c r="V496466" s="42"/>
    </row>
    <row r="496661" spans="22:22">
      <c r="V496661" s="42"/>
    </row>
    <row r="496856" spans="22:22">
      <c r="V496856" s="42"/>
    </row>
    <row r="497051" spans="22:22">
      <c r="V497051" s="42"/>
    </row>
    <row r="497246" spans="22:22">
      <c r="V497246" s="42"/>
    </row>
    <row r="497441" spans="22:22">
      <c r="V497441" s="42"/>
    </row>
    <row r="497636" spans="22:22">
      <c r="V497636" s="42"/>
    </row>
    <row r="497831" spans="22:22">
      <c r="V497831" s="42"/>
    </row>
    <row r="498026" spans="22:22">
      <c r="V498026" s="42"/>
    </row>
    <row r="498221" spans="22:22">
      <c r="V498221" s="42"/>
    </row>
    <row r="498416" spans="22:22">
      <c r="V498416" s="42"/>
    </row>
    <row r="498611" spans="22:22">
      <c r="V498611" s="42"/>
    </row>
    <row r="498806" spans="22:22">
      <c r="V498806" s="42"/>
    </row>
    <row r="499001" spans="22:22">
      <c r="V499001" s="42"/>
    </row>
    <row r="499196" spans="22:22">
      <c r="V499196" s="42"/>
    </row>
    <row r="499391" spans="22:22">
      <c r="V499391" s="42"/>
    </row>
    <row r="499586" spans="22:22">
      <c r="V499586" s="42"/>
    </row>
    <row r="499781" spans="22:22">
      <c r="V499781" s="42"/>
    </row>
    <row r="499976" spans="22:22">
      <c r="V499976" s="42"/>
    </row>
    <row r="500171" spans="22:22">
      <c r="V500171" s="42"/>
    </row>
    <row r="500366" spans="22:22">
      <c r="V500366" s="42"/>
    </row>
    <row r="500561" spans="22:22">
      <c r="V500561" s="42"/>
    </row>
    <row r="500756" spans="22:22">
      <c r="V500756" s="42"/>
    </row>
    <row r="500951" spans="22:22">
      <c r="V500951" s="42"/>
    </row>
    <row r="501146" spans="22:22">
      <c r="V501146" s="42"/>
    </row>
    <row r="501341" spans="22:22">
      <c r="V501341" s="42"/>
    </row>
    <row r="501536" spans="22:22">
      <c r="V501536" s="42"/>
    </row>
    <row r="501731" spans="22:22">
      <c r="V501731" s="42"/>
    </row>
    <row r="501926" spans="22:22">
      <c r="V501926" s="42"/>
    </row>
    <row r="502121" spans="22:22">
      <c r="V502121" s="42"/>
    </row>
    <row r="502316" spans="22:22">
      <c r="V502316" s="42"/>
    </row>
    <row r="502511" spans="22:22">
      <c r="V502511" s="42"/>
    </row>
    <row r="502706" spans="22:22">
      <c r="V502706" s="42"/>
    </row>
    <row r="502901" spans="22:22">
      <c r="V502901" s="42"/>
    </row>
    <row r="503096" spans="22:22">
      <c r="V503096" s="42"/>
    </row>
    <row r="503291" spans="22:22">
      <c r="V503291" s="42"/>
    </row>
    <row r="503486" spans="22:22">
      <c r="V503486" s="42"/>
    </row>
    <row r="503681" spans="22:22">
      <c r="V503681" s="42"/>
    </row>
    <row r="503876" spans="22:22">
      <c r="V503876" s="42"/>
    </row>
    <row r="504071" spans="22:22">
      <c r="V504071" s="42"/>
    </row>
    <row r="504266" spans="22:22">
      <c r="V504266" s="42"/>
    </row>
    <row r="504461" spans="22:22">
      <c r="V504461" s="42"/>
    </row>
    <row r="504656" spans="22:22">
      <c r="V504656" s="42"/>
    </row>
    <row r="504851" spans="22:22">
      <c r="V504851" s="42"/>
    </row>
    <row r="505046" spans="22:22">
      <c r="V505046" s="42"/>
    </row>
    <row r="505241" spans="22:22">
      <c r="V505241" s="42"/>
    </row>
    <row r="505436" spans="22:22">
      <c r="V505436" s="42"/>
    </row>
    <row r="505631" spans="22:22">
      <c r="V505631" s="42"/>
    </row>
    <row r="505826" spans="22:22">
      <c r="V505826" s="42"/>
    </row>
    <row r="506021" spans="22:22">
      <c r="V506021" s="42"/>
    </row>
    <row r="506216" spans="22:22">
      <c r="V506216" s="42"/>
    </row>
    <row r="506411" spans="22:22">
      <c r="V506411" s="42"/>
    </row>
    <row r="506606" spans="22:22">
      <c r="V506606" s="42"/>
    </row>
    <row r="506801" spans="22:22">
      <c r="V506801" s="42"/>
    </row>
    <row r="506996" spans="22:22">
      <c r="V506996" s="42"/>
    </row>
    <row r="507191" spans="22:22">
      <c r="V507191" s="42"/>
    </row>
    <row r="507386" spans="22:22">
      <c r="V507386" s="42"/>
    </row>
    <row r="507581" spans="22:22">
      <c r="V507581" s="42"/>
    </row>
    <row r="507776" spans="22:22">
      <c r="V507776" s="42"/>
    </row>
    <row r="507971" spans="22:22">
      <c r="V507971" s="42"/>
    </row>
    <row r="508166" spans="22:22">
      <c r="V508166" s="42"/>
    </row>
    <row r="508361" spans="22:22">
      <c r="V508361" s="42"/>
    </row>
    <row r="508556" spans="22:22">
      <c r="V508556" s="42"/>
    </row>
    <row r="508751" spans="22:22">
      <c r="V508751" s="42"/>
    </row>
    <row r="508946" spans="22:22">
      <c r="V508946" s="42"/>
    </row>
    <row r="509141" spans="22:22">
      <c r="V509141" s="42"/>
    </row>
    <row r="509336" spans="22:22">
      <c r="V509336" s="42"/>
    </row>
    <row r="509531" spans="22:22">
      <c r="V509531" s="42"/>
    </row>
    <row r="509726" spans="22:22">
      <c r="V509726" s="42"/>
    </row>
    <row r="509921" spans="22:22">
      <c r="V509921" s="42"/>
    </row>
    <row r="510116" spans="22:22">
      <c r="V510116" s="42"/>
    </row>
    <row r="510311" spans="22:22">
      <c r="V510311" s="42"/>
    </row>
    <row r="510506" spans="22:22">
      <c r="V510506" s="42"/>
    </row>
    <row r="510701" spans="22:22">
      <c r="V510701" s="42"/>
    </row>
    <row r="510896" spans="22:22">
      <c r="V510896" s="42"/>
    </row>
    <row r="511091" spans="22:22">
      <c r="V511091" s="42"/>
    </row>
    <row r="511286" spans="22:22">
      <c r="V511286" s="42"/>
    </row>
    <row r="511481" spans="22:22">
      <c r="V511481" s="42"/>
    </row>
    <row r="511676" spans="22:22">
      <c r="V511676" s="42"/>
    </row>
    <row r="511871" spans="22:22">
      <c r="V511871" s="42"/>
    </row>
    <row r="512066" spans="22:22">
      <c r="V512066" s="42"/>
    </row>
    <row r="512261" spans="22:22">
      <c r="V512261" s="42"/>
    </row>
    <row r="512456" spans="22:22">
      <c r="V512456" s="42"/>
    </row>
    <row r="512651" spans="22:22">
      <c r="V512651" s="42"/>
    </row>
    <row r="512846" spans="22:22">
      <c r="V512846" s="42"/>
    </row>
    <row r="513041" spans="22:22">
      <c r="V513041" s="42"/>
    </row>
    <row r="513236" spans="22:22">
      <c r="V513236" s="42"/>
    </row>
    <row r="513431" spans="22:22">
      <c r="V513431" s="42"/>
    </row>
    <row r="513626" spans="22:22">
      <c r="V513626" s="42"/>
    </row>
    <row r="513821" spans="22:22">
      <c r="V513821" s="42"/>
    </row>
    <row r="514016" spans="22:22">
      <c r="V514016" s="42"/>
    </row>
    <row r="514211" spans="22:22">
      <c r="V514211" s="42"/>
    </row>
    <row r="514406" spans="22:22">
      <c r="V514406" s="42"/>
    </row>
    <row r="514601" spans="22:22">
      <c r="V514601" s="42"/>
    </row>
    <row r="514796" spans="22:22">
      <c r="V514796" s="42"/>
    </row>
    <row r="514991" spans="22:22">
      <c r="V514991" s="42"/>
    </row>
    <row r="515186" spans="22:22">
      <c r="V515186" s="42"/>
    </row>
    <row r="515381" spans="22:22">
      <c r="V515381" s="42"/>
    </row>
    <row r="515576" spans="22:22">
      <c r="V515576" s="42"/>
    </row>
    <row r="515771" spans="22:22">
      <c r="V515771" s="42"/>
    </row>
    <row r="515966" spans="22:22">
      <c r="V515966" s="42"/>
    </row>
    <row r="516161" spans="22:22">
      <c r="V516161" s="42"/>
    </row>
    <row r="516356" spans="22:22">
      <c r="V516356" s="42"/>
    </row>
    <row r="516551" spans="22:22">
      <c r="V516551" s="42"/>
    </row>
    <row r="516746" spans="22:22">
      <c r="V516746" s="42"/>
    </row>
    <row r="516941" spans="22:22">
      <c r="V516941" s="42"/>
    </row>
    <row r="517136" spans="22:22">
      <c r="V517136" s="42"/>
    </row>
    <row r="517331" spans="22:22">
      <c r="V517331" s="42"/>
    </row>
    <row r="517526" spans="22:22">
      <c r="V517526" s="42"/>
    </row>
    <row r="517721" spans="22:22">
      <c r="V517721" s="42"/>
    </row>
    <row r="517916" spans="22:22">
      <c r="V517916" s="42"/>
    </row>
    <row r="518111" spans="22:22">
      <c r="V518111" s="42"/>
    </row>
    <row r="518306" spans="22:22">
      <c r="V518306" s="42"/>
    </row>
    <row r="518501" spans="22:22">
      <c r="V518501" s="42"/>
    </row>
    <row r="518696" spans="22:22">
      <c r="V518696" s="42"/>
    </row>
    <row r="518891" spans="22:22">
      <c r="V518891" s="42"/>
    </row>
    <row r="519086" spans="22:22">
      <c r="V519086" s="42"/>
    </row>
    <row r="519281" spans="22:22">
      <c r="V519281" s="42"/>
    </row>
    <row r="519476" spans="22:22">
      <c r="V519476" s="42"/>
    </row>
    <row r="519671" spans="22:22">
      <c r="V519671" s="42"/>
    </row>
    <row r="519866" spans="22:22">
      <c r="V519866" s="42"/>
    </row>
    <row r="520061" spans="22:22">
      <c r="V520061" s="42"/>
    </row>
    <row r="520256" spans="22:22">
      <c r="V520256" s="42"/>
    </row>
    <row r="520451" spans="22:22">
      <c r="V520451" s="42"/>
    </row>
    <row r="520646" spans="22:22">
      <c r="V520646" s="42"/>
    </row>
    <row r="520841" spans="22:22">
      <c r="V520841" s="42"/>
    </row>
    <row r="521036" spans="22:22">
      <c r="V521036" s="42"/>
    </row>
    <row r="521231" spans="22:22">
      <c r="V521231" s="42"/>
    </row>
    <row r="521426" spans="22:22">
      <c r="V521426" s="42"/>
    </row>
    <row r="521621" spans="22:22">
      <c r="V521621" s="42"/>
    </row>
    <row r="521816" spans="22:22">
      <c r="V521816" s="42"/>
    </row>
    <row r="522011" spans="22:22">
      <c r="V522011" s="42"/>
    </row>
    <row r="522206" spans="22:22">
      <c r="V522206" s="42"/>
    </row>
    <row r="522401" spans="22:22">
      <c r="V522401" s="42"/>
    </row>
    <row r="522596" spans="22:22">
      <c r="V522596" s="42"/>
    </row>
    <row r="522791" spans="22:22">
      <c r="V522791" s="42"/>
    </row>
    <row r="522986" spans="22:22">
      <c r="V522986" s="42"/>
    </row>
    <row r="523181" spans="22:22">
      <c r="V523181" s="42"/>
    </row>
    <row r="523376" spans="22:22">
      <c r="V523376" s="42"/>
    </row>
    <row r="523571" spans="22:22">
      <c r="V523571" s="42"/>
    </row>
    <row r="523766" spans="22:22">
      <c r="V523766" s="42"/>
    </row>
    <row r="523961" spans="22:22">
      <c r="V523961" s="42"/>
    </row>
    <row r="524156" spans="22:22">
      <c r="V524156" s="42"/>
    </row>
    <row r="524351" spans="22:22">
      <c r="V524351" s="42"/>
    </row>
    <row r="524546" spans="22:22">
      <c r="V524546" s="42"/>
    </row>
    <row r="524741" spans="22:22">
      <c r="V524741" s="42"/>
    </row>
    <row r="524936" spans="22:22">
      <c r="V524936" s="42"/>
    </row>
    <row r="525131" spans="22:22">
      <c r="V525131" s="42"/>
    </row>
    <row r="525326" spans="22:22">
      <c r="V525326" s="42"/>
    </row>
    <row r="525521" spans="22:22">
      <c r="V525521" s="42"/>
    </row>
    <row r="525716" spans="22:22">
      <c r="V525716" s="42"/>
    </row>
    <row r="525911" spans="22:22">
      <c r="V525911" s="42"/>
    </row>
    <row r="526106" spans="22:22">
      <c r="V526106" s="42"/>
    </row>
    <row r="526301" spans="22:22">
      <c r="V526301" s="42"/>
    </row>
    <row r="526496" spans="22:22">
      <c r="V526496" s="42"/>
    </row>
    <row r="526691" spans="22:22">
      <c r="V526691" s="42"/>
    </row>
    <row r="526886" spans="22:22">
      <c r="V526886" s="42"/>
    </row>
    <row r="527081" spans="22:22">
      <c r="V527081" s="42"/>
    </row>
    <row r="527276" spans="22:22">
      <c r="V527276" s="42"/>
    </row>
    <row r="527471" spans="22:22">
      <c r="V527471" s="42"/>
    </row>
    <row r="527666" spans="22:22">
      <c r="V527666" s="42"/>
    </row>
    <row r="527861" spans="22:22">
      <c r="V527861" s="42"/>
    </row>
    <row r="528056" spans="22:22">
      <c r="V528056" s="42"/>
    </row>
    <row r="528251" spans="22:22">
      <c r="V528251" s="42"/>
    </row>
    <row r="528446" spans="22:22">
      <c r="V528446" s="42"/>
    </row>
    <row r="528641" spans="22:22">
      <c r="V528641" s="42"/>
    </row>
    <row r="528836" spans="22:22">
      <c r="V528836" s="42"/>
    </row>
    <row r="529031" spans="22:22">
      <c r="V529031" s="42"/>
    </row>
    <row r="529226" spans="22:22">
      <c r="V529226" s="42"/>
    </row>
    <row r="529421" spans="22:22">
      <c r="V529421" s="42"/>
    </row>
    <row r="529616" spans="22:22">
      <c r="V529616" s="42"/>
    </row>
    <row r="529811" spans="22:22">
      <c r="V529811" s="42"/>
    </row>
    <row r="530006" spans="22:22">
      <c r="V530006" s="42"/>
    </row>
    <row r="530201" spans="22:22">
      <c r="V530201" s="42"/>
    </row>
    <row r="530396" spans="22:22">
      <c r="V530396" s="42"/>
    </row>
    <row r="530591" spans="22:22">
      <c r="V530591" s="42"/>
    </row>
    <row r="530786" spans="22:22">
      <c r="V530786" s="42"/>
    </row>
    <row r="530981" spans="22:22">
      <c r="V530981" s="42"/>
    </row>
    <row r="531176" spans="22:22">
      <c r="V531176" s="42"/>
    </row>
    <row r="531371" spans="22:22">
      <c r="V531371" s="42"/>
    </row>
    <row r="531566" spans="22:22">
      <c r="V531566" s="42"/>
    </row>
    <row r="531761" spans="22:22">
      <c r="V531761" s="42"/>
    </row>
    <row r="531956" spans="22:22">
      <c r="V531956" s="42"/>
    </row>
    <row r="532151" spans="22:22">
      <c r="V532151" s="42"/>
    </row>
    <row r="532346" spans="22:22">
      <c r="V532346" s="42"/>
    </row>
    <row r="532541" spans="22:22">
      <c r="V532541" s="42"/>
    </row>
    <row r="532736" spans="22:22">
      <c r="V532736" s="42"/>
    </row>
    <row r="532931" spans="22:22">
      <c r="V532931" s="42"/>
    </row>
    <row r="533126" spans="22:22">
      <c r="V533126" s="42"/>
    </row>
    <row r="533321" spans="22:22">
      <c r="V533321" s="42"/>
    </row>
    <row r="533516" spans="22:22">
      <c r="V533516" s="42"/>
    </row>
    <row r="533711" spans="22:22">
      <c r="V533711" s="42"/>
    </row>
    <row r="533906" spans="22:22">
      <c r="V533906" s="42"/>
    </row>
    <row r="534101" spans="22:22">
      <c r="V534101" s="42"/>
    </row>
    <row r="534296" spans="22:22">
      <c r="V534296" s="42"/>
    </row>
    <row r="534491" spans="22:22">
      <c r="V534491" s="42"/>
    </row>
    <row r="534686" spans="22:22">
      <c r="V534686" s="42"/>
    </row>
    <row r="534881" spans="22:22">
      <c r="V534881" s="42"/>
    </row>
    <row r="535076" spans="22:22">
      <c r="V535076" s="42"/>
    </row>
    <row r="535271" spans="22:22">
      <c r="V535271" s="42"/>
    </row>
    <row r="535466" spans="22:22">
      <c r="V535466" s="42"/>
    </row>
    <row r="535661" spans="22:22">
      <c r="V535661" s="42"/>
    </row>
    <row r="535856" spans="22:22">
      <c r="V535856" s="42"/>
    </row>
    <row r="536051" spans="22:22">
      <c r="V536051" s="42"/>
    </row>
    <row r="536246" spans="22:22">
      <c r="V536246" s="42"/>
    </row>
    <row r="536441" spans="22:22">
      <c r="V536441" s="42"/>
    </row>
    <row r="536636" spans="22:22">
      <c r="V536636" s="42"/>
    </row>
    <row r="536831" spans="22:22">
      <c r="V536831" s="42"/>
    </row>
    <row r="537026" spans="22:22">
      <c r="V537026" s="42"/>
    </row>
    <row r="537221" spans="22:22">
      <c r="V537221" s="42"/>
    </row>
    <row r="537416" spans="22:22">
      <c r="V537416" s="42"/>
    </row>
    <row r="537611" spans="22:22">
      <c r="V537611" s="42"/>
    </row>
    <row r="537806" spans="22:22">
      <c r="V537806" s="42"/>
    </row>
    <row r="538001" spans="22:22">
      <c r="V538001" s="42"/>
    </row>
    <row r="538196" spans="22:22">
      <c r="V538196" s="42"/>
    </row>
    <row r="538391" spans="22:22">
      <c r="V538391" s="42"/>
    </row>
    <row r="538586" spans="22:22">
      <c r="V538586" s="42"/>
    </row>
    <row r="538781" spans="22:22">
      <c r="V538781" s="42"/>
    </row>
    <row r="538976" spans="22:22">
      <c r="V538976" s="42"/>
    </row>
    <row r="539171" spans="22:22">
      <c r="V539171" s="42"/>
    </row>
    <row r="539366" spans="22:22">
      <c r="V539366" s="42"/>
    </row>
    <row r="539561" spans="22:22">
      <c r="V539561" s="42"/>
    </row>
    <row r="539756" spans="22:22">
      <c r="V539756" s="42"/>
    </row>
    <row r="539951" spans="22:22">
      <c r="V539951" s="42"/>
    </row>
    <row r="540146" spans="22:22">
      <c r="V540146" s="42"/>
    </row>
    <row r="540341" spans="22:22">
      <c r="V540341" s="42"/>
    </row>
    <row r="540536" spans="22:22">
      <c r="V540536" s="42"/>
    </row>
    <row r="540731" spans="22:22">
      <c r="V540731" s="42"/>
    </row>
    <row r="540926" spans="22:22">
      <c r="V540926" s="42"/>
    </row>
    <row r="541121" spans="22:22">
      <c r="V541121" s="42"/>
    </row>
    <row r="541316" spans="22:22">
      <c r="V541316" s="42"/>
    </row>
    <row r="541511" spans="22:22">
      <c r="V541511" s="42"/>
    </row>
    <row r="541706" spans="22:22">
      <c r="V541706" s="42"/>
    </row>
    <row r="541901" spans="22:22">
      <c r="V541901" s="42"/>
    </row>
    <row r="542096" spans="22:22">
      <c r="V542096" s="42"/>
    </row>
    <row r="542291" spans="22:22">
      <c r="V542291" s="42"/>
    </row>
    <row r="542486" spans="22:22">
      <c r="V542486" s="42"/>
    </row>
    <row r="542681" spans="22:22">
      <c r="V542681" s="42"/>
    </row>
    <row r="542876" spans="22:22">
      <c r="V542876" s="42"/>
    </row>
    <row r="543071" spans="22:22">
      <c r="V543071" s="42"/>
    </row>
    <row r="543266" spans="22:22">
      <c r="V543266" s="42"/>
    </row>
    <row r="543461" spans="22:22">
      <c r="V543461" s="42"/>
    </row>
    <row r="543656" spans="22:22">
      <c r="V543656" s="42"/>
    </row>
    <row r="543851" spans="22:22">
      <c r="V543851" s="42"/>
    </row>
    <row r="544046" spans="22:22">
      <c r="V544046" s="42"/>
    </row>
    <row r="544241" spans="22:22">
      <c r="V544241" s="42"/>
    </row>
    <row r="544436" spans="22:22">
      <c r="V544436" s="42"/>
    </row>
    <row r="544631" spans="22:22">
      <c r="V544631" s="42"/>
    </row>
    <row r="544826" spans="22:22">
      <c r="V544826" s="42"/>
    </row>
    <row r="545021" spans="22:22">
      <c r="V545021" s="42"/>
    </row>
    <row r="545216" spans="22:22">
      <c r="V545216" s="42"/>
    </row>
    <row r="545411" spans="22:22">
      <c r="V545411" s="42"/>
    </row>
    <row r="545606" spans="22:22">
      <c r="V545606" s="42"/>
    </row>
    <row r="545801" spans="22:22">
      <c r="V545801" s="42"/>
    </row>
    <row r="545996" spans="22:22">
      <c r="V545996" s="42"/>
    </row>
    <row r="546191" spans="22:22">
      <c r="V546191" s="42"/>
    </row>
    <row r="546386" spans="22:22">
      <c r="V546386" s="42"/>
    </row>
    <row r="546581" spans="22:22">
      <c r="V546581" s="42"/>
    </row>
    <row r="546776" spans="22:22">
      <c r="V546776" s="42"/>
    </row>
    <row r="546971" spans="22:22">
      <c r="V546971" s="42"/>
    </row>
    <row r="547166" spans="22:22">
      <c r="V547166" s="42"/>
    </row>
    <row r="547361" spans="22:22">
      <c r="V547361" s="42"/>
    </row>
    <row r="547556" spans="22:22">
      <c r="V547556" s="42"/>
    </row>
    <row r="547751" spans="22:22">
      <c r="V547751" s="42"/>
    </row>
    <row r="547946" spans="22:22">
      <c r="V547946" s="42"/>
    </row>
    <row r="548141" spans="22:22">
      <c r="V548141" s="42"/>
    </row>
    <row r="548336" spans="22:22">
      <c r="V548336" s="42"/>
    </row>
    <row r="548531" spans="22:22">
      <c r="V548531" s="42"/>
    </row>
    <row r="548726" spans="22:22">
      <c r="V548726" s="42"/>
    </row>
    <row r="548921" spans="22:22">
      <c r="V548921" s="42"/>
    </row>
    <row r="549116" spans="22:22">
      <c r="V549116" s="42"/>
    </row>
    <row r="549311" spans="22:22">
      <c r="V549311" s="42"/>
    </row>
    <row r="549506" spans="22:22">
      <c r="V549506" s="42"/>
    </row>
    <row r="549701" spans="22:22">
      <c r="V549701" s="42"/>
    </row>
    <row r="549896" spans="22:22">
      <c r="V549896" s="42"/>
    </row>
    <row r="550091" spans="22:22">
      <c r="V550091" s="42"/>
    </row>
    <row r="550286" spans="22:22">
      <c r="V550286" s="42"/>
    </row>
    <row r="550481" spans="22:22">
      <c r="V550481" s="42"/>
    </row>
    <row r="550676" spans="22:22">
      <c r="V550676" s="42"/>
    </row>
    <row r="550871" spans="22:22">
      <c r="V550871" s="42"/>
    </row>
    <row r="551066" spans="22:22">
      <c r="V551066" s="42"/>
    </row>
    <row r="551261" spans="22:22">
      <c r="V551261" s="42"/>
    </row>
    <row r="551456" spans="22:22">
      <c r="V551456" s="42"/>
    </row>
    <row r="551651" spans="22:22">
      <c r="V551651" s="42"/>
    </row>
    <row r="551846" spans="22:22">
      <c r="V551846" s="42"/>
    </row>
    <row r="552041" spans="22:22">
      <c r="V552041" s="42"/>
    </row>
    <row r="552236" spans="22:22">
      <c r="V552236" s="42"/>
    </row>
    <row r="552431" spans="22:22">
      <c r="V552431" s="42"/>
    </row>
    <row r="552626" spans="22:22">
      <c r="V552626" s="42"/>
    </row>
    <row r="552821" spans="22:22">
      <c r="V552821" s="42"/>
    </row>
    <row r="553016" spans="22:22">
      <c r="V553016" s="42"/>
    </row>
    <row r="553211" spans="22:22">
      <c r="V553211" s="42"/>
    </row>
    <row r="553406" spans="22:22">
      <c r="V553406" s="42"/>
    </row>
    <row r="553601" spans="22:22">
      <c r="V553601" s="42"/>
    </row>
    <row r="553796" spans="22:22">
      <c r="V553796" s="42"/>
    </row>
    <row r="553991" spans="22:22">
      <c r="V553991" s="42"/>
    </row>
    <row r="554186" spans="22:22">
      <c r="V554186" s="42"/>
    </row>
    <row r="554381" spans="22:22">
      <c r="V554381" s="42"/>
    </row>
    <row r="554576" spans="22:22">
      <c r="V554576" s="42"/>
    </row>
    <row r="554771" spans="22:22">
      <c r="V554771" s="42"/>
    </row>
    <row r="554966" spans="22:22">
      <c r="V554966" s="42"/>
    </row>
    <row r="555161" spans="22:22">
      <c r="V555161" s="42"/>
    </row>
    <row r="555356" spans="22:22">
      <c r="V555356" s="42"/>
    </row>
    <row r="555551" spans="22:22">
      <c r="V555551" s="42"/>
    </row>
    <row r="555746" spans="22:22">
      <c r="V555746" s="42"/>
    </row>
    <row r="555941" spans="22:22">
      <c r="V555941" s="42"/>
    </row>
    <row r="556136" spans="22:22">
      <c r="V556136" s="42"/>
    </row>
    <row r="556331" spans="22:22">
      <c r="V556331" s="42"/>
    </row>
    <row r="556526" spans="22:22">
      <c r="V556526" s="42"/>
    </row>
    <row r="556721" spans="22:22">
      <c r="V556721" s="42"/>
    </row>
    <row r="556916" spans="22:22">
      <c r="V556916" s="42"/>
    </row>
    <row r="557111" spans="22:22">
      <c r="V557111" s="42"/>
    </row>
    <row r="557306" spans="22:22">
      <c r="V557306" s="42"/>
    </row>
    <row r="557501" spans="22:22">
      <c r="V557501" s="42"/>
    </row>
    <row r="557696" spans="22:22">
      <c r="V557696" s="42"/>
    </row>
    <row r="557891" spans="22:22">
      <c r="V557891" s="42"/>
    </row>
    <row r="558086" spans="22:22">
      <c r="V558086" s="42"/>
    </row>
    <row r="558281" spans="22:22">
      <c r="V558281" s="42"/>
    </row>
    <row r="558476" spans="22:22">
      <c r="V558476" s="42"/>
    </row>
    <row r="558671" spans="22:22">
      <c r="V558671" s="42"/>
    </row>
    <row r="558866" spans="22:22">
      <c r="V558866" s="42"/>
    </row>
    <row r="559061" spans="22:22">
      <c r="V559061" s="42"/>
    </row>
    <row r="559256" spans="22:22">
      <c r="V559256" s="42"/>
    </row>
    <row r="559451" spans="22:22">
      <c r="V559451" s="42"/>
    </row>
    <row r="559646" spans="22:22">
      <c r="V559646" s="42"/>
    </row>
    <row r="559841" spans="22:22">
      <c r="V559841" s="42"/>
    </row>
    <row r="560036" spans="22:22">
      <c r="V560036" s="42"/>
    </row>
    <row r="560231" spans="22:22">
      <c r="V560231" s="42"/>
    </row>
    <row r="560426" spans="22:22">
      <c r="V560426" s="42"/>
    </row>
    <row r="560621" spans="22:22">
      <c r="V560621" s="42"/>
    </row>
    <row r="560816" spans="22:22">
      <c r="V560816" s="42"/>
    </row>
    <row r="561011" spans="22:22">
      <c r="V561011" s="42"/>
    </row>
    <row r="561206" spans="22:22">
      <c r="V561206" s="42"/>
    </row>
    <row r="561401" spans="22:22">
      <c r="V561401" s="42"/>
    </row>
    <row r="561596" spans="22:22">
      <c r="V561596" s="42"/>
    </row>
    <row r="561791" spans="22:22">
      <c r="V561791" s="42"/>
    </row>
    <row r="561986" spans="22:22">
      <c r="V561986" s="42"/>
    </row>
    <row r="562181" spans="22:22">
      <c r="V562181" s="42"/>
    </row>
    <row r="562376" spans="22:22">
      <c r="V562376" s="42"/>
    </row>
    <row r="562571" spans="22:22">
      <c r="V562571" s="42"/>
    </row>
    <row r="562766" spans="22:22">
      <c r="V562766" s="42"/>
    </row>
    <row r="562961" spans="22:22">
      <c r="V562961" s="42"/>
    </row>
    <row r="563156" spans="22:22">
      <c r="V563156" s="42"/>
    </row>
    <row r="563351" spans="22:22">
      <c r="V563351" s="42"/>
    </row>
    <row r="563546" spans="22:22">
      <c r="V563546" s="42"/>
    </row>
    <row r="563741" spans="22:22">
      <c r="V563741" s="42"/>
    </row>
    <row r="563936" spans="22:22">
      <c r="V563936" s="42"/>
    </row>
    <row r="564131" spans="22:22">
      <c r="V564131" s="42"/>
    </row>
    <row r="564326" spans="22:22">
      <c r="V564326" s="42"/>
    </row>
    <row r="564521" spans="22:22">
      <c r="V564521" s="42"/>
    </row>
    <row r="564716" spans="22:22">
      <c r="V564716" s="42"/>
    </row>
    <row r="564911" spans="22:22">
      <c r="V564911" s="42"/>
    </row>
    <row r="565106" spans="22:22">
      <c r="V565106" s="42"/>
    </row>
    <row r="565301" spans="22:22">
      <c r="V565301" s="42"/>
    </row>
    <row r="565496" spans="22:22">
      <c r="V565496" s="42"/>
    </row>
    <row r="565691" spans="22:22">
      <c r="V565691" s="42"/>
    </row>
    <row r="565886" spans="22:22">
      <c r="V565886" s="42"/>
    </row>
    <row r="566081" spans="22:22">
      <c r="V566081" s="42"/>
    </row>
    <row r="566276" spans="22:22">
      <c r="V566276" s="42"/>
    </row>
    <row r="566471" spans="22:22">
      <c r="V566471" s="42"/>
    </row>
    <row r="566666" spans="22:22">
      <c r="V566666" s="42"/>
    </row>
    <row r="566861" spans="22:22">
      <c r="V566861" s="42"/>
    </row>
    <row r="567056" spans="22:22">
      <c r="V567056" s="42"/>
    </row>
    <row r="567251" spans="22:22">
      <c r="V567251" s="42"/>
    </row>
    <row r="567446" spans="22:22">
      <c r="V567446" s="42"/>
    </row>
    <row r="567641" spans="22:22">
      <c r="V567641" s="42"/>
    </row>
    <row r="567836" spans="22:22">
      <c r="V567836" s="42"/>
    </row>
    <row r="568031" spans="22:22">
      <c r="V568031" s="42"/>
    </row>
    <row r="568226" spans="22:22">
      <c r="V568226" s="42"/>
    </row>
    <row r="568421" spans="22:22">
      <c r="V568421" s="42"/>
    </row>
    <row r="568616" spans="22:22">
      <c r="V568616" s="42"/>
    </row>
    <row r="568811" spans="22:22">
      <c r="V568811" s="42"/>
    </row>
    <row r="569006" spans="22:22">
      <c r="V569006" s="42"/>
    </row>
    <row r="569201" spans="22:22">
      <c r="V569201" s="42"/>
    </row>
    <row r="569396" spans="22:22">
      <c r="V569396" s="42"/>
    </row>
    <row r="569591" spans="22:22">
      <c r="V569591" s="42"/>
    </row>
    <row r="569786" spans="22:22">
      <c r="V569786" s="42"/>
    </row>
    <row r="569981" spans="22:22">
      <c r="V569981" s="42"/>
    </row>
    <row r="570176" spans="22:22">
      <c r="V570176" s="42"/>
    </row>
    <row r="570371" spans="22:22">
      <c r="V570371" s="42"/>
    </row>
    <row r="570566" spans="22:22">
      <c r="V570566" s="42"/>
    </row>
    <row r="570761" spans="22:22">
      <c r="V570761" s="42"/>
    </row>
    <row r="570956" spans="22:22">
      <c r="V570956" s="42"/>
    </row>
    <row r="571151" spans="22:22">
      <c r="V571151" s="42"/>
    </row>
    <row r="571346" spans="22:22">
      <c r="V571346" s="42"/>
    </row>
    <row r="571541" spans="22:22">
      <c r="V571541" s="42"/>
    </row>
    <row r="571736" spans="22:22">
      <c r="V571736" s="42"/>
    </row>
    <row r="571931" spans="22:22">
      <c r="V571931" s="42"/>
    </row>
    <row r="572126" spans="22:22">
      <c r="V572126" s="42"/>
    </row>
    <row r="572321" spans="22:22">
      <c r="V572321" s="42"/>
    </row>
    <row r="572516" spans="22:22">
      <c r="V572516" s="42"/>
    </row>
    <row r="572711" spans="22:22">
      <c r="V572711" s="42"/>
    </row>
    <row r="572906" spans="22:22">
      <c r="V572906" s="42"/>
    </row>
    <row r="573101" spans="22:22">
      <c r="V573101" s="42"/>
    </row>
    <row r="573296" spans="22:22">
      <c r="V573296" s="42"/>
    </row>
    <row r="573491" spans="22:22">
      <c r="V573491" s="42"/>
    </row>
    <row r="573686" spans="22:22">
      <c r="V573686" s="42"/>
    </row>
    <row r="573881" spans="22:22">
      <c r="V573881" s="42"/>
    </row>
    <row r="574076" spans="22:22">
      <c r="V574076" s="42"/>
    </row>
    <row r="574271" spans="22:22">
      <c r="V574271" s="42"/>
    </row>
    <row r="574466" spans="22:22">
      <c r="V574466" s="42"/>
    </row>
    <row r="574661" spans="22:22">
      <c r="V574661" s="42"/>
    </row>
    <row r="574856" spans="22:22">
      <c r="V574856" s="42"/>
    </row>
    <row r="575051" spans="22:22">
      <c r="V575051" s="42"/>
    </row>
    <row r="575246" spans="22:22">
      <c r="V575246" s="42"/>
    </row>
    <row r="575441" spans="22:22">
      <c r="V575441" s="42"/>
    </row>
    <row r="575636" spans="22:22">
      <c r="V575636" s="42"/>
    </row>
    <row r="575831" spans="22:22">
      <c r="V575831" s="42"/>
    </row>
    <row r="576026" spans="22:22">
      <c r="V576026" s="42"/>
    </row>
    <row r="576221" spans="22:22">
      <c r="V576221" s="42"/>
    </row>
    <row r="576416" spans="22:22">
      <c r="V576416" s="42"/>
    </row>
    <row r="576611" spans="22:22">
      <c r="V576611" s="42"/>
    </row>
    <row r="576806" spans="22:22">
      <c r="V576806" s="42"/>
    </row>
    <row r="577001" spans="22:22">
      <c r="V577001" s="42"/>
    </row>
    <row r="577196" spans="22:22">
      <c r="V577196" s="42"/>
    </row>
    <row r="577391" spans="22:22">
      <c r="V577391" s="42"/>
    </row>
    <row r="577586" spans="22:22">
      <c r="V577586" s="42"/>
    </row>
    <row r="577781" spans="22:22">
      <c r="V577781" s="42"/>
    </row>
    <row r="577976" spans="22:22">
      <c r="V577976" s="42"/>
    </row>
    <row r="578171" spans="22:22">
      <c r="V578171" s="42"/>
    </row>
    <row r="578366" spans="22:22">
      <c r="V578366" s="42"/>
    </row>
    <row r="578561" spans="22:22">
      <c r="V578561" s="42"/>
    </row>
    <row r="578756" spans="22:22">
      <c r="V578756" s="42"/>
    </row>
    <row r="578951" spans="22:22">
      <c r="V578951" s="42"/>
    </row>
    <row r="579146" spans="22:22">
      <c r="V579146" s="42"/>
    </row>
    <row r="579341" spans="22:22">
      <c r="V579341" s="42"/>
    </row>
    <row r="579536" spans="22:22">
      <c r="V579536" s="42"/>
    </row>
    <row r="579731" spans="22:22">
      <c r="V579731" s="42"/>
    </row>
    <row r="579926" spans="22:22">
      <c r="V579926" s="42"/>
    </row>
    <row r="580121" spans="22:22">
      <c r="V580121" s="42"/>
    </row>
    <row r="580316" spans="22:22">
      <c r="V580316" s="42"/>
    </row>
    <row r="580511" spans="22:22">
      <c r="V580511" s="42"/>
    </row>
    <row r="580706" spans="22:22">
      <c r="V580706" s="42"/>
    </row>
    <row r="580901" spans="22:22">
      <c r="V580901" s="42"/>
    </row>
    <row r="581096" spans="22:22">
      <c r="V581096" s="42"/>
    </row>
    <row r="581291" spans="22:22">
      <c r="V581291" s="42"/>
    </row>
    <row r="581486" spans="22:22">
      <c r="V581486" s="42"/>
    </row>
    <row r="581681" spans="22:22">
      <c r="V581681" s="42"/>
    </row>
    <row r="581876" spans="22:22">
      <c r="V581876" s="42"/>
    </row>
    <row r="582071" spans="22:22">
      <c r="V582071" s="42"/>
    </row>
    <row r="582266" spans="22:22">
      <c r="V582266" s="42"/>
    </row>
    <row r="582461" spans="22:22">
      <c r="V582461" s="42"/>
    </row>
    <row r="582656" spans="22:22">
      <c r="V582656" s="42"/>
    </row>
    <row r="582851" spans="22:22">
      <c r="V582851" s="42"/>
    </row>
    <row r="583046" spans="22:22">
      <c r="V583046" s="42"/>
    </row>
    <row r="583241" spans="22:22">
      <c r="V583241" s="42"/>
    </row>
    <row r="583436" spans="22:22">
      <c r="V583436" s="42"/>
    </row>
    <row r="583631" spans="22:22">
      <c r="V583631" s="42"/>
    </row>
    <row r="583826" spans="22:22">
      <c r="V583826" s="42"/>
    </row>
    <row r="584021" spans="22:22">
      <c r="V584021" s="42"/>
    </row>
    <row r="584216" spans="22:22">
      <c r="V584216" s="42"/>
    </row>
    <row r="584411" spans="22:22">
      <c r="V584411" s="42"/>
    </row>
    <row r="584606" spans="22:22">
      <c r="V584606" s="42"/>
    </row>
    <row r="584801" spans="22:22">
      <c r="V584801" s="42"/>
    </row>
    <row r="584996" spans="22:22">
      <c r="V584996" s="42"/>
    </row>
    <row r="585191" spans="22:22">
      <c r="V585191" s="42"/>
    </row>
    <row r="585386" spans="22:22">
      <c r="V585386" s="42"/>
    </row>
    <row r="585581" spans="22:22">
      <c r="V585581" s="42"/>
    </row>
    <row r="585776" spans="22:22">
      <c r="V585776" s="42"/>
    </row>
    <row r="585971" spans="22:22">
      <c r="V585971" s="42"/>
    </row>
    <row r="586166" spans="22:22">
      <c r="V586166" s="42"/>
    </row>
    <row r="586361" spans="22:22">
      <c r="V586361" s="42"/>
    </row>
    <row r="586556" spans="22:22">
      <c r="V586556" s="42"/>
    </row>
    <row r="586751" spans="22:22">
      <c r="V586751" s="42"/>
    </row>
    <row r="586946" spans="22:22">
      <c r="V586946" s="42"/>
    </row>
    <row r="587141" spans="22:22">
      <c r="V587141" s="42"/>
    </row>
    <row r="587336" spans="22:22">
      <c r="V587336" s="42"/>
    </row>
    <row r="587531" spans="22:22">
      <c r="V587531" s="42"/>
    </row>
    <row r="587726" spans="22:22">
      <c r="V587726" s="42"/>
    </row>
    <row r="587921" spans="22:22">
      <c r="V587921" s="42"/>
    </row>
    <row r="588116" spans="22:22">
      <c r="V588116" s="42"/>
    </row>
    <row r="588311" spans="22:22">
      <c r="V588311" s="42"/>
    </row>
    <row r="588506" spans="22:22">
      <c r="V588506" s="42"/>
    </row>
    <row r="588701" spans="22:22">
      <c r="V588701" s="42"/>
    </row>
    <row r="588896" spans="22:22">
      <c r="V588896" s="42"/>
    </row>
    <row r="589091" spans="22:22">
      <c r="V589091" s="42"/>
    </row>
    <row r="589286" spans="22:22">
      <c r="V589286" s="42"/>
    </row>
    <row r="589481" spans="22:22">
      <c r="V589481" s="42"/>
    </row>
    <row r="589676" spans="22:22">
      <c r="V589676" s="42"/>
    </row>
    <row r="589871" spans="22:22">
      <c r="V589871" s="42"/>
    </row>
    <row r="590066" spans="22:22">
      <c r="V590066" s="42"/>
    </row>
    <row r="590261" spans="22:22">
      <c r="V590261" s="42"/>
    </row>
    <row r="590456" spans="22:22">
      <c r="V590456" s="42"/>
    </row>
    <row r="590651" spans="22:22">
      <c r="V590651" s="42"/>
    </row>
    <row r="590846" spans="22:22">
      <c r="V590846" s="42"/>
    </row>
    <row r="591041" spans="22:22">
      <c r="V591041" s="42"/>
    </row>
    <row r="591236" spans="22:22">
      <c r="V591236" s="42"/>
    </row>
    <row r="591431" spans="22:22">
      <c r="V591431" s="42"/>
    </row>
    <row r="591626" spans="22:22">
      <c r="V591626" s="42"/>
    </row>
    <row r="591821" spans="22:22">
      <c r="V591821" s="42"/>
    </row>
    <row r="592016" spans="22:22">
      <c r="V592016" s="42"/>
    </row>
    <row r="592211" spans="22:22">
      <c r="V592211" s="42"/>
    </row>
    <row r="592406" spans="22:22">
      <c r="V592406" s="42"/>
    </row>
    <row r="592601" spans="22:22">
      <c r="V592601" s="42"/>
    </row>
    <row r="592796" spans="22:22">
      <c r="V592796" s="42"/>
    </row>
    <row r="592991" spans="22:22">
      <c r="V592991" s="42"/>
    </row>
    <row r="593186" spans="22:22">
      <c r="V593186" s="42"/>
    </row>
    <row r="593381" spans="22:22">
      <c r="V593381" s="42"/>
    </row>
    <row r="593576" spans="22:22">
      <c r="V593576" s="42"/>
    </row>
    <row r="593771" spans="22:22">
      <c r="V593771" s="42"/>
    </row>
    <row r="593966" spans="22:22">
      <c r="V593966" s="42"/>
    </row>
    <row r="594161" spans="22:22">
      <c r="V594161" s="42"/>
    </row>
    <row r="594356" spans="22:22">
      <c r="V594356" s="42"/>
    </row>
    <row r="594551" spans="22:22">
      <c r="V594551" s="42"/>
    </row>
    <row r="594746" spans="22:22">
      <c r="V594746" s="42"/>
    </row>
    <row r="594941" spans="22:22">
      <c r="V594941" s="42"/>
    </row>
    <row r="595136" spans="22:22">
      <c r="V595136" s="42"/>
    </row>
    <row r="595331" spans="22:22">
      <c r="V595331" s="42"/>
    </row>
    <row r="595526" spans="22:22">
      <c r="V595526" s="42"/>
    </row>
    <row r="595721" spans="22:22">
      <c r="V595721" s="42"/>
    </row>
    <row r="595916" spans="22:22">
      <c r="V595916" s="42"/>
    </row>
    <row r="596111" spans="22:22">
      <c r="V596111" s="42"/>
    </row>
    <row r="596306" spans="22:22">
      <c r="V596306" s="42"/>
    </row>
    <row r="596501" spans="22:22">
      <c r="V596501" s="42"/>
    </row>
    <row r="596696" spans="22:22">
      <c r="V596696" s="42"/>
    </row>
    <row r="596891" spans="22:22">
      <c r="V596891" s="42"/>
    </row>
    <row r="597086" spans="22:22">
      <c r="V597086" s="42"/>
    </row>
    <row r="597281" spans="22:22">
      <c r="V597281" s="42"/>
    </row>
    <row r="597476" spans="22:22">
      <c r="V597476" s="42"/>
    </row>
    <row r="597671" spans="22:22">
      <c r="V597671" s="42"/>
    </row>
    <row r="597866" spans="22:22">
      <c r="V597866" s="42"/>
    </row>
    <row r="598061" spans="22:22">
      <c r="V598061" s="42"/>
    </row>
    <row r="598256" spans="22:22">
      <c r="V598256" s="42"/>
    </row>
    <row r="598451" spans="22:22">
      <c r="V598451" s="42"/>
    </row>
    <row r="598646" spans="22:22">
      <c r="V598646" s="42"/>
    </row>
    <row r="598841" spans="22:22">
      <c r="V598841" s="42"/>
    </row>
    <row r="599036" spans="22:22">
      <c r="V599036" s="42"/>
    </row>
    <row r="599231" spans="22:22">
      <c r="V599231" s="42"/>
    </row>
    <row r="599426" spans="22:22">
      <c r="V599426" s="42"/>
    </row>
    <row r="599621" spans="22:22">
      <c r="V599621" s="42"/>
    </row>
    <row r="599816" spans="22:22">
      <c r="V599816" s="42"/>
    </row>
    <row r="600011" spans="22:22">
      <c r="V600011" s="42"/>
    </row>
    <row r="600206" spans="22:22">
      <c r="V600206" s="42"/>
    </row>
    <row r="600401" spans="22:22">
      <c r="V600401" s="42"/>
    </row>
    <row r="600596" spans="22:22">
      <c r="V600596" s="42"/>
    </row>
    <row r="600791" spans="22:22">
      <c r="V600791" s="42"/>
    </row>
    <row r="600986" spans="22:22">
      <c r="V600986" s="42"/>
    </row>
    <row r="601181" spans="22:22">
      <c r="V601181" s="42"/>
    </row>
    <row r="601376" spans="22:22">
      <c r="V601376" s="42"/>
    </row>
    <row r="601571" spans="22:22">
      <c r="V601571" s="42"/>
    </row>
    <row r="601766" spans="22:22">
      <c r="V601766" s="42"/>
    </row>
    <row r="601961" spans="22:22">
      <c r="V601961" s="42"/>
    </row>
    <row r="602156" spans="22:22">
      <c r="V602156" s="42"/>
    </row>
    <row r="602351" spans="22:22">
      <c r="V602351" s="42"/>
    </row>
    <row r="602546" spans="22:22">
      <c r="V602546" s="42"/>
    </row>
    <row r="602741" spans="22:22">
      <c r="V602741" s="42"/>
    </row>
    <row r="602936" spans="22:22">
      <c r="V602936" s="42"/>
    </row>
    <row r="603131" spans="22:22">
      <c r="V603131" s="42"/>
    </row>
    <row r="603326" spans="22:22">
      <c r="V603326" s="42"/>
    </row>
    <row r="603521" spans="22:22">
      <c r="V603521" s="42"/>
    </row>
    <row r="603716" spans="22:22">
      <c r="V603716" s="42"/>
    </row>
    <row r="603911" spans="22:22">
      <c r="V603911" s="42"/>
    </row>
    <row r="604106" spans="22:22">
      <c r="V604106" s="42"/>
    </row>
    <row r="604301" spans="22:22">
      <c r="V604301" s="42"/>
    </row>
    <row r="604496" spans="22:22">
      <c r="V604496" s="42"/>
    </row>
    <row r="604691" spans="22:22">
      <c r="V604691" s="42"/>
    </row>
    <row r="604886" spans="22:22">
      <c r="V604886" s="42"/>
    </row>
    <row r="605081" spans="22:22">
      <c r="V605081" s="42"/>
    </row>
    <row r="605276" spans="22:22">
      <c r="V605276" s="42"/>
    </row>
    <row r="605471" spans="22:22">
      <c r="V605471" s="42"/>
    </row>
    <row r="605666" spans="22:22">
      <c r="V605666" s="42"/>
    </row>
    <row r="605861" spans="22:22">
      <c r="V605861" s="42"/>
    </row>
    <row r="606056" spans="22:22">
      <c r="V606056" s="42"/>
    </row>
    <row r="606251" spans="22:22">
      <c r="V606251" s="42"/>
    </row>
    <row r="606446" spans="22:22">
      <c r="V606446" s="42"/>
    </row>
    <row r="606641" spans="22:22">
      <c r="V606641" s="42"/>
    </row>
    <row r="606836" spans="22:22">
      <c r="V606836" s="42"/>
    </row>
    <row r="607031" spans="22:22">
      <c r="V607031" s="42"/>
    </row>
    <row r="607226" spans="22:22">
      <c r="V607226" s="42"/>
    </row>
    <row r="607421" spans="22:22">
      <c r="V607421" s="42"/>
    </row>
    <row r="607616" spans="22:22">
      <c r="V607616" s="42"/>
    </row>
    <row r="607811" spans="22:22">
      <c r="V607811" s="42"/>
    </row>
    <row r="608006" spans="22:22">
      <c r="V608006" s="42"/>
    </row>
    <row r="608201" spans="22:22">
      <c r="V608201" s="42"/>
    </row>
    <row r="608396" spans="22:22">
      <c r="V608396" s="42"/>
    </row>
    <row r="608591" spans="22:22">
      <c r="V608591" s="42"/>
    </row>
    <row r="608786" spans="22:22">
      <c r="V608786" s="42"/>
    </row>
    <row r="608981" spans="22:22">
      <c r="V608981" s="42"/>
    </row>
    <row r="609176" spans="22:22">
      <c r="V609176" s="42"/>
    </row>
    <row r="609371" spans="22:22">
      <c r="V609371" s="42"/>
    </row>
    <row r="609566" spans="22:22">
      <c r="V609566" s="42"/>
    </row>
    <row r="609761" spans="22:22">
      <c r="V609761" s="42"/>
    </row>
    <row r="609956" spans="22:22">
      <c r="V609956" s="42"/>
    </row>
    <row r="610151" spans="22:22">
      <c r="V610151" s="42"/>
    </row>
    <row r="610346" spans="22:22">
      <c r="V610346" s="42"/>
    </row>
    <row r="610541" spans="22:22">
      <c r="V610541" s="42"/>
    </row>
    <row r="610736" spans="22:22">
      <c r="V610736" s="42"/>
    </row>
    <row r="610931" spans="22:22">
      <c r="V610931" s="42"/>
    </row>
    <row r="611126" spans="22:22">
      <c r="V611126" s="42"/>
    </row>
    <row r="611321" spans="22:22">
      <c r="V611321" s="42"/>
    </row>
    <row r="611516" spans="22:22">
      <c r="V611516" s="42"/>
    </row>
    <row r="611711" spans="22:22">
      <c r="V611711" s="42"/>
    </row>
    <row r="611906" spans="22:22">
      <c r="V611906" s="42"/>
    </row>
    <row r="612101" spans="22:22">
      <c r="V612101" s="42"/>
    </row>
    <row r="612296" spans="22:22">
      <c r="V612296" s="42"/>
    </row>
    <row r="612491" spans="22:22">
      <c r="V612491" s="42"/>
    </row>
    <row r="612686" spans="22:22">
      <c r="V612686" s="42"/>
    </row>
    <row r="612881" spans="22:22">
      <c r="V612881" s="42"/>
    </row>
    <row r="613076" spans="22:22">
      <c r="V613076" s="42"/>
    </row>
    <row r="613271" spans="22:22">
      <c r="V613271" s="42"/>
    </row>
    <row r="613466" spans="22:22">
      <c r="V613466" s="42"/>
    </row>
    <row r="613661" spans="22:22">
      <c r="V613661" s="42"/>
    </row>
    <row r="613856" spans="22:22">
      <c r="V613856" s="42"/>
    </row>
    <row r="614051" spans="22:22">
      <c r="V614051" s="42"/>
    </row>
    <row r="614246" spans="22:22">
      <c r="V614246" s="42"/>
    </row>
    <row r="614441" spans="22:22">
      <c r="V614441" s="42"/>
    </row>
    <row r="614636" spans="22:22">
      <c r="V614636" s="42"/>
    </row>
    <row r="614831" spans="22:22">
      <c r="V614831" s="42"/>
    </row>
    <row r="615026" spans="22:22">
      <c r="V615026" s="42"/>
    </row>
    <row r="615221" spans="22:22">
      <c r="V615221" s="42"/>
    </row>
    <row r="615416" spans="22:22">
      <c r="V615416" s="42"/>
    </row>
    <row r="615611" spans="22:22">
      <c r="V615611" s="42"/>
    </row>
    <row r="615806" spans="22:22">
      <c r="V615806" s="42"/>
    </row>
    <row r="616001" spans="22:22">
      <c r="V616001" s="42"/>
    </row>
    <row r="616196" spans="22:22">
      <c r="V616196" s="42"/>
    </row>
    <row r="616391" spans="22:22">
      <c r="V616391" s="42"/>
    </row>
    <row r="616586" spans="22:22">
      <c r="V616586" s="42"/>
    </row>
    <row r="616781" spans="22:22">
      <c r="V616781" s="42"/>
    </row>
    <row r="616976" spans="22:22">
      <c r="V616976" s="42"/>
    </row>
    <row r="617171" spans="22:22">
      <c r="V617171" s="42"/>
    </row>
    <row r="617366" spans="22:22">
      <c r="V617366" s="42"/>
    </row>
    <row r="617561" spans="22:22">
      <c r="V617561" s="42"/>
    </row>
    <row r="617756" spans="22:22">
      <c r="V617756" s="42"/>
    </row>
    <row r="617951" spans="22:22">
      <c r="V617951" s="42"/>
    </row>
    <row r="618146" spans="22:22">
      <c r="V618146" s="42"/>
    </row>
    <row r="618341" spans="22:22">
      <c r="V618341" s="42"/>
    </row>
    <row r="618536" spans="22:22">
      <c r="V618536" s="42"/>
    </row>
    <row r="618731" spans="22:22">
      <c r="V618731" s="42"/>
    </row>
    <row r="618926" spans="22:22">
      <c r="V618926" s="42"/>
    </row>
    <row r="619121" spans="22:22">
      <c r="V619121" s="42"/>
    </row>
    <row r="619316" spans="22:22">
      <c r="V619316" s="42"/>
    </row>
    <row r="619511" spans="22:22">
      <c r="V619511" s="42"/>
    </row>
    <row r="619706" spans="22:22">
      <c r="V619706" s="42"/>
    </row>
    <row r="619901" spans="22:22">
      <c r="V619901" s="42"/>
    </row>
    <row r="620096" spans="22:22">
      <c r="V620096" s="42"/>
    </row>
    <row r="620291" spans="22:22">
      <c r="V620291" s="42"/>
    </row>
    <row r="620486" spans="22:22">
      <c r="V620486" s="42"/>
    </row>
    <row r="620681" spans="22:22">
      <c r="V620681" s="42"/>
    </row>
    <row r="620876" spans="22:22">
      <c r="V620876" s="42"/>
    </row>
    <row r="621071" spans="22:22">
      <c r="V621071" s="42"/>
    </row>
    <row r="621266" spans="22:22">
      <c r="V621266" s="42"/>
    </row>
    <row r="621461" spans="22:22">
      <c r="V621461" s="42"/>
    </row>
    <row r="621656" spans="22:22">
      <c r="V621656" s="42"/>
    </row>
    <row r="621851" spans="22:22">
      <c r="V621851" s="42"/>
    </row>
    <row r="622046" spans="22:22">
      <c r="V622046" s="42"/>
    </row>
    <row r="622241" spans="22:22">
      <c r="V622241" s="42"/>
    </row>
    <row r="622436" spans="22:22">
      <c r="V622436" s="42"/>
    </row>
    <row r="622631" spans="22:22">
      <c r="V622631" s="42"/>
    </row>
    <row r="622826" spans="22:22">
      <c r="V622826" s="42"/>
    </row>
    <row r="623021" spans="22:22">
      <c r="V623021" s="42"/>
    </row>
    <row r="623216" spans="22:22">
      <c r="V623216" s="42"/>
    </row>
    <row r="623411" spans="22:22">
      <c r="V623411" s="42"/>
    </row>
    <row r="623606" spans="22:22">
      <c r="V623606" s="42"/>
    </row>
    <row r="623801" spans="22:22">
      <c r="V623801" s="42"/>
    </row>
    <row r="623996" spans="22:22">
      <c r="V623996" s="42"/>
    </row>
    <row r="624191" spans="22:22">
      <c r="V624191" s="42"/>
    </row>
    <row r="624386" spans="22:22">
      <c r="V624386" s="42"/>
    </row>
    <row r="624581" spans="22:22">
      <c r="V624581" s="42"/>
    </row>
    <row r="624776" spans="22:22">
      <c r="V624776" s="42"/>
    </row>
    <row r="624971" spans="22:22">
      <c r="V624971" s="42"/>
    </row>
    <row r="625166" spans="22:22">
      <c r="V625166" s="42"/>
    </row>
    <row r="625361" spans="22:22">
      <c r="V625361" s="42"/>
    </row>
    <row r="625556" spans="22:22">
      <c r="V625556" s="42"/>
    </row>
    <row r="625751" spans="22:22">
      <c r="V625751" s="42"/>
    </row>
    <row r="625946" spans="22:22">
      <c r="V625946" s="42"/>
    </row>
    <row r="626141" spans="22:22">
      <c r="V626141" s="42"/>
    </row>
    <row r="626336" spans="22:22">
      <c r="V626336" s="42"/>
    </row>
    <row r="626531" spans="22:22">
      <c r="V626531" s="42"/>
    </row>
    <row r="626726" spans="22:22">
      <c r="V626726" s="42"/>
    </row>
    <row r="626921" spans="22:22">
      <c r="V626921" s="42"/>
    </row>
    <row r="627116" spans="22:22">
      <c r="V627116" s="42"/>
    </row>
    <row r="627311" spans="22:22">
      <c r="V627311" s="42"/>
    </row>
    <row r="627506" spans="22:22">
      <c r="V627506" s="42"/>
    </row>
    <row r="627701" spans="22:22">
      <c r="V627701" s="42"/>
    </row>
    <row r="627896" spans="22:22">
      <c r="V627896" s="42"/>
    </row>
    <row r="628091" spans="22:22">
      <c r="V628091" s="42"/>
    </row>
    <row r="628286" spans="22:22">
      <c r="V628286" s="42"/>
    </row>
    <row r="628481" spans="22:22">
      <c r="V628481" s="42"/>
    </row>
    <row r="628676" spans="22:22">
      <c r="V628676" s="42"/>
    </row>
    <row r="628871" spans="22:22">
      <c r="V628871" s="42"/>
    </row>
    <row r="629066" spans="22:22">
      <c r="V629066" s="42"/>
    </row>
    <row r="629261" spans="22:22">
      <c r="V629261" s="42"/>
    </row>
    <row r="629456" spans="22:22">
      <c r="V629456" s="42"/>
    </row>
    <row r="629651" spans="22:22">
      <c r="V629651" s="42"/>
    </row>
    <row r="629846" spans="22:22">
      <c r="V629846" s="42"/>
    </row>
    <row r="630041" spans="22:22">
      <c r="V630041" s="42"/>
    </row>
    <row r="630236" spans="22:22">
      <c r="V630236" s="42"/>
    </row>
    <row r="630431" spans="22:22">
      <c r="V630431" s="42"/>
    </row>
    <row r="630626" spans="22:22">
      <c r="V630626" s="42"/>
    </row>
    <row r="630821" spans="22:22">
      <c r="V630821" s="42"/>
    </row>
    <row r="631016" spans="22:22">
      <c r="V631016" s="42"/>
    </row>
    <row r="631211" spans="22:22">
      <c r="V631211" s="42"/>
    </row>
    <row r="631406" spans="22:22">
      <c r="V631406" s="42"/>
    </row>
    <row r="631601" spans="22:22">
      <c r="V631601" s="42"/>
    </row>
    <row r="631796" spans="22:22">
      <c r="V631796" s="42"/>
    </row>
    <row r="631991" spans="22:22">
      <c r="V631991" s="42"/>
    </row>
    <row r="632186" spans="22:22">
      <c r="V632186" s="42"/>
    </row>
    <row r="632381" spans="22:22">
      <c r="V632381" s="42"/>
    </row>
    <row r="632576" spans="22:22">
      <c r="V632576" s="42"/>
    </row>
    <row r="632771" spans="22:22">
      <c r="V632771" s="42"/>
    </row>
    <row r="632966" spans="22:22">
      <c r="V632966" s="42"/>
    </row>
    <row r="633161" spans="22:22">
      <c r="V633161" s="42"/>
    </row>
    <row r="633356" spans="22:22">
      <c r="V633356" s="42"/>
    </row>
    <row r="633551" spans="22:22">
      <c r="V633551" s="42"/>
    </row>
    <row r="633746" spans="22:22">
      <c r="V633746" s="42"/>
    </row>
    <row r="633941" spans="22:22">
      <c r="V633941" s="42"/>
    </row>
    <row r="634136" spans="22:22">
      <c r="V634136" s="42"/>
    </row>
    <row r="634331" spans="22:22">
      <c r="V634331" s="42"/>
    </row>
    <row r="634526" spans="22:22">
      <c r="V634526" s="42"/>
    </row>
    <row r="634721" spans="22:22">
      <c r="V634721" s="42"/>
    </row>
    <row r="634916" spans="22:22">
      <c r="V634916" s="42"/>
    </row>
    <row r="635111" spans="22:22">
      <c r="V635111" s="42"/>
    </row>
    <row r="635306" spans="22:22">
      <c r="V635306" s="42"/>
    </row>
    <row r="635501" spans="22:22">
      <c r="V635501" s="42"/>
    </row>
    <row r="635696" spans="22:22">
      <c r="V635696" s="42"/>
    </row>
    <row r="635891" spans="22:22">
      <c r="V635891" s="42"/>
    </row>
    <row r="636086" spans="22:22">
      <c r="V636086" s="42"/>
    </row>
    <row r="636281" spans="22:22">
      <c r="V636281" s="42"/>
    </row>
    <row r="636476" spans="22:22">
      <c r="V636476" s="42"/>
    </row>
    <row r="636671" spans="22:22">
      <c r="V636671" s="42"/>
    </row>
    <row r="636866" spans="22:22">
      <c r="V636866" s="42"/>
    </row>
    <row r="637061" spans="22:22">
      <c r="V637061" s="42"/>
    </row>
    <row r="637256" spans="22:22">
      <c r="V637256" s="42"/>
    </row>
    <row r="637451" spans="22:22">
      <c r="V637451" s="42"/>
    </row>
    <row r="637646" spans="22:22">
      <c r="V637646" s="42"/>
    </row>
    <row r="637841" spans="22:22">
      <c r="V637841" s="42"/>
    </row>
    <row r="638036" spans="22:22">
      <c r="V638036" s="42"/>
    </row>
    <row r="638231" spans="22:22">
      <c r="V638231" s="42"/>
    </row>
    <row r="638426" spans="22:22">
      <c r="V638426" s="42"/>
    </row>
    <row r="638621" spans="22:22">
      <c r="V638621" s="42"/>
    </row>
    <row r="638816" spans="22:22">
      <c r="V638816" s="42"/>
    </row>
    <row r="639011" spans="22:22">
      <c r="V639011" s="42"/>
    </row>
    <row r="639206" spans="22:22">
      <c r="V639206" s="42"/>
    </row>
    <row r="639401" spans="22:22">
      <c r="V639401" s="42"/>
    </row>
    <row r="639596" spans="22:22">
      <c r="V639596" s="42"/>
    </row>
    <row r="639791" spans="22:22">
      <c r="V639791" s="42"/>
    </row>
    <row r="639986" spans="22:22">
      <c r="V639986" s="42"/>
    </row>
    <row r="640181" spans="22:22">
      <c r="V640181" s="42"/>
    </row>
    <row r="640376" spans="22:22">
      <c r="V640376" s="42"/>
    </row>
    <row r="640571" spans="22:22">
      <c r="V640571" s="42"/>
    </row>
    <row r="640766" spans="22:22">
      <c r="V640766" s="42"/>
    </row>
    <row r="640961" spans="22:22">
      <c r="V640961" s="42"/>
    </row>
    <row r="641156" spans="22:22">
      <c r="V641156" s="42"/>
    </row>
    <row r="641351" spans="22:22">
      <c r="V641351" s="42"/>
    </row>
    <row r="641546" spans="22:22">
      <c r="V641546" s="42"/>
    </row>
    <row r="641741" spans="22:22">
      <c r="V641741" s="42"/>
    </row>
    <row r="641936" spans="22:22">
      <c r="V641936" s="42"/>
    </row>
    <row r="642131" spans="22:22">
      <c r="V642131" s="42"/>
    </row>
    <row r="642326" spans="22:22">
      <c r="V642326" s="42"/>
    </row>
    <row r="642521" spans="22:22">
      <c r="V642521" s="42"/>
    </row>
    <row r="642716" spans="22:22">
      <c r="V642716" s="42"/>
    </row>
    <row r="642911" spans="22:22">
      <c r="V642911" s="42"/>
    </row>
    <row r="643106" spans="22:22">
      <c r="V643106" s="42"/>
    </row>
    <row r="643301" spans="22:22">
      <c r="V643301" s="42"/>
    </row>
    <row r="643496" spans="22:22">
      <c r="V643496" s="42"/>
    </row>
    <row r="643691" spans="22:22">
      <c r="V643691" s="42"/>
    </row>
    <row r="643886" spans="22:22">
      <c r="V643886" s="42"/>
    </row>
    <row r="644081" spans="22:22">
      <c r="V644081" s="42"/>
    </row>
    <row r="644276" spans="22:22">
      <c r="V644276" s="42"/>
    </row>
    <row r="644471" spans="22:22">
      <c r="V644471" s="42"/>
    </row>
    <row r="644666" spans="22:22">
      <c r="V644666" s="42"/>
    </row>
    <row r="644861" spans="22:22">
      <c r="V644861" s="42"/>
    </row>
    <row r="645056" spans="22:22">
      <c r="V645056" s="42"/>
    </row>
    <row r="645251" spans="22:22">
      <c r="V645251" s="42"/>
    </row>
    <row r="645446" spans="22:22">
      <c r="V645446" s="42"/>
    </row>
    <row r="645641" spans="22:22">
      <c r="V645641" s="42"/>
    </row>
    <row r="645836" spans="22:22">
      <c r="V645836" s="42"/>
    </row>
    <row r="646031" spans="22:22">
      <c r="V646031" s="42"/>
    </row>
    <row r="646226" spans="22:22">
      <c r="V646226" s="42"/>
    </row>
    <row r="646421" spans="22:22">
      <c r="V646421" s="42"/>
    </row>
    <row r="646616" spans="22:22">
      <c r="V646616" s="42"/>
    </row>
    <row r="646811" spans="22:22">
      <c r="V646811" s="42"/>
    </row>
    <row r="647006" spans="22:22">
      <c r="V647006" s="42"/>
    </row>
    <row r="647201" spans="22:22">
      <c r="V647201" s="42"/>
    </row>
    <row r="647396" spans="22:22">
      <c r="V647396" s="42"/>
    </row>
    <row r="647591" spans="22:22">
      <c r="V647591" s="42"/>
    </row>
    <row r="647786" spans="22:22">
      <c r="V647786" s="42"/>
    </row>
    <row r="647981" spans="22:22">
      <c r="V647981" s="42"/>
    </row>
    <row r="648176" spans="22:22">
      <c r="V648176" s="42"/>
    </row>
    <row r="648371" spans="22:22">
      <c r="V648371" s="42"/>
    </row>
    <row r="648566" spans="22:22">
      <c r="V648566" s="42"/>
    </row>
    <row r="648761" spans="22:22">
      <c r="V648761" s="42"/>
    </row>
    <row r="648956" spans="22:22">
      <c r="V648956" s="42"/>
    </row>
    <row r="649151" spans="22:22">
      <c r="V649151" s="42"/>
    </row>
    <row r="649346" spans="22:22">
      <c r="V649346" s="42"/>
    </row>
    <row r="649541" spans="22:22">
      <c r="V649541" s="42"/>
    </row>
    <row r="649736" spans="22:22">
      <c r="V649736" s="42"/>
    </row>
    <row r="649931" spans="22:22">
      <c r="V649931" s="42"/>
    </row>
    <row r="650126" spans="22:22">
      <c r="V650126" s="42"/>
    </row>
    <row r="650321" spans="22:22">
      <c r="V650321" s="42"/>
    </row>
    <row r="650516" spans="22:22">
      <c r="V650516" s="42"/>
    </row>
    <row r="650711" spans="22:22">
      <c r="V650711" s="42"/>
    </row>
    <row r="650906" spans="22:22">
      <c r="V650906" s="42"/>
    </row>
    <row r="651101" spans="22:22">
      <c r="V651101" s="42"/>
    </row>
    <row r="651296" spans="22:22">
      <c r="V651296" s="42"/>
    </row>
    <row r="651491" spans="22:22">
      <c r="V651491" s="42"/>
    </row>
    <row r="651686" spans="22:22">
      <c r="V651686" s="42"/>
    </row>
    <row r="651881" spans="22:22">
      <c r="V651881" s="42"/>
    </row>
    <row r="652076" spans="22:22">
      <c r="V652076" s="42"/>
    </row>
    <row r="652271" spans="22:22">
      <c r="V652271" s="42"/>
    </row>
    <row r="652466" spans="22:22">
      <c r="V652466" s="42"/>
    </row>
    <row r="652661" spans="22:22">
      <c r="V652661" s="42"/>
    </row>
    <row r="652856" spans="22:22">
      <c r="V652856" s="42"/>
    </row>
    <row r="653051" spans="22:22">
      <c r="V653051" s="42"/>
    </row>
    <row r="653246" spans="22:22">
      <c r="V653246" s="42"/>
    </row>
    <row r="653441" spans="22:22">
      <c r="V653441" s="42"/>
    </row>
    <row r="653636" spans="22:22">
      <c r="V653636" s="42"/>
    </row>
    <row r="653831" spans="22:22">
      <c r="V653831" s="42"/>
    </row>
    <row r="654026" spans="22:22">
      <c r="V654026" s="42"/>
    </row>
    <row r="654221" spans="22:22">
      <c r="V654221" s="42"/>
    </row>
    <row r="654416" spans="22:22">
      <c r="V654416" s="42"/>
    </row>
    <row r="654611" spans="22:22">
      <c r="V654611" s="42"/>
    </row>
    <row r="654806" spans="22:22">
      <c r="V654806" s="42"/>
    </row>
    <row r="655001" spans="22:22">
      <c r="V655001" s="42"/>
    </row>
    <row r="655196" spans="22:22">
      <c r="V655196" s="42"/>
    </row>
    <row r="655391" spans="22:22">
      <c r="V655391" s="42"/>
    </row>
    <row r="655586" spans="22:22">
      <c r="V655586" s="42"/>
    </row>
    <row r="655781" spans="22:22">
      <c r="V655781" s="42"/>
    </row>
    <row r="655976" spans="22:22">
      <c r="V655976" s="42"/>
    </row>
    <row r="656171" spans="22:22">
      <c r="V656171" s="42"/>
    </row>
    <row r="656366" spans="22:22">
      <c r="V656366" s="42"/>
    </row>
    <row r="656561" spans="22:22">
      <c r="V656561" s="42"/>
    </row>
    <row r="656756" spans="22:22">
      <c r="V656756" s="42"/>
    </row>
    <row r="656951" spans="22:22">
      <c r="V656951" s="42"/>
    </row>
    <row r="657146" spans="22:22">
      <c r="V657146" s="42"/>
    </row>
    <row r="657341" spans="22:22">
      <c r="V657341" s="42"/>
    </row>
    <row r="657536" spans="22:22">
      <c r="V657536" s="42"/>
    </row>
    <row r="657731" spans="22:22">
      <c r="V657731" s="42"/>
    </row>
    <row r="657926" spans="22:22">
      <c r="V657926" s="42"/>
    </row>
    <row r="658121" spans="22:22">
      <c r="V658121" s="42"/>
    </row>
    <row r="658316" spans="22:22">
      <c r="V658316" s="42"/>
    </row>
    <row r="658511" spans="22:22">
      <c r="V658511" s="42"/>
    </row>
    <row r="658706" spans="22:22">
      <c r="V658706" s="42"/>
    </row>
    <row r="658901" spans="22:22">
      <c r="V658901" s="42"/>
    </row>
    <row r="659096" spans="22:22">
      <c r="V659096" s="42"/>
    </row>
    <row r="659291" spans="22:22">
      <c r="V659291" s="42"/>
    </row>
    <row r="659486" spans="22:22">
      <c r="V659486" s="42"/>
    </row>
    <row r="659681" spans="22:22">
      <c r="V659681" s="42"/>
    </row>
    <row r="659876" spans="22:22">
      <c r="V659876" s="42"/>
    </row>
    <row r="660071" spans="22:22">
      <c r="V660071" s="42"/>
    </row>
    <row r="660266" spans="22:22">
      <c r="V660266" s="42"/>
    </row>
    <row r="660461" spans="22:22">
      <c r="V660461" s="42"/>
    </row>
    <row r="660656" spans="22:22">
      <c r="V660656" s="42"/>
    </row>
    <row r="660851" spans="22:22">
      <c r="V660851" s="42"/>
    </row>
    <row r="661046" spans="22:22">
      <c r="V661046" s="42"/>
    </row>
    <row r="661241" spans="22:22">
      <c r="V661241" s="42"/>
    </row>
    <row r="661436" spans="22:22">
      <c r="V661436" s="42"/>
    </row>
    <row r="661631" spans="22:22">
      <c r="V661631" s="42"/>
    </row>
    <row r="661826" spans="22:22">
      <c r="V661826" s="42"/>
    </row>
    <row r="662021" spans="22:22">
      <c r="V662021" s="42"/>
    </row>
    <row r="662216" spans="22:22">
      <c r="V662216" s="42"/>
    </row>
    <row r="662411" spans="22:22">
      <c r="V662411" s="42"/>
    </row>
    <row r="662606" spans="22:22">
      <c r="V662606" s="42"/>
    </row>
    <row r="662801" spans="22:22">
      <c r="V662801" s="42"/>
    </row>
    <row r="662996" spans="22:22">
      <c r="V662996" s="42"/>
    </row>
    <row r="663191" spans="22:22">
      <c r="V663191" s="42"/>
    </row>
    <row r="663386" spans="22:22">
      <c r="V663386" s="42"/>
    </row>
    <row r="663581" spans="22:22">
      <c r="V663581" s="42"/>
    </row>
    <row r="663776" spans="22:22">
      <c r="V663776" s="42"/>
    </row>
    <row r="663971" spans="22:22">
      <c r="V663971" s="42"/>
    </row>
    <row r="664166" spans="22:22">
      <c r="V664166" s="42"/>
    </row>
    <row r="664361" spans="22:22">
      <c r="V664361" s="42"/>
    </row>
    <row r="664556" spans="22:22">
      <c r="V664556" s="42"/>
    </row>
    <row r="664751" spans="22:22">
      <c r="V664751" s="42"/>
    </row>
    <row r="664946" spans="22:22">
      <c r="V664946" s="42"/>
    </row>
    <row r="665141" spans="22:22">
      <c r="V665141" s="42"/>
    </row>
    <row r="665336" spans="22:22">
      <c r="V665336" s="42"/>
    </row>
    <row r="665531" spans="22:22">
      <c r="V665531" s="42"/>
    </row>
    <row r="665726" spans="22:22">
      <c r="V665726" s="42"/>
    </row>
    <row r="665921" spans="22:22">
      <c r="V665921" s="42"/>
    </row>
    <row r="666116" spans="22:22">
      <c r="V666116" s="42"/>
    </row>
    <row r="666311" spans="22:22">
      <c r="V666311" s="42"/>
    </row>
    <row r="666506" spans="22:22">
      <c r="V666506" s="42"/>
    </row>
    <row r="666701" spans="22:22">
      <c r="V666701" s="42"/>
    </row>
    <row r="666896" spans="22:22">
      <c r="V666896" s="42"/>
    </row>
    <row r="667091" spans="22:22">
      <c r="V667091" s="42"/>
    </row>
    <row r="667286" spans="22:22">
      <c r="V667286" s="42"/>
    </row>
    <row r="667481" spans="22:22">
      <c r="V667481" s="42"/>
    </row>
    <row r="667676" spans="22:22">
      <c r="V667676" s="42"/>
    </row>
    <row r="667871" spans="22:22">
      <c r="V667871" s="42"/>
    </row>
    <row r="668066" spans="22:22">
      <c r="V668066" s="42"/>
    </row>
    <row r="668261" spans="22:22">
      <c r="V668261" s="42"/>
    </row>
    <row r="668456" spans="22:22">
      <c r="V668456" s="42"/>
    </row>
    <row r="668651" spans="22:22">
      <c r="V668651" s="42"/>
    </row>
    <row r="668846" spans="22:22">
      <c r="V668846" s="42"/>
    </row>
    <row r="669041" spans="22:22">
      <c r="V669041" s="42"/>
    </row>
    <row r="669236" spans="22:22">
      <c r="V669236" s="42"/>
    </row>
    <row r="669431" spans="22:22">
      <c r="V669431" s="42"/>
    </row>
    <row r="669626" spans="22:22">
      <c r="V669626" s="42"/>
    </row>
    <row r="669821" spans="22:22">
      <c r="V669821" s="42"/>
    </row>
    <row r="670016" spans="22:22">
      <c r="V670016" s="42"/>
    </row>
    <row r="670211" spans="22:22">
      <c r="V670211" s="42"/>
    </row>
    <row r="670406" spans="22:22">
      <c r="V670406" s="42"/>
    </row>
    <row r="670601" spans="22:22">
      <c r="V670601" s="42"/>
    </row>
    <row r="670796" spans="22:22">
      <c r="V670796" s="42"/>
    </row>
    <row r="670991" spans="22:22">
      <c r="V670991" s="42"/>
    </row>
    <row r="671186" spans="22:22">
      <c r="V671186" s="42"/>
    </row>
    <row r="671381" spans="22:22">
      <c r="V671381" s="42"/>
    </row>
    <row r="671576" spans="22:22">
      <c r="V671576" s="42"/>
    </row>
    <row r="671771" spans="22:22">
      <c r="V671771" s="42"/>
    </row>
    <row r="671966" spans="22:22">
      <c r="V671966" s="42"/>
    </row>
    <row r="672161" spans="22:22">
      <c r="V672161" s="42"/>
    </row>
    <row r="672356" spans="22:22">
      <c r="V672356" s="42"/>
    </row>
    <row r="672551" spans="22:22">
      <c r="V672551" s="42"/>
    </row>
    <row r="672746" spans="22:22">
      <c r="V672746" s="42"/>
    </row>
    <row r="672941" spans="22:22">
      <c r="V672941" s="42"/>
    </row>
    <row r="673136" spans="22:22">
      <c r="V673136" s="42"/>
    </row>
    <row r="673331" spans="22:22">
      <c r="V673331" s="42"/>
    </row>
    <row r="673526" spans="22:22">
      <c r="V673526" s="42"/>
    </row>
    <row r="673721" spans="22:22">
      <c r="V673721" s="42"/>
    </row>
    <row r="673916" spans="22:22">
      <c r="V673916" s="42"/>
    </row>
    <row r="674111" spans="22:22">
      <c r="V674111" s="42"/>
    </row>
    <row r="674306" spans="22:22">
      <c r="V674306" s="42"/>
    </row>
    <row r="674501" spans="22:22">
      <c r="V674501" s="42"/>
    </row>
    <row r="674696" spans="22:22">
      <c r="V674696" s="42"/>
    </row>
    <row r="674891" spans="22:22">
      <c r="V674891" s="42"/>
    </row>
    <row r="675086" spans="22:22">
      <c r="V675086" s="42"/>
    </row>
    <row r="675281" spans="22:22">
      <c r="V675281" s="42"/>
    </row>
    <row r="675476" spans="22:22">
      <c r="V675476" s="42"/>
    </row>
    <row r="675671" spans="22:22">
      <c r="V675671" s="42"/>
    </row>
    <row r="675866" spans="22:22">
      <c r="V675866" s="42"/>
    </row>
    <row r="676061" spans="22:22">
      <c r="V676061" s="42"/>
    </row>
    <row r="676256" spans="22:22">
      <c r="V676256" s="42"/>
    </row>
    <row r="676451" spans="22:22">
      <c r="V676451" s="42"/>
    </row>
    <row r="676646" spans="22:22">
      <c r="V676646" s="42"/>
    </row>
    <row r="676841" spans="22:22">
      <c r="V676841" s="42"/>
    </row>
    <row r="677036" spans="22:22">
      <c r="V677036" s="42"/>
    </row>
    <row r="677231" spans="22:22">
      <c r="V677231" s="42"/>
    </row>
    <row r="677426" spans="22:22">
      <c r="V677426" s="42"/>
    </row>
    <row r="677621" spans="22:22">
      <c r="V677621" s="42"/>
    </row>
    <row r="677816" spans="22:22">
      <c r="V677816" s="42"/>
    </row>
    <row r="678011" spans="22:22">
      <c r="V678011" s="42"/>
    </row>
    <row r="678206" spans="22:22">
      <c r="V678206" s="42"/>
    </row>
    <row r="678401" spans="22:22">
      <c r="V678401" s="42"/>
    </row>
    <row r="678596" spans="22:22">
      <c r="V678596" s="42"/>
    </row>
    <row r="678791" spans="22:22">
      <c r="V678791" s="42"/>
    </row>
    <row r="678986" spans="22:22">
      <c r="V678986" s="42"/>
    </row>
    <row r="679181" spans="22:22">
      <c r="V679181" s="42"/>
    </row>
    <row r="679376" spans="22:22">
      <c r="V679376" s="42"/>
    </row>
    <row r="679571" spans="22:22">
      <c r="V679571" s="42"/>
    </row>
    <row r="679766" spans="22:22">
      <c r="V679766" s="42"/>
    </row>
    <row r="679961" spans="22:22">
      <c r="V679961" s="42"/>
    </row>
    <row r="680156" spans="22:22">
      <c r="V680156" s="42"/>
    </row>
    <row r="680351" spans="22:22">
      <c r="V680351" s="42"/>
    </row>
    <row r="680546" spans="22:22">
      <c r="V680546" s="42"/>
    </row>
    <row r="680741" spans="22:22">
      <c r="V680741" s="42"/>
    </row>
    <row r="680936" spans="22:22">
      <c r="V680936" s="42"/>
    </row>
    <row r="681131" spans="22:22">
      <c r="V681131" s="42"/>
    </row>
    <row r="681326" spans="22:22">
      <c r="V681326" s="42"/>
    </row>
    <row r="681521" spans="22:22">
      <c r="V681521" s="42"/>
    </row>
    <row r="681716" spans="22:22">
      <c r="V681716" s="42"/>
    </row>
    <row r="681911" spans="22:22">
      <c r="V681911" s="42"/>
    </row>
    <row r="682106" spans="22:22">
      <c r="V682106" s="42"/>
    </row>
    <row r="682301" spans="22:22">
      <c r="V682301" s="42"/>
    </row>
    <row r="682496" spans="22:22">
      <c r="V682496" s="42"/>
    </row>
    <row r="682691" spans="22:22">
      <c r="V682691" s="42"/>
    </row>
    <row r="682886" spans="22:22">
      <c r="V682886" s="42"/>
    </row>
    <row r="683081" spans="22:22">
      <c r="V683081" s="42"/>
    </row>
    <row r="683276" spans="22:22">
      <c r="V683276" s="42"/>
    </row>
    <row r="683471" spans="22:22">
      <c r="V683471" s="42"/>
    </row>
    <row r="683666" spans="22:22">
      <c r="V683666" s="42"/>
    </row>
    <row r="683861" spans="22:22">
      <c r="V683861" s="42"/>
    </row>
    <row r="684056" spans="22:22">
      <c r="V684056" s="42"/>
    </row>
    <row r="684251" spans="22:22">
      <c r="V684251" s="42"/>
    </row>
    <row r="684446" spans="22:22">
      <c r="V684446" s="42"/>
    </row>
    <row r="684641" spans="22:22">
      <c r="V684641" s="42"/>
    </row>
    <row r="684836" spans="22:22">
      <c r="V684836" s="42"/>
    </row>
    <row r="685031" spans="22:22">
      <c r="V685031" s="42"/>
    </row>
    <row r="685226" spans="22:22">
      <c r="V685226" s="42"/>
    </row>
    <row r="685421" spans="22:22">
      <c r="V685421" s="42"/>
    </row>
    <row r="685616" spans="22:22">
      <c r="V685616" s="42"/>
    </row>
    <row r="685811" spans="22:22">
      <c r="V685811" s="42"/>
    </row>
    <row r="686006" spans="22:22">
      <c r="V686006" s="42"/>
    </row>
    <row r="686201" spans="22:22">
      <c r="V686201" s="42"/>
    </row>
    <row r="686396" spans="22:22">
      <c r="V686396" s="42"/>
    </row>
    <row r="686591" spans="22:22">
      <c r="V686591" s="42"/>
    </row>
    <row r="686786" spans="22:22">
      <c r="V686786" s="42"/>
    </row>
    <row r="686981" spans="22:22">
      <c r="V686981" s="42"/>
    </row>
    <row r="687176" spans="22:22">
      <c r="V687176" s="42"/>
    </row>
    <row r="687371" spans="22:22">
      <c r="V687371" s="42"/>
    </row>
    <row r="687566" spans="22:22">
      <c r="V687566" s="42"/>
    </row>
    <row r="687761" spans="22:22">
      <c r="V687761" s="42"/>
    </row>
    <row r="687956" spans="22:22">
      <c r="V687956" s="42"/>
    </row>
    <row r="688151" spans="22:22">
      <c r="V688151" s="42"/>
    </row>
    <row r="688346" spans="22:22">
      <c r="V688346" s="42"/>
    </row>
    <row r="688541" spans="22:22">
      <c r="V688541" s="42"/>
    </row>
    <row r="688736" spans="22:22">
      <c r="V688736" s="42"/>
    </row>
    <row r="688931" spans="22:22">
      <c r="V688931" s="42"/>
    </row>
    <row r="689126" spans="22:22">
      <c r="V689126" s="42"/>
    </row>
    <row r="689321" spans="22:22">
      <c r="V689321" s="42"/>
    </row>
    <row r="689516" spans="22:22">
      <c r="V689516" s="42"/>
    </row>
    <row r="689711" spans="22:22">
      <c r="V689711" s="42"/>
    </row>
    <row r="689906" spans="22:22">
      <c r="V689906" s="42"/>
    </row>
    <row r="690101" spans="22:22">
      <c r="V690101" s="42"/>
    </row>
    <row r="690296" spans="22:22">
      <c r="V690296" s="42"/>
    </row>
    <row r="690491" spans="22:22">
      <c r="V690491" s="42"/>
    </row>
    <row r="690686" spans="22:22">
      <c r="V690686" s="42"/>
    </row>
    <row r="690881" spans="22:22">
      <c r="V690881" s="42"/>
    </row>
    <row r="691076" spans="22:22">
      <c r="V691076" s="42"/>
    </row>
    <row r="691271" spans="22:22">
      <c r="V691271" s="42"/>
    </row>
    <row r="691466" spans="22:22">
      <c r="V691466" s="42"/>
    </row>
    <row r="691661" spans="22:22">
      <c r="V691661" s="42"/>
    </row>
    <row r="691856" spans="22:22">
      <c r="V691856" s="42"/>
    </row>
    <row r="692051" spans="22:22">
      <c r="V692051" s="42"/>
    </row>
    <row r="692246" spans="22:22">
      <c r="V692246" s="42"/>
    </row>
    <row r="692441" spans="22:22">
      <c r="V692441" s="42"/>
    </row>
    <row r="692636" spans="22:22">
      <c r="V692636" s="42"/>
    </row>
    <row r="692831" spans="22:22">
      <c r="V692831" s="42"/>
    </row>
    <row r="693026" spans="22:22">
      <c r="V693026" s="42"/>
    </row>
    <row r="693221" spans="22:22">
      <c r="V693221" s="42"/>
    </row>
    <row r="693416" spans="22:22">
      <c r="V693416" s="42"/>
    </row>
    <row r="693611" spans="22:22">
      <c r="V693611" s="42"/>
    </row>
    <row r="693806" spans="22:22">
      <c r="V693806" s="42"/>
    </row>
    <row r="694001" spans="22:22">
      <c r="V694001" s="42"/>
    </row>
    <row r="694196" spans="22:22">
      <c r="V694196" s="42"/>
    </row>
    <row r="694391" spans="22:22">
      <c r="V694391" s="42"/>
    </row>
    <row r="694586" spans="22:22">
      <c r="V694586" s="42"/>
    </row>
    <row r="694781" spans="22:22">
      <c r="V694781" s="42"/>
    </row>
    <row r="694976" spans="22:22">
      <c r="V694976" s="42"/>
    </row>
    <row r="695171" spans="22:22">
      <c r="V695171" s="42"/>
    </row>
    <row r="695366" spans="22:22">
      <c r="V695366" s="42"/>
    </row>
    <row r="695561" spans="22:22">
      <c r="V695561" s="42"/>
    </row>
    <row r="695756" spans="22:22">
      <c r="V695756" s="42"/>
    </row>
    <row r="695951" spans="22:22">
      <c r="V695951" s="42"/>
    </row>
    <row r="696146" spans="22:22">
      <c r="V696146" s="42"/>
    </row>
    <row r="696341" spans="22:22">
      <c r="V696341" s="42"/>
    </row>
    <row r="696536" spans="22:22">
      <c r="V696536" s="42"/>
    </row>
    <row r="696731" spans="22:22">
      <c r="V696731" s="42"/>
    </row>
    <row r="696926" spans="22:22">
      <c r="V696926" s="42"/>
    </row>
    <row r="697121" spans="22:22">
      <c r="V697121" s="42"/>
    </row>
    <row r="697316" spans="22:22">
      <c r="V697316" s="42"/>
    </row>
    <row r="697511" spans="22:22">
      <c r="V697511" s="42"/>
    </row>
    <row r="697706" spans="22:22">
      <c r="V697706" s="42"/>
    </row>
    <row r="697901" spans="22:22">
      <c r="V697901" s="42"/>
    </row>
    <row r="698096" spans="22:22">
      <c r="V698096" s="42"/>
    </row>
    <row r="698291" spans="22:22">
      <c r="V698291" s="42"/>
    </row>
    <row r="698486" spans="22:22">
      <c r="V698486" s="42"/>
    </row>
    <row r="698681" spans="22:22">
      <c r="V698681" s="42"/>
    </row>
    <row r="698876" spans="22:22">
      <c r="V698876" s="42"/>
    </row>
    <row r="699071" spans="22:22">
      <c r="V699071" s="42"/>
    </row>
    <row r="699266" spans="22:22">
      <c r="V699266" s="42"/>
    </row>
    <row r="699461" spans="22:22">
      <c r="V699461" s="42"/>
    </row>
    <row r="699656" spans="22:22">
      <c r="V699656" s="42"/>
    </row>
    <row r="699851" spans="22:22">
      <c r="V699851" s="42"/>
    </row>
    <row r="700046" spans="22:22">
      <c r="V700046" s="42"/>
    </row>
    <row r="700241" spans="22:22">
      <c r="V700241" s="42"/>
    </row>
    <row r="700436" spans="22:22">
      <c r="V700436" s="42"/>
    </row>
    <row r="700631" spans="22:22">
      <c r="V700631" s="42"/>
    </row>
    <row r="700826" spans="22:22">
      <c r="V700826" s="42"/>
    </row>
    <row r="701021" spans="22:22">
      <c r="V701021" s="42"/>
    </row>
    <row r="701216" spans="22:22">
      <c r="V701216" s="42"/>
    </row>
    <row r="701411" spans="22:22">
      <c r="V701411" s="42"/>
    </row>
    <row r="701606" spans="22:22">
      <c r="V701606" s="42"/>
    </row>
    <row r="701801" spans="22:22">
      <c r="V701801" s="42"/>
    </row>
    <row r="701996" spans="22:22">
      <c r="V701996" s="42"/>
    </row>
    <row r="702191" spans="22:22">
      <c r="V702191" s="42"/>
    </row>
    <row r="702386" spans="22:22">
      <c r="V702386" s="42"/>
    </row>
    <row r="702581" spans="22:22">
      <c r="V702581" s="42"/>
    </row>
    <row r="702776" spans="22:22">
      <c r="V702776" s="42"/>
    </row>
    <row r="702971" spans="22:22">
      <c r="V702971" s="42"/>
    </row>
    <row r="703166" spans="22:22">
      <c r="V703166" s="42"/>
    </row>
    <row r="703361" spans="22:22">
      <c r="V703361" s="42"/>
    </row>
    <row r="703556" spans="22:22">
      <c r="V703556" s="42"/>
    </row>
    <row r="703751" spans="22:22">
      <c r="V703751" s="42"/>
    </row>
    <row r="703946" spans="22:22">
      <c r="V703946" s="42"/>
    </row>
    <row r="704141" spans="22:22">
      <c r="V704141" s="42"/>
    </row>
    <row r="704336" spans="22:22">
      <c r="V704336" s="42"/>
    </row>
    <row r="704531" spans="22:22">
      <c r="V704531" s="42"/>
    </row>
    <row r="704726" spans="22:22">
      <c r="V704726" s="42"/>
    </row>
    <row r="704921" spans="22:22">
      <c r="V704921" s="42"/>
    </row>
    <row r="705116" spans="22:22">
      <c r="V705116" s="42"/>
    </row>
    <row r="705311" spans="22:22">
      <c r="V705311" s="42"/>
    </row>
    <row r="705506" spans="22:22">
      <c r="V705506" s="42"/>
    </row>
    <row r="705701" spans="22:22">
      <c r="V705701" s="42"/>
    </row>
    <row r="705896" spans="22:22">
      <c r="V705896" s="42"/>
    </row>
    <row r="706091" spans="22:22">
      <c r="V706091" s="42"/>
    </row>
    <row r="706286" spans="22:22">
      <c r="V706286" s="42"/>
    </row>
    <row r="706481" spans="22:22">
      <c r="V706481" s="42"/>
    </row>
    <row r="706676" spans="22:22">
      <c r="V706676" s="42"/>
    </row>
    <row r="706871" spans="22:22">
      <c r="V706871" s="42"/>
    </row>
    <row r="707066" spans="22:22">
      <c r="V707066" s="42"/>
    </row>
    <row r="707261" spans="22:22">
      <c r="V707261" s="42"/>
    </row>
    <row r="707456" spans="22:22">
      <c r="V707456" s="42"/>
    </row>
    <row r="707651" spans="22:22">
      <c r="V707651" s="42"/>
    </row>
    <row r="707846" spans="22:22">
      <c r="V707846" s="42"/>
    </row>
    <row r="708041" spans="22:22">
      <c r="V708041" s="42"/>
    </row>
    <row r="708236" spans="22:22">
      <c r="V708236" s="42"/>
    </row>
    <row r="708431" spans="22:22">
      <c r="V708431" s="42"/>
    </row>
    <row r="708626" spans="22:22">
      <c r="V708626" s="42"/>
    </row>
    <row r="708821" spans="22:22">
      <c r="V708821" s="42"/>
    </row>
    <row r="709016" spans="22:22">
      <c r="V709016" s="42"/>
    </row>
    <row r="709211" spans="22:22">
      <c r="V709211" s="42"/>
    </row>
    <row r="709406" spans="22:22">
      <c r="V709406" s="42"/>
    </row>
    <row r="709601" spans="22:22">
      <c r="V709601" s="42"/>
    </row>
    <row r="709796" spans="22:22">
      <c r="V709796" s="42"/>
    </row>
    <row r="709991" spans="22:22">
      <c r="V709991" s="42"/>
    </row>
    <row r="710186" spans="22:22">
      <c r="V710186" s="42"/>
    </row>
    <row r="710381" spans="22:22">
      <c r="V710381" s="42"/>
    </row>
    <row r="710576" spans="22:22">
      <c r="V710576" s="42"/>
    </row>
    <row r="710771" spans="22:22">
      <c r="V710771" s="42"/>
    </row>
    <row r="710966" spans="22:22">
      <c r="V710966" s="42"/>
    </row>
    <row r="711161" spans="22:22">
      <c r="V711161" s="42"/>
    </row>
    <row r="711356" spans="22:22">
      <c r="V711356" s="42"/>
    </row>
    <row r="711551" spans="22:22">
      <c r="V711551" s="42"/>
    </row>
    <row r="711746" spans="22:22">
      <c r="V711746" s="42"/>
    </row>
    <row r="711941" spans="22:22">
      <c r="V711941" s="42"/>
    </row>
    <row r="712136" spans="22:22">
      <c r="V712136" s="42"/>
    </row>
    <row r="712331" spans="22:22">
      <c r="V712331" s="42"/>
    </row>
    <row r="712526" spans="22:22">
      <c r="V712526" s="42"/>
    </row>
    <row r="712721" spans="22:22">
      <c r="V712721" s="42"/>
    </row>
    <row r="712916" spans="22:22">
      <c r="V712916" s="42"/>
    </row>
    <row r="713111" spans="22:22">
      <c r="V713111" s="42"/>
    </row>
    <row r="713306" spans="22:22">
      <c r="V713306" s="42"/>
    </row>
    <row r="713501" spans="22:22">
      <c r="V713501" s="42"/>
    </row>
    <row r="713696" spans="22:22">
      <c r="V713696" s="42"/>
    </row>
    <row r="713891" spans="22:22">
      <c r="V713891" s="42"/>
    </row>
    <row r="714086" spans="22:22">
      <c r="V714086" s="42"/>
    </row>
    <row r="714281" spans="22:22">
      <c r="V714281" s="42"/>
    </row>
    <row r="714476" spans="22:22">
      <c r="V714476" s="42"/>
    </row>
    <row r="714671" spans="22:22">
      <c r="V714671" s="42"/>
    </row>
    <row r="714866" spans="22:22">
      <c r="V714866" s="42"/>
    </row>
    <row r="715061" spans="22:22">
      <c r="V715061" s="42"/>
    </row>
    <row r="715256" spans="22:22">
      <c r="V715256" s="42"/>
    </row>
    <row r="715451" spans="22:22">
      <c r="V715451" s="42"/>
    </row>
    <row r="715646" spans="22:22">
      <c r="V715646" s="42"/>
    </row>
    <row r="715841" spans="22:22">
      <c r="V715841" s="42"/>
    </row>
    <row r="716036" spans="22:22">
      <c r="V716036" s="42"/>
    </row>
    <row r="716231" spans="22:22">
      <c r="V716231" s="42"/>
    </row>
    <row r="716426" spans="22:22">
      <c r="V716426" s="42"/>
    </row>
    <row r="716621" spans="22:22">
      <c r="V716621" s="42"/>
    </row>
    <row r="716816" spans="22:22">
      <c r="V716816" s="42"/>
    </row>
    <row r="717011" spans="22:22">
      <c r="V717011" s="42"/>
    </row>
    <row r="717206" spans="22:22">
      <c r="V717206" s="42"/>
    </row>
    <row r="717401" spans="22:22">
      <c r="V717401" s="42"/>
    </row>
    <row r="717596" spans="22:22">
      <c r="V717596" s="42"/>
    </row>
    <row r="717791" spans="22:22">
      <c r="V717791" s="42"/>
    </row>
    <row r="717986" spans="22:22">
      <c r="V717986" s="42"/>
    </row>
    <row r="718181" spans="22:22">
      <c r="V718181" s="42"/>
    </row>
    <row r="718376" spans="22:22">
      <c r="V718376" s="42"/>
    </row>
    <row r="718571" spans="22:22">
      <c r="V718571" s="42"/>
    </row>
    <row r="718766" spans="22:22">
      <c r="V718766" s="42"/>
    </row>
    <row r="718961" spans="22:22">
      <c r="V718961" s="42"/>
    </row>
    <row r="719156" spans="22:22">
      <c r="V719156" s="42"/>
    </row>
    <row r="719351" spans="22:22">
      <c r="V719351" s="42"/>
    </row>
    <row r="719546" spans="22:22">
      <c r="V719546" s="42"/>
    </row>
    <row r="719741" spans="22:22">
      <c r="V719741" s="42"/>
    </row>
    <row r="719936" spans="22:22">
      <c r="V719936" s="42"/>
    </row>
    <row r="720131" spans="22:22">
      <c r="V720131" s="42"/>
    </row>
    <row r="720326" spans="22:22">
      <c r="V720326" s="42"/>
    </row>
    <row r="720521" spans="22:22">
      <c r="V720521" s="42"/>
    </row>
    <row r="720716" spans="22:22">
      <c r="V720716" s="42"/>
    </row>
    <row r="720911" spans="22:22">
      <c r="V720911" s="42"/>
    </row>
    <row r="721106" spans="22:22">
      <c r="V721106" s="42"/>
    </row>
    <row r="721301" spans="22:22">
      <c r="V721301" s="42"/>
    </row>
    <row r="721496" spans="22:22">
      <c r="V721496" s="42"/>
    </row>
    <row r="721691" spans="22:22">
      <c r="V721691" s="42"/>
    </row>
    <row r="721886" spans="22:22">
      <c r="V721886" s="42"/>
    </row>
    <row r="722081" spans="22:22">
      <c r="V722081" s="42"/>
    </row>
    <row r="722276" spans="22:22">
      <c r="V722276" s="42"/>
    </row>
    <row r="722471" spans="22:22">
      <c r="V722471" s="42"/>
    </row>
    <row r="722666" spans="22:22">
      <c r="V722666" s="42"/>
    </row>
    <row r="722861" spans="22:22">
      <c r="V722861" s="42"/>
    </row>
    <row r="723056" spans="22:22">
      <c r="V723056" s="42"/>
    </row>
    <row r="723251" spans="22:22">
      <c r="V723251" s="42"/>
    </row>
    <row r="723446" spans="22:22">
      <c r="V723446" s="42"/>
    </row>
    <row r="723641" spans="22:22">
      <c r="V723641" s="42"/>
    </row>
    <row r="723836" spans="22:22">
      <c r="V723836" s="42"/>
    </row>
    <row r="724031" spans="22:22">
      <c r="V724031" s="42"/>
    </row>
    <row r="724226" spans="22:22">
      <c r="V724226" s="42"/>
    </row>
    <row r="724421" spans="22:22">
      <c r="V724421" s="42"/>
    </row>
    <row r="724616" spans="22:22">
      <c r="V724616" s="42"/>
    </row>
    <row r="724811" spans="22:22">
      <c r="V724811" s="42"/>
    </row>
    <row r="725006" spans="22:22">
      <c r="V725006" s="42"/>
    </row>
    <row r="725201" spans="22:22">
      <c r="V725201" s="42"/>
    </row>
    <row r="725396" spans="22:22">
      <c r="V725396" s="42"/>
    </row>
    <row r="725591" spans="22:22">
      <c r="V725591" s="42"/>
    </row>
    <row r="725786" spans="22:22">
      <c r="V725786" s="42"/>
    </row>
    <row r="725981" spans="22:22">
      <c r="V725981" s="42"/>
    </row>
    <row r="726176" spans="22:22">
      <c r="V726176" s="42"/>
    </row>
    <row r="726371" spans="22:22">
      <c r="V726371" s="42"/>
    </row>
    <row r="726566" spans="22:22">
      <c r="V726566" s="42"/>
    </row>
    <row r="726761" spans="22:22">
      <c r="V726761" s="42"/>
    </row>
    <row r="726956" spans="22:22">
      <c r="V726956" s="42"/>
    </row>
    <row r="727151" spans="22:22">
      <c r="V727151" s="42"/>
    </row>
    <row r="727346" spans="22:22">
      <c r="V727346" s="42"/>
    </row>
    <row r="727541" spans="22:22">
      <c r="V727541" s="42"/>
    </row>
    <row r="727736" spans="22:22">
      <c r="V727736" s="42"/>
    </row>
    <row r="727931" spans="22:22">
      <c r="V727931" s="42"/>
    </row>
    <row r="728126" spans="22:22">
      <c r="V728126" s="42"/>
    </row>
    <row r="728321" spans="22:22">
      <c r="V728321" s="42"/>
    </row>
    <row r="728516" spans="22:22">
      <c r="V728516" s="42"/>
    </row>
    <row r="728711" spans="22:22">
      <c r="V728711" s="42"/>
    </row>
    <row r="728906" spans="22:22">
      <c r="V728906" s="42"/>
    </row>
    <row r="729101" spans="22:22">
      <c r="V729101" s="42"/>
    </row>
    <row r="729296" spans="22:22">
      <c r="V729296" s="42"/>
    </row>
    <row r="729491" spans="22:22">
      <c r="V729491" s="42"/>
    </row>
    <row r="729686" spans="22:22">
      <c r="V729686" s="42"/>
    </row>
    <row r="729881" spans="22:22">
      <c r="V729881" s="42"/>
    </row>
    <row r="730076" spans="22:22">
      <c r="V730076" s="42"/>
    </row>
    <row r="730271" spans="22:22">
      <c r="V730271" s="42"/>
    </row>
    <row r="730466" spans="22:22">
      <c r="V730466" s="42"/>
    </row>
    <row r="730661" spans="22:22">
      <c r="V730661" s="42"/>
    </row>
    <row r="730856" spans="22:22">
      <c r="V730856" s="42"/>
    </row>
    <row r="731051" spans="22:22">
      <c r="V731051" s="42"/>
    </row>
    <row r="731246" spans="22:22">
      <c r="V731246" s="42"/>
    </row>
    <row r="731441" spans="22:22">
      <c r="V731441" s="42"/>
    </row>
    <row r="731636" spans="22:22">
      <c r="V731636" s="42"/>
    </row>
    <row r="731831" spans="22:22">
      <c r="V731831" s="42"/>
    </row>
    <row r="732026" spans="22:22">
      <c r="V732026" s="42"/>
    </row>
    <row r="732221" spans="22:22">
      <c r="V732221" s="42"/>
    </row>
    <row r="732416" spans="22:22">
      <c r="V732416" s="42"/>
    </row>
    <row r="732611" spans="22:22">
      <c r="V732611" s="42"/>
    </row>
    <row r="732806" spans="22:22">
      <c r="V732806" s="42"/>
    </row>
    <row r="733001" spans="22:22">
      <c r="V733001" s="42"/>
    </row>
    <row r="733196" spans="22:22">
      <c r="V733196" s="42"/>
    </row>
    <row r="733391" spans="22:22">
      <c r="V733391" s="42"/>
    </row>
    <row r="733586" spans="22:22">
      <c r="V733586" s="42"/>
    </row>
    <row r="733781" spans="22:22">
      <c r="V733781" s="42"/>
    </row>
    <row r="733976" spans="22:22">
      <c r="V733976" s="42"/>
    </row>
    <row r="734171" spans="22:22">
      <c r="V734171" s="42"/>
    </row>
    <row r="734366" spans="22:22">
      <c r="V734366" s="42"/>
    </row>
    <row r="734561" spans="22:22">
      <c r="V734561" s="42"/>
    </row>
    <row r="734756" spans="22:22">
      <c r="V734756" s="42"/>
    </row>
    <row r="734951" spans="22:22">
      <c r="V734951" s="42"/>
    </row>
    <row r="735146" spans="22:22">
      <c r="V735146" s="42"/>
    </row>
    <row r="735341" spans="22:22">
      <c r="V735341" s="42"/>
    </row>
    <row r="735536" spans="22:22">
      <c r="V735536" s="42"/>
    </row>
    <row r="735731" spans="22:22">
      <c r="V735731" s="42"/>
    </row>
    <row r="735926" spans="22:22">
      <c r="V735926" s="42"/>
    </row>
    <row r="736121" spans="22:22">
      <c r="V736121" s="42"/>
    </row>
    <row r="736316" spans="22:22">
      <c r="V736316" s="42"/>
    </row>
    <row r="736511" spans="22:22">
      <c r="V736511" s="42"/>
    </row>
    <row r="736706" spans="22:22">
      <c r="V736706" s="42"/>
    </row>
    <row r="736901" spans="22:22">
      <c r="V736901" s="42"/>
    </row>
    <row r="737096" spans="22:22">
      <c r="V737096" s="42"/>
    </row>
    <row r="737291" spans="22:22">
      <c r="V737291" s="42"/>
    </row>
    <row r="737486" spans="22:22">
      <c r="V737486" s="42"/>
    </row>
    <row r="737681" spans="22:22">
      <c r="V737681" s="42"/>
    </row>
    <row r="737876" spans="22:22">
      <c r="V737876" s="42"/>
    </row>
    <row r="738071" spans="22:22">
      <c r="V738071" s="42"/>
    </row>
    <row r="738266" spans="22:22">
      <c r="V738266" s="42"/>
    </row>
    <row r="738461" spans="22:22">
      <c r="V738461" s="42"/>
    </row>
    <row r="738656" spans="22:22">
      <c r="V738656" s="42"/>
    </row>
    <row r="738851" spans="22:22">
      <c r="V738851" s="42"/>
    </row>
    <row r="739046" spans="22:22">
      <c r="V739046" s="42"/>
    </row>
    <row r="739241" spans="22:22">
      <c r="V739241" s="42"/>
    </row>
    <row r="739436" spans="22:22">
      <c r="V739436" s="42"/>
    </row>
    <row r="739631" spans="22:22">
      <c r="V739631" s="42"/>
    </row>
    <row r="739826" spans="22:22">
      <c r="V739826" s="42"/>
    </row>
    <row r="740021" spans="22:22">
      <c r="V740021" s="42"/>
    </row>
    <row r="740216" spans="22:22">
      <c r="V740216" s="42"/>
    </row>
    <row r="740411" spans="22:22">
      <c r="V740411" s="42"/>
    </row>
    <row r="740606" spans="22:22">
      <c r="V740606" s="42"/>
    </row>
    <row r="740801" spans="22:22">
      <c r="V740801" s="42"/>
    </row>
    <row r="740996" spans="22:22">
      <c r="V740996" s="42"/>
    </row>
    <row r="741191" spans="22:22">
      <c r="V741191" s="42"/>
    </row>
    <row r="741386" spans="22:22">
      <c r="V741386" s="42"/>
    </row>
    <row r="741581" spans="22:22">
      <c r="V741581" s="42"/>
    </row>
    <row r="741776" spans="22:22">
      <c r="V741776" s="42"/>
    </row>
    <row r="741971" spans="22:22">
      <c r="V741971" s="42"/>
    </row>
    <row r="742166" spans="22:22">
      <c r="V742166" s="42"/>
    </row>
    <row r="742361" spans="22:22">
      <c r="V742361" s="42"/>
    </row>
    <row r="742556" spans="22:22">
      <c r="V742556" s="42"/>
    </row>
    <row r="742751" spans="22:22">
      <c r="V742751" s="42"/>
    </row>
    <row r="742946" spans="22:22">
      <c r="V742946" s="42"/>
    </row>
    <row r="743141" spans="22:22">
      <c r="V743141" s="42"/>
    </row>
    <row r="743336" spans="22:22">
      <c r="V743336" s="42"/>
    </row>
    <row r="743531" spans="22:22">
      <c r="V743531" s="42"/>
    </row>
    <row r="743726" spans="22:22">
      <c r="V743726" s="42"/>
    </row>
    <row r="743921" spans="22:22">
      <c r="V743921" s="42"/>
    </row>
    <row r="744116" spans="22:22">
      <c r="V744116" s="42"/>
    </row>
    <row r="744311" spans="22:22">
      <c r="V744311" s="42"/>
    </row>
    <row r="744506" spans="22:22">
      <c r="V744506" s="42"/>
    </row>
    <row r="744701" spans="22:22">
      <c r="V744701" s="42"/>
    </row>
    <row r="744896" spans="22:22">
      <c r="V744896" s="42"/>
    </row>
    <row r="745091" spans="22:22">
      <c r="V745091" s="42"/>
    </row>
    <row r="745286" spans="22:22">
      <c r="V745286" s="42"/>
    </row>
    <row r="745481" spans="22:22">
      <c r="V745481" s="42"/>
    </row>
    <row r="745676" spans="22:22">
      <c r="V745676" s="42"/>
    </row>
    <row r="745871" spans="22:22">
      <c r="V745871" s="42"/>
    </row>
    <row r="746066" spans="22:22">
      <c r="V746066" s="42"/>
    </row>
    <row r="746261" spans="22:22">
      <c r="V746261" s="42"/>
    </row>
    <row r="746456" spans="22:22">
      <c r="V746456" s="42"/>
    </row>
    <row r="746651" spans="22:22">
      <c r="V746651" s="42"/>
    </row>
    <row r="746846" spans="22:22">
      <c r="V746846" s="42"/>
    </row>
    <row r="747041" spans="22:22">
      <c r="V747041" s="42"/>
    </row>
    <row r="747236" spans="22:22">
      <c r="V747236" s="42"/>
    </row>
    <row r="747431" spans="22:22">
      <c r="V747431" s="42"/>
    </row>
    <row r="747626" spans="22:22">
      <c r="V747626" s="42"/>
    </row>
    <row r="747821" spans="22:22">
      <c r="V747821" s="42"/>
    </row>
    <row r="748016" spans="22:22">
      <c r="V748016" s="42"/>
    </row>
    <row r="748211" spans="22:22">
      <c r="V748211" s="42"/>
    </row>
    <row r="748406" spans="22:22">
      <c r="V748406" s="42"/>
    </row>
    <row r="748601" spans="22:22">
      <c r="V748601" s="42"/>
    </row>
    <row r="748796" spans="22:22">
      <c r="V748796" s="42"/>
    </row>
    <row r="748991" spans="22:22">
      <c r="V748991" s="42"/>
    </row>
    <row r="749186" spans="22:22">
      <c r="V749186" s="42"/>
    </row>
    <row r="749381" spans="22:22">
      <c r="V749381" s="42"/>
    </row>
    <row r="749576" spans="22:22">
      <c r="V749576" s="42"/>
    </row>
    <row r="749771" spans="22:22">
      <c r="V749771" s="42"/>
    </row>
    <row r="749966" spans="22:22">
      <c r="V749966" s="42"/>
    </row>
    <row r="750161" spans="22:22">
      <c r="V750161" s="42"/>
    </row>
    <row r="750356" spans="22:22">
      <c r="V750356" s="42"/>
    </row>
    <row r="750551" spans="22:22">
      <c r="V750551" s="42"/>
    </row>
    <row r="750746" spans="22:22">
      <c r="V750746" s="42"/>
    </row>
    <row r="750941" spans="22:22">
      <c r="V750941" s="42"/>
    </row>
    <row r="751136" spans="22:22">
      <c r="V751136" s="42"/>
    </row>
    <row r="751331" spans="22:22">
      <c r="V751331" s="42"/>
    </row>
    <row r="751526" spans="22:22">
      <c r="V751526" s="42"/>
    </row>
    <row r="751721" spans="22:22">
      <c r="V751721" s="42"/>
    </row>
    <row r="751916" spans="22:22">
      <c r="V751916" s="42"/>
    </row>
    <row r="752111" spans="22:22">
      <c r="V752111" s="42"/>
    </row>
    <row r="752306" spans="22:22">
      <c r="V752306" s="42"/>
    </row>
    <row r="752501" spans="22:22">
      <c r="V752501" s="42"/>
    </row>
    <row r="752696" spans="22:22">
      <c r="V752696" s="42"/>
    </row>
    <row r="752891" spans="22:22">
      <c r="V752891" s="42"/>
    </row>
    <row r="753086" spans="22:22">
      <c r="V753086" s="42"/>
    </row>
    <row r="753281" spans="22:22">
      <c r="V753281" s="42"/>
    </row>
    <row r="753476" spans="22:22">
      <c r="V753476" s="42"/>
    </row>
    <row r="753671" spans="22:22">
      <c r="V753671" s="42"/>
    </row>
    <row r="753866" spans="22:22">
      <c r="V753866" s="42"/>
    </row>
    <row r="754061" spans="22:22">
      <c r="V754061" s="42"/>
    </row>
    <row r="754256" spans="22:22">
      <c r="V754256" s="42"/>
    </row>
    <row r="754451" spans="22:22">
      <c r="V754451" s="42"/>
    </row>
    <row r="754646" spans="22:22">
      <c r="V754646" s="42"/>
    </row>
    <row r="754841" spans="22:22">
      <c r="V754841" s="42"/>
    </row>
    <row r="755036" spans="22:22">
      <c r="V755036" s="42"/>
    </row>
    <row r="755231" spans="22:22">
      <c r="V755231" s="42"/>
    </row>
    <row r="755426" spans="22:22">
      <c r="V755426" s="42"/>
    </row>
    <row r="755621" spans="22:22">
      <c r="V755621" s="42"/>
    </row>
    <row r="755816" spans="22:22">
      <c r="V755816" s="42"/>
    </row>
    <row r="756011" spans="22:22">
      <c r="V756011" s="42"/>
    </row>
    <row r="756206" spans="22:22">
      <c r="V756206" s="42"/>
    </row>
    <row r="756401" spans="22:22">
      <c r="V756401" s="42"/>
    </row>
    <row r="756596" spans="22:22">
      <c r="V756596" s="42"/>
    </row>
    <row r="756791" spans="22:22">
      <c r="V756791" s="42"/>
    </row>
    <row r="756986" spans="22:22">
      <c r="V756986" s="42"/>
    </row>
    <row r="757181" spans="22:22">
      <c r="V757181" s="42"/>
    </row>
    <row r="757376" spans="22:22">
      <c r="V757376" s="42"/>
    </row>
    <row r="757571" spans="22:22">
      <c r="V757571" s="42"/>
    </row>
    <row r="757766" spans="22:22">
      <c r="V757766" s="42"/>
    </row>
    <row r="757961" spans="22:22">
      <c r="V757961" s="42"/>
    </row>
    <row r="758156" spans="22:22">
      <c r="V758156" s="42"/>
    </row>
    <row r="758351" spans="22:22">
      <c r="V758351" s="42"/>
    </row>
    <row r="758546" spans="22:22">
      <c r="V758546" s="42"/>
    </row>
    <row r="758741" spans="22:22">
      <c r="V758741" s="42"/>
    </row>
    <row r="758936" spans="22:22">
      <c r="V758936" s="42"/>
    </row>
    <row r="759131" spans="22:22">
      <c r="V759131" s="42"/>
    </row>
    <row r="759326" spans="22:22">
      <c r="V759326" s="42"/>
    </row>
    <row r="759521" spans="22:22">
      <c r="V759521" s="42"/>
    </row>
    <row r="759716" spans="22:22">
      <c r="V759716" s="42"/>
    </row>
    <row r="759911" spans="22:22">
      <c r="V759911" s="42"/>
    </row>
    <row r="760106" spans="22:22">
      <c r="V760106" s="42"/>
    </row>
    <row r="760301" spans="22:22">
      <c r="V760301" s="42"/>
    </row>
    <row r="760496" spans="22:22">
      <c r="V760496" s="42"/>
    </row>
    <row r="760691" spans="22:22">
      <c r="V760691" s="42"/>
    </row>
    <row r="760886" spans="22:22">
      <c r="V760886" s="42"/>
    </row>
    <row r="761081" spans="22:22">
      <c r="V761081" s="42"/>
    </row>
    <row r="761276" spans="22:22">
      <c r="V761276" s="42"/>
    </row>
    <row r="761471" spans="22:22">
      <c r="V761471" s="42"/>
    </row>
    <row r="761666" spans="22:22">
      <c r="V761666" s="42"/>
    </row>
    <row r="761861" spans="22:22">
      <c r="V761861" s="42"/>
    </row>
    <row r="762056" spans="22:22">
      <c r="V762056" s="42"/>
    </row>
    <row r="762251" spans="22:22">
      <c r="V762251" s="42"/>
    </row>
    <row r="762446" spans="22:22">
      <c r="V762446" s="42"/>
    </row>
    <row r="762641" spans="22:22">
      <c r="V762641" s="42"/>
    </row>
    <row r="762836" spans="22:22">
      <c r="V762836" s="42"/>
    </row>
    <row r="763031" spans="22:22">
      <c r="V763031" s="42"/>
    </row>
    <row r="763226" spans="22:22">
      <c r="V763226" s="42"/>
    </row>
    <row r="763421" spans="22:22">
      <c r="V763421" s="42"/>
    </row>
    <row r="763616" spans="22:22">
      <c r="V763616" s="42"/>
    </row>
    <row r="763811" spans="22:22">
      <c r="V763811" s="42"/>
    </row>
    <row r="764006" spans="22:22">
      <c r="V764006" s="42"/>
    </row>
    <row r="764201" spans="22:22">
      <c r="V764201" s="42"/>
    </row>
    <row r="764396" spans="22:22">
      <c r="V764396" s="42"/>
    </row>
    <row r="764591" spans="22:22">
      <c r="V764591" s="42"/>
    </row>
    <row r="764786" spans="22:22">
      <c r="V764786" s="42"/>
    </row>
    <row r="764981" spans="22:22">
      <c r="V764981" s="42"/>
    </row>
    <row r="765176" spans="22:22">
      <c r="V765176" s="42"/>
    </row>
    <row r="765371" spans="22:22">
      <c r="V765371" s="42"/>
    </row>
    <row r="765566" spans="22:22">
      <c r="V765566" s="42"/>
    </row>
    <row r="765761" spans="22:22">
      <c r="V765761" s="42"/>
    </row>
    <row r="765956" spans="22:22">
      <c r="V765956" s="42"/>
    </row>
    <row r="766151" spans="22:22">
      <c r="V766151" s="42"/>
    </row>
    <row r="766346" spans="22:22">
      <c r="V766346" s="42"/>
    </row>
    <row r="766541" spans="22:22">
      <c r="V766541" s="42"/>
    </row>
    <row r="766736" spans="22:22">
      <c r="V766736" s="42"/>
    </row>
    <row r="766931" spans="22:22">
      <c r="V766931" s="42"/>
    </row>
    <row r="767126" spans="22:22">
      <c r="V767126" s="42"/>
    </row>
    <row r="767321" spans="22:22">
      <c r="V767321" s="42"/>
    </row>
    <row r="767516" spans="22:22">
      <c r="V767516" s="42"/>
    </row>
    <row r="767711" spans="22:22">
      <c r="V767711" s="42"/>
    </row>
    <row r="767906" spans="22:22">
      <c r="V767906" s="42"/>
    </row>
    <row r="768101" spans="22:22">
      <c r="V768101" s="42"/>
    </row>
    <row r="768296" spans="22:22">
      <c r="V768296" s="42"/>
    </row>
    <row r="768491" spans="22:22">
      <c r="V768491" s="42"/>
    </row>
    <row r="768686" spans="22:22">
      <c r="V768686" s="42"/>
    </row>
    <row r="768881" spans="22:22">
      <c r="V768881" s="42"/>
    </row>
    <row r="769076" spans="22:22">
      <c r="V769076" s="42"/>
    </row>
    <row r="769271" spans="22:22">
      <c r="V769271" s="42"/>
    </row>
    <row r="769466" spans="22:22">
      <c r="V769466" s="42"/>
    </row>
    <row r="769661" spans="22:22">
      <c r="V769661" s="42"/>
    </row>
    <row r="769856" spans="22:22">
      <c r="V769856" s="42"/>
    </row>
    <row r="770051" spans="22:22">
      <c r="V770051" s="42"/>
    </row>
    <row r="770246" spans="22:22">
      <c r="V770246" s="42"/>
    </row>
    <row r="770441" spans="22:22">
      <c r="V770441" s="42"/>
    </row>
    <row r="770636" spans="22:22">
      <c r="V770636" s="42"/>
    </row>
    <row r="770831" spans="22:22">
      <c r="V770831" s="42"/>
    </row>
    <row r="771026" spans="22:22">
      <c r="V771026" s="42"/>
    </row>
    <row r="771221" spans="22:22">
      <c r="V771221" s="42"/>
    </row>
    <row r="771416" spans="22:22">
      <c r="V771416" s="42"/>
    </row>
    <row r="771611" spans="22:22">
      <c r="V771611" s="42"/>
    </row>
    <row r="771806" spans="22:22">
      <c r="V771806" s="42"/>
    </row>
    <row r="772001" spans="22:22">
      <c r="V772001" s="42"/>
    </row>
    <row r="772196" spans="22:22">
      <c r="V772196" s="42"/>
    </row>
    <row r="772391" spans="22:22">
      <c r="V772391" s="42"/>
    </row>
    <row r="772586" spans="22:22">
      <c r="V772586" s="42"/>
    </row>
    <row r="772781" spans="22:22">
      <c r="V772781" s="42"/>
    </row>
    <row r="772976" spans="22:22">
      <c r="V772976" s="42"/>
    </row>
    <row r="773171" spans="22:22">
      <c r="V773171" s="42"/>
    </row>
    <row r="773366" spans="22:22">
      <c r="V773366" s="42"/>
    </row>
    <row r="773561" spans="22:22">
      <c r="V773561" s="42"/>
    </row>
    <row r="773756" spans="22:22">
      <c r="V773756" s="42"/>
    </row>
    <row r="773951" spans="22:22">
      <c r="V773951" s="42"/>
    </row>
    <row r="774146" spans="22:22">
      <c r="V774146" s="42"/>
    </row>
    <row r="774341" spans="22:22">
      <c r="V774341" s="42"/>
    </row>
    <row r="774536" spans="22:22">
      <c r="V774536" s="42"/>
    </row>
    <row r="774731" spans="22:22">
      <c r="V774731" s="42"/>
    </row>
    <row r="774926" spans="22:22">
      <c r="V774926" s="42"/>
    </row>
    <row r="775121" spans="22:22">
      <c r="V775121" s="42"/>
    </row>
    <row r="775316" spans="22:22">
      <c r="V775316" s="42"/>
    </row>
    <row r="775511" spans="22:22">
      <c r="V775511" s="42"/>
    </row>
    <row r="775706" spans="22:22">
      <c r="V775706" s="42"/>
    </row>
    <row r="775901" spans="22:22">
      <c r="V775901" s="42"/>
    </row>
    <row r="776096" spans="22:22">
      <c r="V776096" s="42"/>
    </row>
    <row r="776291" spans="22:22">
      <c r="V776291" s="42"/>
    </row>
    <row r="776486" spans="22:22">
      <c r="V776486" s="42"/>
    </row>
    <row r="776681" spans="22:22">
      <c r="V776681" s="42"/>
    </row>
    <row r="776876" spans="22:22">
      <c r="V776876" s="42"/>
    </row>
    <row r="777071" spans="22:22">
      <c r="V777071" s="42"/>
    </row>
    <row r="777266" spans="22:22">
      <c r="V777266" s="42"/>
    </row>
    <row r="777461" spans="22:22">
      <c r="V777461" s="42"/>
    </row>
    <row r="777656" spans="22:22">
      <c r="V777656" s="42"/>
    </row>
    <row r="777851" spans="22:22">
      <c r="V777851" s="42"/>
    </row>
    <row r="778046" spans="22:22">
      <c r="V778046" s="42"/>
    </row>
    <row r="778241" spans="22:22">
      <c r="V778241" s="42"/>
    </row>
    <row r="778436" spans="22:22">
      <c r="V778436" s="42"/>
    </row>
    <row r="778631" spans="22:22">
      <c r="V778631" s="42"/>
    </row>
    <row r="778826" spans="22:22">
      <c r="V778826" s="42"/>
    </row>
    <row r="779021" spans="22:22">
      <c r="V779021" s="42"/>
    </row>
    <row r="779216" spans="22:22">
      <c r="V779216" s="42"/>
    </row>
    <row r="779411" spans="22:22">
      <c r="V779411" s="42"/>
    </row>
    <row r="779606" spans="22:22">
      <c r="V779606" s="42"/>
    </row>
    <row r="779801" spans="22:22">
      <c r="V779801" s="42"/>
    </row>
    <row r="779996" spans="22:22">
      <c r="V779996" s="42"/>
    </row>
    <row r="780191" spans="22:22">
      <c r="V780191" s="42"/>
    </row>
    <row r="780386" spans="22:22">
      <c r="V780386" s="42"/>
    </row>
    <row r="780581" spans="22:22">
      <c r="V780581" s="42"/>
    </row>
    <row r="780776" spans="22:22">
      <c r="V780776" s="42"/>
    </row>
    <row r="780971" spans="22:22">
      <c r="V780971" s="42"/>
    </row>
    <row r="781166" spans="22:22">
      <c r="V781166" s="42"/>
    </row>
    <row r="781361" spans="22:22">
      <c r="V781361" s="42"/>
    </row>
    <row r="781556" spans="22:22">
      <c r="V781556" s="42"/>
    </row>
    <row r="781751" spans="22:22">
      <c r="V781751" s="42"/>
    </row>
    <row r="781946" spans="22:22">
      <c r="V781946" s="42"/>
    </row>
    <row r="782141" spans="22:22">
      <c r="V782141" s="42"/>
    </row>
    <row r="782336" spans="22:22">
      <c r="V782336" s="42"/>
    </row>
    <row r="782531" spans="22:22">
      <c r="V782531" s="42"/>
    </row>
    <row r="782726" spans="22:22">
      <c r="V782726" s="42"/>
    </row>
    <row r="782921" spans="22:22">
      <c r="V782921" s="42"/>
    </row>
    <row r="783116" spans="22:22">
      <c r="V783116" s="42"/>
    </row>
    <row r="783311" spans="22:22">
      <c r="V783311" s="42"/>
    </row>
    <row r="783506" spans="22:22">
      <c r="V783506" s="42"/>
    </row>
    <row r="783701" spans="22:22">
      <c r="V783701" s="42"/>
    </row>
    <row r="783896" spans="22:22">
      <c r="V783896" s="42"/>
    </row>
    <row r="784091" spans="22:22">
      <c r="V784091" s="42"/>
    </row>
    <row r="784286" spans="22:22">
      <c r="V784286" s="42"/>
    </row>
    <row r="784481" spans="22:22">
      <c r="V784481" s="42"/>
    </row>
    <row r="784676" spans="22:22">
      <c r="V784676" s="42"/>
    </row>
    <row r="784871" spans="22:22">
      <c r="V784871" s="42"/>
    </row>
    <row r="785066" spans="22:22">
      <c r="V785066" s="42"/>
    </row>
    <row r="785261" spans="22:22">
      <c r="V785261" s="42"/>
    </row>
    <row r="785456" spans="22:22">
      <c r="V785456" s="42"/>
    </row>
    <row r="785651" spans="22:22">
      <c r="V785651" s="42"/>
    </row>
    <row r="785846" spans="22:22">
      <c r="V785846" s="42"/>
    </row>
    <row r="786041" spans="22:22">
      <c r="V786041" s="42"/>
    </row>
    <row r="786236" spans="22:22">
      <c r="V786236" s="42"/>
    </row>
    <row r="786431" spans="22:22">
      <c r="V786431" s="42"/>
    </row>
    <row r="786626" spans="22:22">
      <c r="V786626" s="42"/>
    </row>
    <row r="786821" spans="22:22">
      <c r="V786821" s="42"/>
    </row>
    <row r="787016" spans="22:22">
      <c r="V787016" s="42"/>
    </row>
    <row r="787211" spans="22:22">
      <c r="V787211" s="42"/>
    </row>
    <row r="787406" spans="22:22">
      <c r="V787406" s="42"/>
    </row>
    <row r="787601" spans="22:22">
      <c r="V787601" s="42"/>
    </row>
    <row r="787796" spans="22:22">
      <c r="V787796" s="42"/>
    </row>
    <row r="787991" spans="22:22">
      <c r="V787991" s="42"/>
    </row>
    <row r="788186" spans="22:22">
      <c r="V788186" s="42"/>
    </row>
    <row r="788381" spans="22:22">
      <c r="V788381" s="42"/>
    </row>
    <row r="788576" spans="22:22">
      <c r="V788576" s="42"/>
    </row>
    <row r="788771" spans="22:22">
      <c r="V788771" s="42"/>
    </row>
    <row r="788966" spans="22:22">
      <c r="V788966" s="42"/>
    </row>
    <row r="789161" spans="22:22">
      <c r="V789161" s="42"/>
    </row>
    <row r="789356" spans="22:22">
      <c r="V789356" s="42"/>
    </row>
    <row r="789551" spans="22:22">
      <c r="V789551" s="42"/>
    </row>
    <row r="789746" spans="22:22">
      <c r="V789746" s="42"/>
    </row>
    <row r="789941" spans="22:22">
      <c r="V789941" s="42"/>
    </row>
    <row r="790136" spans="22:22">
      <c r="V790136" s="42"/>
    </row>
    <row r="790331" spans="22:22">
      <c r="V790331" s="42"/>
    </row>
    <row r="790526" spans="22:22">
      <c r="V790526" s="42"/>
    </row>
    <row r="790721" spans="22:22">
      <c r="V790721" s="42"/>
    </row>
    <row r="790916" spans="22:22">
      <c r="V790916" s="42"/>
    </row>
    <row r="791111" spans="22:22">
      <c r="V791111" s="42"/>
    </row>
    <row r="791306" spans="22:22">
      <c r="V791306" s="42"/>
    </row>
    <row r="791501" spans="22:22">
      <c r="V791501" s="42"/>
    </row>
    <row r="791696" spans="22:22">
      <c r="V791696" s="42"/>
    </row>
    <row r="791891" spans="22:22">
      <c r="V791891" s="42"/>
    </row>
    <row r="792086" spans="22:22">
      <c r="V792086" s="42"/>
    </row>
    <row r="792281" spans="22:22">
      <c r="V792281" s="42"/>
    </row>
    <row r="792476" spans="22:22">
      <c r="V792476" s="42"/>
    </row>
    <row r="792671" spans="22:22">
      <c r="V792671" s="42"/>
    </row>
    <row r="792866" spans="22:22">
      <c r="V792866" s="42"/>
    </row>
    <row r="793061" spans="22:22">
      <c r="V793061" s="42"/>
    </row>
    <row r="793256" spans="22:22">
      <c r="V793256" s="42"/>
    </row>
    <row r="793451" spans="22:22">
      <c r="V793451" s="42"/>
    </row>
    <row r="793646" spans="22:22">
      <c r="V793646" s="42"/>
    </row>
    <row r="793841" spans="22:22">
      <c r="V793841" s="42"/>
    </row>
    <row r="794036" spans="22:22">
      <c r="V794036" s="42"/>
    </row>
    <row r="794231" spans="22:22">
      <c r="V794231" s="42"/>
    </row>
    <row r="794426" spans="22:22">
      <c r="V794426" s="42"/>
    </row>
    <row r="794621" spans="22:22">
      <c r="V794621" s="42"/>
    </row>
    <row r="794816" spans="22:22">
      <c r="V794816" s="42"/>
    </row>
    <row r="795011" spans="22:22">
      <c r="V795011" s="42"/>
    </row>
    <row r="795206" spans="22:22">
      <c r="V795206" s="42"/>
    </row>
    <row r="795401" spans="22:22">
      <c r="V795401" s="42"/>
    </row>
    <row r="795596" spans="22:22">
      <c r="V795596" s="42"/>
    </row>
    <row r="795791" spans="22:22">
      <c r="V795791" s="42"/>
    </row>
    <row r="795986" spans="22:22">
      <c r="V795986" s="42"/>
    </row>
    <row r="796181" spans="22:22">
      <c r="V796181" s="42"/>
    </row>
    <row r="796376" spans="22:22">
      <c r="V796376" s="42"/>
    </row>
    <row r="796571" spans="22:22">
      <c r="V796571" s="42"/>
    </row>
    <row r="796766" spans="22:22">
      <c r="V796766" s="42"/>
    </row>
    <row r="796961" spans="22:22">
      <c r="V796961" s="42"/>
    </row>
    <row r="797156" spans="22:22">
      <c r="V797156" s="42"/>
    </row>
    <row r="797351" spans="22:22">
      <c r="V797351" s="42"/>
    </row>
    <row r="797546" spans="22:22">
      <c r="V797546" s="42"/>
    </row>
    <row r="797741" spans="22:22">
      <c r="V797741" s="42"/>
    </row>
    <row r="797936" spans="22:22">
      <c r="V797936" s="42"/>
    </row>
    <row r="798131" spans="22:22">
      <c r="V798131" s="42"/>
    </row>
    <row r="798326" spans="22:22">
      <c r="V798326" s="42"/>
    </row>
    <row r="798521" spans="22:22">
      <c r="V798521" s="42"/>
    </row>
    <row r="798716" spans="22:22">
      <c r="V798716" s="42"/>
    </row>
    <row r="798911" spans="22:22">
      <c r="V798911" s="42"/>
    </row>
    <row r="799106" spans="22:22">
      <c r="V799106" s="42"/>
    </row>
    <row r="799301" spans="22:22">
      <c r="V799301" s="42"/>
    </row>
    <row r="799496" spans="22:22">
      <c r="V799496" s="42"/>
    </row>
    <row r="799691" spans="22:22">
      <c r="V799691" s="42"/>
    </row>
    <row r="799886" spans="22:22">
      <c r="V799886" s="42"/>
    </row>
    <row r="800081" spans="22:22">
      <c r="V800081" s="42"/>
    </row>
    <row r="800276" spans="22:22">
      <c r="V800276" s="42"/>
    </row>
    <row r="800471" spans="22:22">
      <c r="V800471" s="42"/>
    </row>
    <row r="800666" spans="22:22">
      <c r="V800666" s="42"/>
    </row>
    <row r="800861" spans="22:22">
      <c r="V800861" s="42"/>
    </row>
    <row r="801056" spans="22:22">
      <c r="V801056" s="42"/>
    </row>
    <row r="801251" spans="22:22">
      <c r="V801251" s="42"/>
    </row>
    <row r="801446" spans="22:22">
      <c r="V801446" s="42"/>
    </row>
    <row r="801641" spans="22:22">
      <c r="V801641" s="42"/>
    </row>
    <row r="801836" spans="22:22">
      <c r="V801836" s="42"/>
    </row>
    <row r="802031" spans="22:22">
      <c r="V802031" s="42"/>
    </row>
    <row r="802226" spans="22:22">
      <c r="V802226" s="42"/>
    </row>
    <row r="802421" spans="22:22">
      <c r="V802421" s="42"/>
    </row>
    <row r="802616" spans="22:22">
      <c r="V802616" s="42"/>
    </row>
    <row r="802811" spans="22:22">
      <c r="V802811" s="42"/>
    </row>
    <row r="803006" spans="22:22">
      <c r="V803006" s="42"/>
    </row>
    <row r="803201" spans="22:22">
      <c r="V803201" s="42"/>
    </row>
    <row r="803396" spans="22:22">
      <c r="V803396" s="42"/>
    </row>
    <row r="803591" spans="22:22">
      <c r="V803591" s="42"/>
    </row>
    <row r="803786" spans="22:22">
      <c r="V803786" s="42"/>
    </row>
    <row r="803981" spans="22:22">
      <c r="V803981" s="42"/>
    </row>
    <row r="804176" spans="22:22">
      <c r="V804176" s="42"/>
    </row>
    <row r="804371" spans="22:22">
      <c r="V804371" s="42"/>
    </row>
    <row r="804566" spans="22:22">
      <c r="V804566" s="42"/>
    </row>
    <row r="804761" spans="22:22">
      <c r="V804761" s="42"/>
    </row>
    <row r="804956" spans="22:22">
      <c r="V804956" s="42"/>
    </row>
    <row r="805151" spans="22:22">
      <c r="V805151" s="42"/>
    </row>
    <row r="805346" spans="22:22">
      <c r="V805346" s="42"/>
    </row>
    <row r="805541" spans="22:22">
      <c r="V805541" s="42"/>
    </row>
    <row r="805736" spans="22:22">
      <c r="V805736" s="42"/>
    </row>
    <row r="805931" spans="22:22">
      <c r="V805931" s="42"/>
    </row>
    <row r="806126" spans="22:22">
      <c r="V806126" s="42"/>
    </row>
    <row r="806321" spans="22:22">
      <c r="V806321" s="42"/>
    </row>
    <row r="806516" spans="22:22">
      <c r="V806516" s="42"/>
    </row>
    <row r="806711" spans="22:22">
      <c r="V806711" s="42"/>
    </row>
    <row r="806906" spans="22:22">
      <c r="V806906" s="42"/>
    </row>
    <row r="807101" spans="22:22">
      <c r="V807101" s="42"/>
    </row>
    <row r="807296" spans="22:22">
      <c r="V807296" s="42"/>
    </row>
    <row r="807491" spans="22:22">
      <c r="V807491" s="42"/>
    </row>
    <row r="807686" spans="22:22">
      <c r="V807686" s="42"/>
    </row>
    <row r="807881" spans="22:22">
      <c r="V807881" s="42"/>
    </row>
    <row r="808076" spans="22:22">
      <c r="V808076" s="42"/>
    </row>
    <row r="808271" spans="22:22">
      <c r="V808271" s="42"/>
    </row>
    <row r="808466" spans="22:22">
      <c r="V808466" s="42"/>
    </row>
    <row r="808661" spans="22:22">
      <c r="V808661" s="42"/>
    </row>
    <row r="808856" spans="22:22">
      <c r="V808856" s="42"/>
    </row>
    <row r="809051" spans="22:22">
      <c r="V809051" s="42"/>
    </row>
    <row r="809246" spans="22:22">
      <c r="V809246" s="42"/>
    </row>
    <row r="809441" spans="22:22">
      <c r="V809441" s="42"/>
    </row>
    <row r="809636" spans="22:22">
      <c r="V809636" s="42"/>
    </row>
    <row r="809831" spans="22:22">
      <c r="V809831" s="42"/>
    </row>
    <row r="810026" spans="22:22">
      <c r="V810026" s="42"/>
    </row>
    <row r="810221" spans="22:22">
      <c r="V810221" s="42"/>
    </row>
    <row r="810416" spans="22:22">
      <c r="V810416" s="42"/>
    </row>
    <row r="810611" spans="22:22">
      <c r="V810611" s="42"/>
    </row>
    <row r="810806" spans="22:22">
      <c r="V810806" s="42"/>
    </row>
    <row r="811001" spans="22:22">
      <c r="V811001" s="42"/>
    </row>
    <row r="811196" spans="22:22">
      <c r="V811196" s="42"/>
    </row>
    <row r="811391" spans="22:22">
      <c r="V811391" s="42"/>
    </row>
    <row r="811586" spans="22:22">
      <c r="V811586" s="42"/>
    </row>
    <row r="811781" spans="22:22">
      <c r="V811781" s="42"/>
    </row>
    <row r="811976" spans="22:22">
      <c r="V811976" s="42"/>
    </row>
    <row r="812171" spans="22:22">
      <c r="V812171" s="42"/>
    </row>
    <row r="812366" spans="22:22">
      <c r="V812366" s="42"/>
    </row>
    <row r="812561" spans="22:22">
      <c r="V812561" s="42"/>
    </row>
    <row r="812756" spans="22:22">
      <c r="V812756" s="42"/>
    </row>
    <row r="812951" spans="22:22">
      <c r="V812951" s="42"/>
    </row>
    <row r="813146" spans="22:22">
      <c r="V813146" s="42"/>
    </row>
    <row r="813341" spans="22:22">
      <c r="V813341" s="42"/>
    </row>
    <row r="813536" spans="22:22">
      <c r="V813536" s="42"/>
    </row>
    <row r="813731" spans="22:22">
      <c r="V813731" s="42"/>
    </row>
    <row r="813926" spans="22:22">
      <c r="V813926" s="42"/>
    </row>
    <row r="814121" spans="22:22">
      <c r="V814121" s="42"/>
    </row>
    <row r="814316" spans="22:22">
      <c r="V814316" s="42"/>
    </row>
    <row r="814511" spans="22:22">
      <c r="V814511" s="42"/>
    </row>
    <row r="814706" spans="22:22">
      <c r="V814706" s="42"/>
    </row>
    <row r="814901" spans="22:22">
      <c r="V814901" s="42"/>
    </row>
    <row r="815096" spans="22:22">
      <c r="V815096" s="42"/>
    </row>
    <row r="815291" spans="22:22">
      <c r="V815291" s="42"/>
    </row>
    <row r="815486" spans="22:22">
      <c r="V815486" s="42"/>
    </row>
    <row r="815681" spans="22:22">
      <c r="V815681" s="42"/>
    </row>
    <row r="815876" spans="22:22">
      <c r="V815876" s="42"/>
    </row>
    <row r="816071" spans="22:22">
      <c r="V816071" s="42"/>
    </row>
    <row r="816266" spans="22:22">
      <c r="V816266" s="42"/>
    </row>
    <row r="816461" spans="22:22">
      <c r="V816461" s="42"/>
    </row>
    <row r="816656" spans="22:22">
      <c r="V816656" s="42"/>
    </row>
    <row r="816851" spans="22:22">
      <c r="V816851" s="42"/>
    </row>
    <row r="817046" spans="22:22">
      <c r="V817046" s="42"/>
    </row>
    <row r="817241" spans="22:22">
      <c r="V817241" s="42"/>
    </row>
    <row r="817436" spans="22:22">
      <c r="V817436" s="42"/>
    </row>
    <row r="817631" spans="22:22">
      <c r="V817631" s="42"/>
    </row>
    <row r="817826" spans="22:22">
      <c r="V817826" s="42"/>
    </row>
    <row r="818021" spans="22:22">
      <c r="V818021" s="42"/>
    </row>
    <row r="818216" spans="22:22">
      <c r="V818216" s="42"/>
    </row>
    <row r="818411" spans="22:22">
      <c r="V818411" s="42"/>
    </row>
    <row r="818606" spans="22:22">
      <c r="V818606" s="42"/>
    </row>
    <row r="818801" spans="22:22">
      <c r="V818801" s="42"/>
    </row>
    <row r="818996" spans="22:22">
      <c r="V818996" s="42"/>
    </row>
    <row r="819191" spans="22:22">
      <c r="V819191" s="42"/>
    </row>
    <row r="819386" spans="22:22">
      <c r="V819386" s="42"/>
    </row>
    <row r="819581" spans="22:22">
      <c r="V819581" s="42"/>
    </row>
    <row r="819776" spans="22:22">
      <c r="V819776" s="42"/>
    </row>
    <row r="819971" spans="22:22">
      <c r="V819971" s="42"/>
    </row>
    <row r="820166" spans="22:22">
      <c r="V820166" s="42"/>
    </row>
    <row r="820361" spans="22:22">
      <c r="V820361" s="42"/>
    </row>
    <row r="820556" spans="22:22">
      <c r="V820556" s="42"/>
    </row>
    <row r="820751" spans="22:22">
      <c r="V820751" s="42"/>
    </row>
    <row r="820946" spans="22:22">
      <c r="V820946" s="42"/>
    </row>
    <row r="821141" spans="22:22">
      <c r="V821141" s="42"/>
    </row>
    <row r="821336" spans="22:22">
      <c r="V821336" s="42"/>
    </row>
    <row r="821531" spans="22:22">
      <c r="V821531" s="42"/>
    </row>
    <row r="821726" spans="22:22">
      <c r="V821726" s="42"/>
    </row>
    <row r="821921" spans="22:22">
      <c r="V821921" s="42"/>
    </row>
    <row r="822116" spans="22:22">
      <c r="V822116" s="42"/>
    </row>
    <row r="822311" spans="22:22">
      <c r="V822311" s="42"/>
    </row>
    <row r="822506" spans="22:22">
      <c r="V822506" s="42"/>
    </row>
    <row r="822701" spans="22:22">
      <c r="V822701" s="42"/>
    </row>
    <row r="822896" spans="22:22">
      <c r="V822896" s="42"/>
    </row>
    <row r="823091" spans="22:22">
      <c r="V823091" s="42"/>
    </row>
    <row r="823286" spans="22:22">
      <c r="V823286" s="42"/>
    </row>
    <row r="823481" spans="22:22">
      <c r="V823481" s="42"/>
    </row>
    <row r="823676" spans="22:22">
      <c r="V823676" s="42"/>
    </row>
    <row r="823871" spans="22:22">
      <c r="V823871" s="42"/>
    </row>
    <row r="824066" spans="22:22">
      <c r="V824066" s="42"/>
    </row>
    <row r="824261" spans="22:22">
      <c r="V824261" s="42"/>
    </row>
    <row r="824456" spans="22:22">
      <c r="V824456" s="42"/>
    </row>
    <row r="824651" spans="22:22">
      <c r="V824651" s="42"/>
    </row>
    <row r="824846" spans="22:22">
      <c r="V824846" s="42"/>
    </row>
    <row r="825041" spans="22:22">
      <c r="V825041" s="42"/>
    </row>
    <row r="825236" spans="22:22">
      <c r="V825236" s="42"/>
    </row>
    <row r="825431" spans="22:22">
      <c r="V825431" s="42"/>
    </row>
    <row r="825626" spans="22:22">
      <c r="V825626" s="42"/>
    </row>
    <row r="825821" spans="22:22">
      <c r="V825821" s="42"/>
    </row>
    <row r="826016" spans="22:22">
      <c r="V826016" s="42"/>
    </row>
    <row r="826211" spans="22:22">
      <c r="V826211" s="42"/>
    </row>
    <row r="826406" spans="22:22">
      <c r="V826406" s="42"/>
    </row>
    <row r="826601" spans="22:22">
      <c r="V826601" s="42"/>
    </row>
    <row r="826796" spans="22:22">
      <c r="V826796" s="42"/>
    </row>
    <row r="826991" spans="22:22">
      <c r="V826991" s="42"/>
    </row>
    <row r="827186" spans="22:22">
      <c r="V827186" s="42"/>
    </row>
    <row r="827381" spans="22:22">
      <c r="V827381" s="42"/>
    </row>
    <row r="827576" spans="22:22">
      <c r="V827576" s="42"/>
    </row>
    <row r="827771" spans="22:22">
      <c r="V827771" s="42"/>
    </row>
    <row r="827966" spans="22:22">
      <c r="V827966" s="42"/>
    </row>
    <row r="828161" spans="22:22">
      <c r="V828161" s="42"/>
    </row>
    <row r="828356" spans="22:22">
      <c r="V828356" s="42"/>
    </row>
    <row r="828551" spans="22:22">
      <c r="V828551" s="42"/>
    </row>
    <row r="828746" spans="22:22">
      <c r="V828746" s="42"/>
    </row>
    <row r="828941" spans="22:22">
      <c r="V828941" s="42"/>
    </row>
    <row r="829136" spans="22:22">
      <c r="V829136" s="42"/>
    </row>
    <row r="829331" spans="22:22">
      <c r="V829331" s="42"/>
    </row>
    <row r="829526" spans="22:22">
      <c r="V829526" s="42"/>
    </row>
    <row r="829721" spans="22:22">
      <c r="V829721" s="42"/>
    </row>
    <row r="829916" spans="22:22">
      <c r="V829916" s="42"/>
    </row>
    <row r="830111" spans="22:22">
      <c r="V830111" s="42"/>
    </row>
    <row r="830306" spans="22:22">
      <c r="V830306" s="42"/>
    </row>
    <row r="830501" spans="22:22">
      <c r="V830501" s="42"/>
    </row>
    <row r="830696" spans="22:22">
      <c r="V830696" s="42"/>
    </row>
    <row r="830891" spans="22:22">
      <c r="V830891" s="42"/>
    </row>
    <row r="831086" spans="22:22">
      <c r="V831086" s="42"/>
    </row>
    <row r="831281" spans="22:22">
      <c r="V831281" s="42"/>
    </row>
    <row r="831476" spans="22:22">
      <c r="V831476" s="42"/>
    </row>
    <row r="831671" spans="22:22">
      <c r="V831671" s="42"/>
    </row>
    <row r="831866" spans="22:22">
      <c r="V831866" s="42"/>
    </row>
    <row r="832061" spans="22:22">
      <c r="V832061" s="42"/>
    </row>
    <row r="832256" spans="22:22">
      <c r="V832256" s="42"/>
    </row>
    <row r="832451" spans="22:22">
      <c r="V832451" s="42"/>
    </row>
    <row r="832646" spans="22:22">
      <c r="V832646" s="42"/>
    </row>
    <row r="832841" spans="22:22">
      <c r="V832841" s="42"/>
    </row>
    <row r="833036" spans="22:22">
      <c r="V833036" s="42"/>
    </row>
    <row r="833231" spans="22:22">
      <c r="V833231" s="42"/>
    </row>
    <row r="833426" spans="22:22">
      <c r="V833426" s="42"/>
    </row>
    <row r="833621" spans="22:22">
      <c r="V833621" s="42"/>
    </row>
    <row r="833816" spans="22:22">
      <c r="V833816" s="42"/>
    </row>
    <row r="834011" spans="22:22">
      <c r="V834011" s="42"/>
    </row>
    <row r="834206" spans="22:22">
      <c r="V834206" s="42"/>
    </row>
    <row r="834401" spans="22:22">
      <c r="V834401" s="42"/>
    </row>
    <row r="834596" spans="22:22">
      <c r="V834596" s="42"/>
    </row>
    <row r="834791" spans="22:22">
      <c r="V834791" s="42"/>
    </row>
    <row r="834986" spans="22:22">
      <c r="V834986" s="42"/>
    </row>
    <row r="835181" spans="22:22">
      <c r="V835181" s="42"/>
    </row>
    <row r="835376" spans="22:22">
      <c r="V835376" s="42"/>
    </row>
    <row r="835571" spans="22:22">
      <c r="V835571" s="42"/>
    </row>
    <row r="835766" spans="22:22">
      <c r="V835766" s="42"/>
    </row>
    <row r="835961" spans="22:22">
      <c r="V835961" s="42"/>
    </row>
    <row r="836156" spans="22:22">
      <c r="V836156" s="42"/>
    </row>
    <row r="836351" spans="22:22">
      <c r="V836351" s="42"/>
    </row>
    <row r="836546" spans="22:22">
      <c r="V836546" s="42"/>
    </row>
    <row r="836741" spans="22:22">
      <c r="V836741" s="42"/>
    </row>
    <row r="836936" spans="22:22">
      <c r="V836936" s="42"/>
    </row>
    <row r="837131" spans="22:22">
      <c r="V837131" s="42"/>
    </row>
    <row r="837326" spans="22:22">
      <c r="V837326" s="42"/>
    </row>
    <row r="837521" spans="22:22">
      <c r="V837521" s="42"/>
    </row>
    <row r="837716" spans="22:22">
      <c r="V837716" s="42"/>
    </row>
    <row r="837911" spans="22:22">
      <c r="V837911" s="42"/>
    </row>
    <row r="838106" spans="22:22">
      <c r="V838106" s="42"/>
    </row>
    <row r="838301" spans="22:22">
      <c r="V838301" s="42"/>
    </row>
    <row r="838496" spans="22:22">
      <c r="V838496" s="42"/>
    </row>
    <row r="838691" spans="22:22">
      <c r="V838691" s="42"/>
    </row>
    <row r="838886" spans="22:22">
      <c r="V838886" s="42"/>
    </row>
    <row r="839081" spans="22:22">
      <c r="V839081" s="42"/>
    </row>
    <row r="839276" spans="22:22">
      <c r="V839276" s="42"/>
    </row>
    <row r="839471" spans="22:22">
      <c r="V839471" s="42"/>
    </row>
    <row r="839666" spans="22:22">
      <c r="V839666" s="42"/>
    </row>
    <row r="839861" spans="22:22">
      <c r="V839861" s="42"/>
    </row>
    <row r="840056" spans="22:22">
      <c r="V840056" s="42"/>
    </row>
    <row r="840251" spans="22:22">
      <c r="V840251" s="42"/>
    </row>
    <row r="840446" spans="22:22">
      <c r="V840446" s="42"/>
    </row>
    <row r="840641" spans="22:22">
      <c r="V840641" s="42"/>
    </row>
    <row r="840836" spans="22:22">
      <c r="V840836" s="42"/>
    </row>
    <row r="841031" spans="22:22">
      <c r="V841031" s="42"/>
    </row>
    <row r="841226" spans="22:22">
      <c r="V841226" s="42"/>
    </row>
    <row r="841421" spans="22:22">
      <c r="V841421" s="42"/>
    </row>
    <row r="841616" spans="22:22">
      <c r="V841616" s="42"/>
    </row>
    <row r="841811" spans="22:22">
      <c r="V841811" s="42"/>
    </row>
    <row r="842006" spans="22:22">
      <c r="V842006" s="42"/>
    </row>
    <row r="842201" spans="22:22">
      <c r="V842201" s="42"/>
    </row>
    <row r="842396" spans="22:22">
      <c r="V842396" s="42"/>
    </row>
    <row r="842591" spans="22:22">
      <c r="V842591" s="42"/>
    </row>
    <row r="842786" spans="22:22">
      <c r="V842786" s="42"/>
    </row>
    <row r="842981" spans="22:22">
      <c r="V842981" s="42"/>
    </row>
    <row r="843176" spans="22:22">
      <c r="V843176" s="42"/>
    </row>
    <row r="843371" spans="22:22">
      <c r="V843371" s="42"/>
    </row>
    <row r="843566" spans="22:22">
      <c r="V843566" s="42"/>
    </row>
    <row r="843761" spans="22:22">
      <c r="V843761" s="42"/>
    </row>
    <row r="843956" spans="22:22">
      <c r="V843956" s="42"/>
    </row>
    <row r="844151" spans="22:22">
      <c r="V844151" s="42"/>
    </row>
    <row r="844346" spans="22:22">
      <c r="V844346" s="42"/>
    </row>
    <row r="844541" spans="22:22">
      <c r="V844541" s="42"/>
    </row>
    <row r="844736" spans="22:22">
      <c r="V844736" s="42"/>
    </row>
    <row r="844931" spans="22:22">
      <c r="V844931" s="42"/>
    </row>
    <row r="845126" spans="22:22">
      <c r="V845126" s="42"/>
    </row>
    <row r="845321" spans="22:22">
      <c r="V845321" s="42"/>
    </row>
    <row r="845516" spans="22:22">
      <c r="V845516" s="42"/>
    </row>
    <row r="845711" spans="22:22">
      <c r="V845711" s="42"/>
    </row>
    <row r="845906" spans="22:22">
      <c r="V845906" s="42"/>
    </row>
    <row r="846101" spans="22:22">
      <c r="V846101" s="42"/>
    </row>
    <row r="846296" spans="22:22">
      <c r="V846296" s="42"/>
    </row>
    <row r="846491" spans="22:22">
      <c r="V846491" s="42"/>
    </row>
    <row r="846686" spans="22:22">
      <c r="V846686" s="42"/>
    </row>
    <row r="846881" spans="22:22">
      <c r="V846881" s="42"/>
    </row>
    <row r="847076" spans="22:22">
      <c r="V847076" s="42"/>
    </row>
    <row r="847271" spans="22:22">
      <c r="V847271" s="42"/>
    </row>
    <row r="847466" spans="22:22">
      <c r="V847466" s="42"/>
    </row>
    <row r="847661" spans="22:22">
      <c r="V847661" s="42"/>
    </row>
    <row r="847856" spans="22:22">
      <c r="V847856" s="42"/>
    </row>
    <row r="848051" spans="22:22">
      <c r="V848051" s="42"/>
    </row>
    <row r="848246" spans="22:22">
      <c r="V848246" s="42"/>
    </row>
    <row r="848441" spans="22:22">
      <c r="V848441" s="42"/>
    </row>
    <row r="848636" spans="22:22">
      <c r="V848636" s="42"/>
    </row>
    <row r="848831" spans="22:22">
      <c r="V848831" s="42"/>
    </row>
    <row r="849026" spans="22:22">
      <c r="V849026" s="42"/>
    </row>
    <row r="849221" spans="22:22">
      <c r="V849221" s="42"/>
    </row>
    <row r="849416" spans="22:22">
      <c r="V849416" s="42"/>
    </row>
    <row r="849611" spans="22:22">
      <c r="V849611" s="42"/>
    </row>
    <row r="849806" spans="22:22">
      <c r="V849806" s="42"/>
    </row>
    <row r="850001" spans="22:22">
      <c r="V850001" s="42"/>
    </row>
    <row r="850196" spans="22:22">
      <c r="V850196" s="42"/>
    </row>
    <row r="850391" spans="22:22">
      <c r="V850391" s="42"/>
    </row>
    <row r="850586" spans="22:22">
      <c r="V850586" s="42"/>
    </row>
    <row r="850781" spans="22:22">
      <c r="V850781" s="42"/>
    </row>
    <row r="850976" spans="22:22">
      <c r="V850976" s="42"/>
    </row>
    <row r="851171" spans="22:22">
      <c r="V851171" s="42"/>
    </row>
    <row r="851366" spans="22:22">
      <c r="V851366" s="42"/>
    </row>
    <row r="851561" spans="22:22">
      <c r="V851561" s="42"/>
    </row>
    <row r="851756" spans="22:22">
      <c r="V851756" s="42"/>
    </row>
    <row r="851951" spans="22:22">
      <c r="V851951" s="42"/>
    </row>
    <row r="852146" spans="22:22">
      <c r="V852146" s="42"/>
    </row>
    <row r="852341" spans="22:22">
      <c r="V852341" s="42"/>
    </row>
    <row r="852536" spans="22:22">
      <c r="V852536" s="42"/>
    </row>
    <row r="852731" spans="22:22">
      <c r="V852731" s="42"/>
    </row>
    <row r="852926" spans="22:22">
      <c r="V852926" s="42"/>
    </row>
    <row r="853121" spans="22:22">
      <c r="V853121" s="42"/>
    </row>
    <row r="853316" spans="22:22">
      <c r="V853316" s="42"/>
    </row>
    <row r="853511" spans="22:22">
      <c r="V853511" s="42"/>
    </row>
    <row r="853706" spans="22:22">
      <c r="V853706" s="42"/>
    </row>
    <row r="853901" spans="22:22">
      <c r="V853901" s="42"/>
    </row>
    <row r="854096" spans="22:22">
      <c r="V854096" s="42"/>
    </row>
    <row r="854291" spans="22:22">
      <c r="V854291" s="42"/>
    </row>
    <row r="854486" spans="22:22">
      <c r="V854486" s="42"/>
    </row>
    <row r="854681" spans="22:22">
      <c r="V854681" s="42"/>
    </row>
    <row r="854876" spans="22:22">
      <c r="V854876" s="42"/>
    </row>
    <row r="855071" spans="22:22">
      <c r="V855071" s="42"/>
    </row>
    <row r="855266" spans="22:22">
      <c r="V855266" s="42"/>
    </row>
    <row r="855461" spans="22:22">
      <c r="V855461" s="42"/>
    </row>
    <row r="855656" spans="22:22">
      <c r="V855656" s="42"/>
    </row>
    <row r="855851" spans="22:22">
      <c r="V855851" s="42"/>
    </row>
    <row r="856046" spans="22:22">
      <c r="V856046" s="42"/>
    </row>
    <row r="856241" spans="22:22">
      <c r="V856241" s="42"/>
    </row>
    <row r="856436" spans="22:22">
      <c r="V856436" s="42"/>
    </row>
    <row r="856631" spans="22:22">
      <c r="V856631" s="42"/>
    </row>
    <row r="856826" spans="22:22">
      <c r="V856826" s="42"/>
    </row>
    <row r="857021" spans="22:22">
      <c r="V857021" s="42"/>
    </row>
    <row r="857216" spans="22:22">
      <c r="V857216" s="42"/>
    </row>
    <row r="857411" spans="22:22">
      <c r="V857411" s="42"/>
    </row>
    <row r="857606" spans="22:22">
      <c r="V857606" s="42"/>
    </row>
    <row r="857801" spans="22:22">
      <c r="V857801" s="42"/>
    </row>
    <row r="857996" spans="22:22">
      <c r="V857996" s="42"/>
    </row>
    <row r="858191" spans="22:22">
      <c r="V858191" s="42"/>
    </row>
    <row r="858386" spans="22:22">
      <c r="V858386" s="42"/>
    </row>
    <row r="858581" spans="22:22">
      <c r="V858581" s="42"/>
    </row>
    <row r="858776" spans="22:22">
      <c r="V858776" s="42"/>
    </row>
    <row r="858971" spans="22:22">
      <c r="V858971" s="42"/>
    </row>
    <row r="859166" spans="22:22">
      <c r="V859166" s="42"/>
    </row>
    <row r="859361" spans="22:22">
      <c r="V859361" s="42"/>
    </row>
    <row r="859556" spans="22:22">
      <c r="V859556" s="42"/>
    </row>
    <row r="859751" spans="22:22">
      <c r="V859751" s="42"/>
    </row>
    <row r="859946" spans="22:22">
      <c r="V859946" s="42"/>
    </row>
    <row r="860141" spans="22:22">
      <c r="V860141" s="42"/>
    </row>
    <row r="860336" spans="22:22">
      <c r="V860336" s="42"/>
    </row>
    <row r="860531" spans="22:22">
      <c r="V860531" s="42"/>
    </row>
    <row r="860726" spans="22:22">
      <c r="V860726" s="42"/>
    </row>
    <row r="860921" spans="22:22">
      <c r="V860921" s="42"/>
    </row>
    <row r="861116" spans="22:22">
      <c r="V861116" s="42"/>
    </row>
    <row r="861311" spans="22:22">
      <c r="V861311" s="42"/>
    </row>
    <row r="861506" spans="22:22">
      <c r="V861506" s="42"/>
    </row>
    <row r="861701" spans="22:22">
      <c r="V861701" s="42"/>
    </row>
    <row r="861896" spans="22:22">
      <c r="V861896" s="42"/>
    </row>
    <row r="862091" spans="22:22">
      <c r="V862091" s="42"/>
    </row>
    <row r="862286" spans="22:22">
      <c r="V862286" s="42"/>
    </row>
    <row r="862481" spans="22:22">
      <c r="V862481" s="42"/>
    </row>
    <row r="862676" spans="22:22">
      <c r="V862676" s="42"/>
    </row>
    <row r="862871" spans="22:22">
      <c r="V862871" s="42"/>
    </row>
    <row r="863066" spans="22:22">
      <c r="V863066" s="42"/>
    </row>
    <row r="863261" spans="22:22">
      <c r="V863261" s="42"/>
    </row>
    <row r="863456" spans="22:22">
      <c r="V863456" s="42"/>
    </row>
    <row r="863651" spans="22:22">
      <c r="V863651" s="42"/>
    </row>
    <row r="863846" spans="22:22">
      <c r="V863846" s="42"/>
    </row>
    <row r="864041" spans="22:22">
      <c r="V864041" s="42"/>
    </row>
    <row r="864236" spans="22:22">
      <c r="V864236" s="42"/>
    </row>
    <row r="864431" spans="22:22">
      <c r="V864431" s="42"/>
    </row>
    <row r="864626" spans="22:22">
      <c r="V864626" s="42"/>
    </row>
    <row r="864821" spans="22:22">
      <c r="V864821" s="42"/>
    </row>
    <row r="865016" spans="22:22">
      <c r="V865016" s="42"/>
    </row>
    <row r="865211" spans="22:22">
      <c r="V865211" s="42"/>
    </row>
    <row r="865406" spans="22:22">
      <c r="V865406" s="42"/>
    </row>
    <row r="865601" spans="22:22">
      <c r="V865601" s="42"/>
    </row>
    <row r="865796" spans="22:22">
      <c r="V865796" s="42"/>
    </row>
    <row r="865991" spans="22:22">
      <c r="V865991" s="42"/>
    </row>
    <row r="866186" spans="22:22">
      <c r="V866186" s="42"/>
    </row>
    <row r="866381" spans="22:22">
      <c r="V866381" s="42"/>
    </row>
    <row r="866576" spans="22:22">
      <c r="V866576" s="42"/>
    </row>
    <row r="866771" spans="22:22">
      <c r="V866771" s="42"/>
    </row>
    <row r="866966" spans="22:22">
      <c r="V866966" s="42"/>
    </row>
    <row r="867161" spans="22:22">
      <c r="V867161" s="42"/>
    </row>
    <row r="867356" spans="22:22">
      <c r="V867356" s="42"/>
    </row>
    <row r="867551" spans="22:22">
      <c r="V867551" s="42"/>
    </row>
    <row r="867746" spans="22:22">
      <c r="V867746" s="42"/>
    </row>
    <row r="867941" spans="22:22">
      <c r="V867941" s="42"/>
    </row>
    <row r="868136" spans="22:22">
      <c r="V868136" s="42"/>
    </row>
    <row r="868331" spans="22:22">
      <c r="V868331" s="42"/>
    </row>
    <row r="868526" spans="22:22">
      <c r="V868526" s="42"/>
    </row>
    <row r="868721" spans="22:22">
      <c r="V868721" s="42"/>
    </row>
    <row r="868916" spans="22:22">
      <c r="V868916" s="42"/>
    </row>
    <row r="869111" spans="22:22">
      <c r="V869111" s="42"/>
    </row>
    <row r="869306" spans="22:22">
      <c r="V869306" s="42"/>
    </row>
    <row r="869501" spans="22:22">
      <c r="V869501" s="42"/>
    </row>
    <row r="869696" spans="22:22">
      <c r="V869696" s="42"/>
    </row>
    <row r="869891" spans="22:22">
      <c r="V869891" s="42"/>
    </row>
    <row r="870086" spans="22:22">
      <c r="V870086" s="42"/>
    </row>
    <row r="870281" spans="22:22">
      <c r="V870281" s="42"/>
    </row>
    <row r="870476" spans="22:22">
      <c r="V870476" s="42"/>
    </row>
    <row r="870671" spans="22:22">
      <c r="V870671" s="42"/>
    </row>
    <row r="870866" spans="22:22">
      <c r="V870866" s="42"/>
    </row>
    <row r="871061" spans="22:22">
      <c r="V871061" s="42"/>
    </row>
    <row r="871256" spans="22:22">
      <c r="V871256" s="42"/>
    </row>
    <row r="871451" spans="22:22">
      <c r="V871451" s="42"/>
    </row>
    <row r="871646" spans="22:22">
      <c r="V871646" s="42"/>
    </row>
    <row r="871841" spans="22:22">
      <c r="V871841" s="42"/>
    </row>
    <row r="872036" spans="22:22">
      <c r="V872036" s="42"/>
    </row>
    <row r="872231" spans="22:22">
      <c r="V872231" s="42"/>
    </row>
    <row r="872426" spans="22:22">
      <c r="V872426" s="42"/>
    </row>
    <row r="872621" spans="22:22">
      <c r="V872621" s="42"/>
    </row>
    <row r="872816" spans="22:22">
      <c r="V872816" s="42"/>
    </row>
    <row r="873011" spans="22:22">
      <c r="V873011" s="42"/>
    </row>
    <row r="873206" spans="22:22">
      <c r="V873206" s="42"/>
    </row>
    <row r="873401" spans="22:22">
      <c r="V873401" s="42"/>
    </row>
    <row r="873596" spans="22:22">
      <c r="V873596" s="42"/>
    </row>
    <row r="873791" spans="22:22">
      <c r="V873791" s="42"/>
    </row>
    <row r="873986" spans="22:22">
      <c r="V873986" s="42"/>
    </row>
    <row r="874181" spans="22:22">
      <c r="V874181" s="42"/>
    </row>
    <row r="874376" spans="22:22">
      <c r="V874376" s="42"/>
    </row>
    <row r="874571" spans="22:22">
      <c r="V874571" s="42"/>
    </row>
    <row r="874766" spans="22:22">
      <c r="V874766" s="42"/>
    </row>
    <row r="874961" spans="22:22">
      <c r="V874961" s="42"/>
    </row>
    <row r="875156" spans="22:22">
      <c r="V875156" s="42"/>
    </row>
    <row r="875351" spans="22:22">
      <c r="V875351" s="42"/>
    </row>
    <row r="875546" spans="22:22">
      <c r="V875546" s="42"/>
    </row>
    <row r="875741" spans="22:22">
      <c r="V875741" s="42"/>
    </row>
    <row r="875936" spans="22:22">
      <c r="V875936" s="42"/>
    </row>
    <row r="876131" spans="22:22">
      <c r="V876131" s="42"/>
    </row>
    <row r="876326" spans="22:22">
      <c r="V876326" s="42"/>
    </row>
    <row r="876521" spans="22:22">
      <c r="V876521" s="42"/>
    </row>
    <row r="876716" spans="22:22">
      <c r="V876716" s="42"/>
    </row>
    <row r="876911" spans="22:22">
      <c r="V876911" s="42"/>
    </row>
    <row r="877106" spans="22:22">
      <c r="V877106" s="42"/>
    </row>
    <row r="877301" spans="22:22">
      <c r="V877301" s="42"/>
    </row>
    <row r="877496" spans="22:22">
      <c r="V877496" s="42"/>
    </row>
    <row r="877691" spans="22:22">
      <c r="V877691" s="42"/>
    </row>
    <row r="877886" spans="22:22">
      <c r="V877886" s="42"/>
    </row>
    <row r="878081" spans="22:22">
      <c r="V878081" s="42"/>
    </row>
    <row r="878276" spans="22:22">
      <c r="V878276" s="42"/>
    </row>
    <row r="878471" spans="22:22">
      <c r="V878471" s="42"/>
    </row>
    <row r="878666" spans="22:22">
      <c r="V878666" s="42"/>
    </row>
    <row r="878861" spans="22:22">
      <c r="V878861" s="42"/>
    </row>
    <row r="879056" spans="22:22">
      <c r="V879056" s="42"/>
    </row>
    <row r="879251" spans="22:22">
      <c r="V879251" s="42"/>
    </row>
    <row r="879446" spans="22:22">
      <c r="V879446" s="42"/>
    </row>
    <row r="879641" spans="22:22">
      <c r="V879641" s="42"/>
    </row>
    <row r="879836" spans="22:22">
      <c r="V879836" s="42"/>
    </row>
    <row r="880031" spans="22:22">
      <c r="V880031" s="42"/>
    </row>
    <row r="880226" spans="22:22">
      <c r="V880226" s="42"/>
    </row>
    <row r="880421" spans="22:22">
      <c r="V880421" s="42"/>
    </row>
    <row r="880616" spans="22:22">
      <c r="V880616" s="42"/>
    </row>
    <row r="880811" spans="22:22">
      <c r="V880811" s="42"/>
    </row>
    <row r="881006" spans="22:22">
      <c r="V881006" s="42"/>
    </row>
    <row r="881201" spans="22:22">
      <c r="V881201" s="42"/>
    </row>
    <row r="881396" spans="22:22">
      <c r="V881396" s="42"/>
    </row>
    <row r="881591" spans="22:22">
      <c r="V881591" s="42"/>
    </row>
    <row r="881786" spans="22:22">
      <c r="V881786" s="42"/>
    </row>
    <row r="881981" spans="22:22">
      <c r="V881981" s="42"/>
    </row>
    <row r="882176" spans="22:22">
      <c r="V882176" s="42"/>
    </row>
    <row r="882371" spans="22:22">
      <c r="V882371" s="42"/>
    </row>
    <row r="882566" spans="22:22">
      <c r="V882566" s="42"/>
    </row>
    <row r="882761" spans="22:22">
      <c r="V882761" s="42"/>
    </row>
    <row r="882956" spans="22:22">
      <c r="V882956" s="42"/>
    </row>
    <row r="883151" spans="22:22">
      <c r="V883151" s="42"/>
    </row>
    <row r="883346" spans="22:22">
      <c r="V883346" s="42"/>
    </row>
    <row r="883541" spans="22:22">
      <c r="V883541" s="42"/>
    </row>
    <row r="883736" spans="22:22">
      <c r="V883736" s="42"/>
    </row>
    <row r="883931" spans="22:22">
      <c r="V883931" s="42"/>
    </row>
    <row r="884126" spans="22:22">
      <c r="V884126" s="42"/>
    </row>
    <row r="884321" spans="22:22">
      <c r="V884321" s="42"/>
    </row>
    <row r="884516" spans="22:22">
      <c r="V884516" s="42"/>
    </row>
    <row r="884711" spans="22:22">
      <c r="V884711" s="42"/>
    </row>
    <row r="884906" spans="22:22">
      <c r="V884906" s="42"/>
    </row>
    <row r="885101" spans="22:22">
      <c r="V885101" s="42"/>
    </row>
    <row r="885296" spans="22:22">
      <c r="V885296" s="42"/>
    </row>
    <row r="885491" spans="22:22">
      <c r="V885491" s="42"/>
    </row>
    <row r="885686" spans="22:22">
      <c r="V885686" s="42"/>
    </row>
    <row r="885881" spans="22:22">
      <c r="V885881" s="42"/>
    </row>
    <row r="886076" spans="22:22">
      <c r="V886076" s="42"/>
    </row>
    <row r="886271" spans="22:22">
      <c r="V886271" s="42"/>
    </row>
    <row r="886466" spans="22:22">
      <c r="V886466" s="42"/>
    </row>
    <row r="886661" spans="22:22">
      <c r="V886661" s="42"/>
    </row>
    <row r="886856" spans="22:22">
      <c r="V886856" s="42"/>
    </row>
    <row r="887051" spans="22:22">
      <c r="V887051" s="42"/>
    </row>
    <row r="887246" spans="22:22">
      <c r="V887246" s="42"/>
    </row>
    <row r="887441" spans="22:22">
      <c r="V887441" s="42"/>
    </row>
    <row r="887636" spans="22:22">
      <c r="V887636" s="42"/>
    </row>
    <row r="887831" spans="22:22">
      <c r="V887831" s="42"/>
    </row>
    <row r="888026" spans="22:22">
      <c r="V888026" s="42"/>
    </row>
    <row r="888221" spans="22:22">
      <c r="V888221" s="42"/>
    </row>
    <row r="888416" spans="22:22">
      <c r="V888416" s="42"/>
    </row>
    <row r="888611" spans="22:22">
      <c r="V888611" s="42"/>
    </row>
    <row r="888806" spans="22:22">
      <c r="V888806" s="42"/>
    </row>
    <row r="889001" spans="22:22">
      <c r="V889001" s="42"/>
    </row>
    <row r="889196" spans="22:22">
      <c r="V889196" s="42"/>
    </row>
    <row r="889391" spans="22:22">
      <c r="V889391" s="42"/>
    </row>
    <row r="889586" spans="22:22">
      <c r="V889586" s="42"/>
    </row>
    <row r="889781" spans="22:22">
      <c r="V889781" s="42"/>
    </row>
    <row r="889976" spans="22:22">
      <c r="V889976" s="42"/>
    </row>
    <row r="890171" spans="22:22">
      <c r="V890171" s="42"/>
    </row>
    <row r="890366" spans="22:22">
      <c r="V890366" s="42"/>
    </row>
    <row r="890561" spans="22:22">
      <c r="V890561" s="42"/>
    </row>
    <row r="890756" spans="22:22">
      <c r="V890756" s="42"/>
    </row>
    <row r="890951" spans="22:22">
      <c r="V890951" s="42"/>
    </row>
    <row r="891146" spans="22:22">
      <c r="V891146" s="42"/>
    </row>
    <row r="891341" spans="22:22">
      <c r="V891341" s="42"/>
    </row>
    <row r="891536" spans="22:22">
      <c r="V891536" s="42"/>
    </row>
    <row r="891731" spans="22:22">
      <c r="V891731" s="42"/>
    </row>
    <row r="891926" spans="22:22">
      <c r="V891926" s="42"/>
    </row>
    <row r="892121" spans="22:22">
      <c r="V892121" s="42"/>
    </row>
    <row r="892316" spans="22:22">
      <c r="V892316" s="42"/>
    </row>
    <row r="892511" spans="22:22">
      <c r="V892511" s="42"/>
    </row>
    <row r="892706" spans="22:22">
      <c r="V892706" s="42"/>
    </row>
    <row r="892901" spans="22:22">
      <c r="V892901" s="42"/>
    </row>
    <row r="893096" spans="22:22">
      <c r="V893096" s="42"/>
    </row>
    <row r="893291" spans="22:22">
      <c r="V893291" s="42"/>
    </row>
    <row r="893486" spans="22:22">
      <c r="V893486" s="42"/>
    </row>
    <row r="893681" spans="22:22">
      <c r="V893681" s="42"/>
    </row>
    <row r="893876" spans="22:22">
      <c r="V893876" s="42"/>
    </row>
    <row r="894071" spans="22:22">
      <c r="V894071" s="42"/>
    </row>
    <row r="894266" spans="22:22">
      <c r="V894266" s="42"/>
    </row>
    <row r="894461" spans="22:22">
      <c r="V894461" s="42"/>
    </row>
    <row r="894656" spans="22:22">
      <c r="V894656" s="42"/>
    </row>
    <row r="894851" spans="22:22">
      <c r="V894851" s="42"/>
    </row>
    <row r="895046" spans="22:22">
      <c r="V895046" s="42"/>
    </row>
    <row r="895241" spans="22:22">
      <c r="V895241" s="42"/>
    </row>
    <row r="895436" spans="22:22">
      <c r="V895436" s="42"/>
    </row>
    <row r="895631" spans="22:22">
      <c r="V895631" s="42"/>
    </row>
    <row r="895826" spans="22:22">
      <c r="V895826" s="42"/>
    </row>
    <row r="896021" spans="22:22">
      <c r="V896021" s="42"/>
    </row>
    <row r="896216" spans="22:22">
      <c r="V896216" s="42"/>
    </row>
    <row r="896411" spans="22:22">
      <c r="V896411" s="42"/>
    </row>
    <row r="896606" spans="22:22">
      <c r="V896606" s="42"/>
    </row>
    <row r="896801" spans="22:22">
      <c r="V896801" s="42"/>
    </row>
    <row r="896996" spans="22:22">
      <c r="V896996" s="42"/>
    </row>
    <row r="897191" spans="22:22">
      <c r="V897191" s="42"/>
    </row>
    <row r="897386" spans="22:22">
      <c r="V897386" s="42"/>
    </row>
    <row r="897581" spans="22:22">
      <c r="V897581" s="42"/>
    </row>
    <row r="897776" spans="22:22">
      <c r="V897776" s="42"/>
    </row>
    <row r="897971" spans="22:22">
      <c r="V897971" s="42"/>
    </row>
    <row r="898166" spans="22:22">
      <c r="V898166" s="42"/>
    </row>
    <row r="898361" spans="22:22">
      <c r="V898361" s="42"/>
    </row>
    <row r="898556" spans="22:22">
      <c r="V898556" s="42"/>
    </row>
    <row r="898751" spans="22:22">
      <c r="V898751" s="42"/>
    </row>
    <row r="898946" spans="22:22">
      <c r="V898946" s="42"/>
    </row>
    <row r="899141" spans="22:22">
      <c r="V899141" s="42"/>
    </row>
    <row r="899336" spans="22:22">
      <c r="V899336" s="42"/>
    </row>
    <row r="899531" spans="22:22">
      <c r="V899531" s="42"/>
    </row>
    <row r="899726" spans="22:22">
      <c r="V899726" s="42"/>
    </row>
    <row r="899921" spans="22:22">
      <c r="V899921" s="42"/>
    </row>
    <row r="900116" spans="22:22">
      <c r="V900116" s="42"/>
    </row>
    <row r="900311" spans="22:22">
      <c r="V900311" s="42"/>
    </row>
    <row r="900506" spans="22:22">
      <c r="V900506" s="42"/>
    </row>
    <row r="900701" spans="22:22">
      <c r="V900701" s="42"/>
    </row>
    <row r="900896" spans="22:22">
      <c r="V900896" s="42"/>
    </row>
    <row r="901091" spans="22:22">
      <c r="V901091" s="42"/>
    </row>
    <row r="901286" spans="22:22">
      <c r="V901286" s="42"/>
    </row>
    <row r="901481" spans="22:22">
      <c r="V901481" s="42"/>
    </row>
    <row r="901676" spans="22:22">
      <c r="V901676" s="42"/>
    </row>
    <row r="901871" spans="22:22">
      <c r="V901871" s="42"/>
    </row>
    <row r="902066" spans="22:22">
      <c r="V902066" s="42"/>
    </row>
    <row r="902261" spans="22:22">
      <c r="V902261" s="42"/>
    </row>
    <row r="902456" spans="22:22">
      <c r="V902456" s="42"/>
    </row>
    <row r="902651" spans="22:22">
      <c r="V902651" s="42"/>
    </row>
    <row r="902846" spans="22:22">
      <c r="V902846" s="42"/>
    </row>
    <row r="903041" spans="22:22">
      <c r="V903041" s="42"/>
    </row>
    <row r="903236" spans="22:22">
      <c r="V903236" s="42"/>
    </row>
    <row r="903431" spans="22:22">
      <c r="V903431" s="42"/>
    </row>
    <row r="903626" spans="22:22">
      <c r="V903626" s="42"/>
    </row>
    <row r="903821" spans="22:22">
      <c r="V903821" s="42"/>
    </row>
    <row r="904016" spans="22:22">
      <c r="V904016" s="42"/>
    </row>
    <row r="904211" spans="22:22">
      <c r="V904211" s="42"/>
    </row>
    <row r="904406" spans="22:22">
      <c r="V904406" s="42"/>
    </row>
    <row r="904601" spans="22:22">
      <c r="V904601" s="42"/>
    </row>
    <row r="904796" spans="22:22">
      <c r="V904796" s="42"/>
    </row>
    <row r="904991" spans="22:22">
      <c r="V904991" s="42"/>
    </row>
    <row r="905186" spans="22:22">
      <c r="V905186" s="42"/>
    </row>
    <row r="905381" spans="22:22">
      <c r="V905381" s="42"/>
    </row>
    <row r="905576" spans="22:22">
      <c r="V905576" s="42"/>
    </row>
    <row r="905771" spans="22:22">
      <c r="V905771" s="42"/>
    </row>
    <row r="905966" spans="22:22">
      <c r="V905966" s="42"/>
    </row>
    <row r="906161" spans="22:22">
      <c r="V906161" s="42"/>
    </row>
    <row r="906356" spans="22:22">
      <c r="V906356" s="42"/>
    </row>
    <row r="906551" spans="22:22">
      <c r="V906551" s="42"/>
    </row>
    <row r="906746" spans="22:22">
      <c r="V906746" s="42"/>
    </row>
    <row r="906941" spans="22:22">
      <c r="V906941" s="42"/>
    </row>
    <row r="907136" spans="22:22">
      <c r="V907136" s="42"/>
    </row>
    <row r="907331" spans="22:22">
      <c r="V907331" s="42"/>
    </row>
    <row r="907526" spans="22:22">
      <c r="V907526" s="42"/>
    </row>
    <row r="907721" spans="22:22">
      <c r="V907721" s="42"/>
    </row>
    <row r="907916" spans="22:22">
      <c r="V907916" s="42"/>
    </row>
    <row r="908111" spans="22:22">
      <c r="V908111" s="42"/>
    </row>
    <row r="908306" spans="22:22">
      <c r="V908306" s="42"/>
    </row>
    <row r="908501" spans="22:22">
      <c r="V908501" s="42"/>
    </row>
    <row r="908696" spans="22:22">
      <c r="V908696" s="42"/>
    </row>
    <row r="908891" spans="22:22">
      <c r="V908891" s="42"/>
    </row>
    <row r="909086" spans="22:22">
      <c r="V909086" s="42"/>
    </row>
    <row r="909281" spans="22:22">
      <c r="V909281" s="42"/>
    </row>
    <row r="909476" spans="22:22">
      <c r="V909476" s="42"/>
    </row>
    <row r="909671" spans="22:22">
      <c r="V909671" s="42"/>
    </row>
    <row r="909866" spans="22:22">
      <c r="V909866" s="42"/>
    </row>
    <row r="910061" spans="22:22">
      <c r="V910061" s="42"/>
    </row>
    <row r="910256" spans="22:22">
      <c r="V910256" s="42"/>
    </row>
    <row r="910451" spans="22:22">
      <c r="V910451" s="42"/>
    </row>
    <row r="910646" spans="22:22">
      <c r="V910646" s="42"/>
    </row>
    <row r="910841" spans="22:22">
      <c r="V910841" s="42"/>
    </row>
    <row r="911036" spans="22:22">
      <c r="V911036" s="42"/>
    </row>
    <row r="911231" spans="22:22">
      <c r="V911231" s="42"/>
    </row>
    <row r="911426" spans="22:22">
      <c r="V911426" s="42"/>
    </row>
    <row r="911621" spans="22:22">
      <c r="V911621" s="42"/>
    </row>
    <row r="911816" spans="22:22">
      <c r="V911816" s="42"/>
    </row>
    <row r="912011" spans="22:22">
      <c r="V912011" s="42"/>
    </row>
    <row r="912206" spans="22:22">
      <c r="V912206" s="42"/>
    </row>
    <row r="912401" spans="22:22">
      <c r="V912401" s="42"/>
    </row>
    <row r="912596" spans="22:22">
      <c r="V912596" s="42"/>
    </row>
    <row r="912791" spans="22:22">
      <c r="V912791" s="42"/>
    </row>
    <row r="912986" spans="22:22">
      <c r="V912986" s="42"/>
    </row>
    <row r="913181" spans="22:22">
      <c r="V913181" s="42"/>
    </row>
    <row r="913376" spans="22:22">
      <c r="V913376" s="42"/>
    </row>
    <row r="913571" spans="22:22">
      <c r="V913571" s="42"/>
    </row>
    <row r="913766" spans="22:22">
      <c r="V913766" s="42"/>
    </row>
    <row r="913961" spans="22:22">
      <c r="V913961" s="42"/>
    </row>
    <row r="914156" spans="22:22">
      <c r="V914156" s="42"/>
    </row>
    <row r="914351" spans="22:22">
      <c r="V914351" s="42"/>
    </row>
    <row r="914546" spans="22:22">
      <c r="V914546" s="42"/>
    </row>
    <row r="914741" spans="22:22">
      <c r="V914741" s="42"/>
    </row>
    <row r="914936" spans="22:22">
      <c r="V914936" s="42"/>
    </row>
    <row r="915131" spans="22:22">
      <c r="V915131" s="42"/>
    </row>
    <row r="915326" spans="22:22">
      <c r="V915326" s="42"/>
    </row>
    <row r="915521" spans="22:22">
      <c r="V915521" s="42"/>
    </row>
    <row r="915716" spans="22:22">
      <c r="V915716" s="42"/>
    </row>
    <row r="915911" spans="22:22">
      <c r="V915911" s="42"/>
    </row>
    <row r="916106" spans="22:22">
      <c r="V916106" s="42"/>
    </row>
    <row r="916301" spans="22:22">
      <c r="V916301" s="42"/>
    </row>
    <row r="916496" spans="22:22">
      <c r="V916496" s="42"/>
    </row>
    <row r="916691" spans="22:22">
      <c r="V916691" s="42"/>
    </row>
    <row r="916886" spans="22:22">
      <c r="V916886" s="42"/>
    </row>
    <row r="917081" spans="22:22">
      <c r="V917081" s="42"/>
    </row>
    <row r="917276" spans="22:22">
      <c r="V917276" s="42"/>
    </row>
    <row r="917471" spans="22:22">
      <c r="V917471" s="42"/>
    </row>
    <row r="917666" spans="22:22">
      <c r="V917666" s="42"/>
    </row>
    <row r="917861" spans="22:22">
      <c r="V917861" s="42"/>
    </row>
    <row r="918056" spans="22:22">
      <c r="V918056" s="42"/>
    </row>
    <row r="918251" spans="22:22">
      <c r="V918251" s="42"/>
    </row>
    <row r="918446" spans="22:22">
      <c r="V918446" s="42"/>
    </row>
    <row r="918641" spans="22:22">
      <c r="V918641" s="42"/>
    </row>
    <row r="918836" spans="22:22">
      <c r="V918836" s="42"/>
    </row>
    <row r="919031" spans="22:22">
      <c r="V919031" s="42"/>
    </row>
    <row r="919226" spans="22:22">
      <c r="V919226" s="42"/>
    </row>
    <row r="919421" spans="22:22">
      <c r="V919421" s="42"/>
    </row>
    <row r="919616" spans="22:22">
      <c r="V919616" s="42"/>
    </row>
    <row r="919811" spans="22:22">
      <c r="V919811" s="42"/>
    </row>
    <row r="920006" spans="22:22">
      <c r="V920006" s="42"/>
    </row>
    <row r="920201" spans="22:22">
      <c r="V920201" s="42"/>
    </row>
    <row r="920396" spans="22:22">
      <c r="V920396" s="42"/>
    </row>
    <row r="920591" spans="22:22">
      <c r="V920591" s="42"/>
    </row>
    <row r="920786" spans="22:22">
      <c r="V920786" s="42"/>
    </row>
    <row r="920981" spans="22:22">
      <c r="V920981" s="42"/>
    </row>
    <row r="921176" spans="22:22">
      <c r="V921176" s="42"/>
    </row>
    <row r="921371" spans="22:22">
      <c r="V921371" s="42"/>
    </row>
    <row r="921566" spans="22:22">
      <c r="V921566" s="42"/>
    </row>
    <row r="921761" spans="22:22">
      <c r="V921761" s="42"/>
    </row>
    <row r="921956" spans="22:22">
      <c r="V921956" s="42"/>
    </row>
    <row r="922151" spans="22:22">
      <c r="V922151" s="42"/>
    </row>
    <row r="922346" spans="22:22">
      <c r="V922346" s="42"/>
    </row>
    <row r="922541" spans="22:22">
      <c r="V922541" s="42"/>
    </row>
    <row r="922736" spans="22:22">
      <c r="V922736" s="42"/>
    </row>
    <row r="922931" spans="22:22">
      <c r="V922931" s="42"/>
    </row>
    <row r="923126" spans="22:22">
      <c r="V923126" s="42"/>
    </row>
    <row r="923321" spans="22:22">
      <c r="V923321" s="42"/>
    </row>
    <row r="923516" spans="22:22">
      <c r="V923516" s="42"/>
    </row>
    <row r="923711" spans="22:22">
      <c r="V923711" s="42"/>
    </row>
    <row r="923906" spans="22:22">
      <c r="V923906" s="42"/>
    </row>
    <row r="924101" spans="22:22">
      <c r="V924101" s="42"/>
    </row>
    <row r="924296" spans="22:22">
      <c r="V924296" s="42"/>
    </row>
    <row r="924491" spans="22:22">
      <c r="V924491" s="42"/>
    </row>
    <row r="924686" spans="22:22">
      <c r="V924686" s="42"/>
    </row>
    <row r="924881" spans="22:22">
      <c r="V924881" s="42"/>
    </row>
    <row r="925076" spans="22:22">
      <c r="V925076" s="42"/>
    </row>
    <row r="925271" spans="22:22">
      <c r="V925271" s="42"/>
    </row>
    <row r="925466" spans="22:22">
      <c r="V925466" s="42"/>
    </row>
    <row r="925661" spans="22:22">
      <c r="V925661" s="42"/>
    </row>
    <row r="925856" spans="22:22">
      <c r="V925856" s="42"/>
    </row>
    <row r="926051" spans="22:22">
      <c r="V926051" s="42"/>
    </row>
    <row r="926246" spans="22:22">
      <c r="V926246" s="42"/>
    </row>
    <row r="926441" spans="22:22">
      <c r="V926441" s="42"/>
    </row>
    <row r="926636" spans="22:22">
      <c r="V926636" s="42"/>
    </row>
    <row r="926831" spans="22:22">
      <c r="V926831" s="42"/>
    </row>
    <row r="927026" spans="22:22">
      <c r="V927026" s="42"/>
    </row>
    <row r="927221" spans="22:22">
      <c r="V927221" s="42"/>
    </row>
    <row r="927416" spans="22:22">
      <c r="V927416" s="42"/>
    </row>
    <row r="927611" spans="22:22">
      <c r="V927611" s="42"/>
    </row>
    <row r="927806" spans="22:22">
      <c r="V927806" s="42"/>
    </row>
    <row r="928001" spans="22:22">
      <c r="V928001" s="42"/>
    </row>
    <row r="928196" spans="22:22">
      <c r="V928196" s="42"/>
    </row>
    <row r="928391" spans="22:22">
      <c r="V928391" s="42"/>
    </row>
    <row r="928586" spans="22:22">
      <c r="V928586" s="42"/>
    </row>
    <row r="928781" spans="22:22">
      <c r="V928781" s="42"/>
    </row>
    <row r="928976" spans="22:22">
      <c r="V928976" s="42"/>
    </row>
    <row r="929171" spans="22:22">
      <c r="V929171" s="42"/>
    </row>
    <row r="929366" spans="22:22">
      <c r="V929366" s="42"/>
    </row>
    <row r="929561" spans="22:22">
      <c r="V929561" s="42"/>
    </row>
    <row r="929756" spans="22:22">
      <c r="V929756" s="42"/>
    </row>
    <row r="929951" spans="22:22">
      <c r="V929951" s="42"/>
    </row>
    <row r="930146" spans="22:22">
      <c r="V930146" s="42"/>
    </row>
    <row r="930341" spans="22:22">
      <c r="V930341" s="42"/>
    </row>
    <row r="930536" spans="22:22">
      <c r="V930536" s="42"/>
    </row>
    <row r="930731" spans="22:22">
      <c r="V930731" s="42"/>
    </row>
    <row r="930926" spans="22:22">
      <c r="V930926" s="42"/>
    </row>
    <row r="931121" spans="22:22">
      <c r="V931121" s="42"/>
    </row>
    <row r="931316" spans="22:22">
      <c r="V931316" s="42"/>
    </row>
    <row r="931511" spans="22:22">
      <c r="V931511" s="42"/>
    </row>
    <row r="931706" spans="22:22">
      <c r="V931706" s="42"/>
    </row>
    <row r="931901" spans="22:22">
      <c r="V931901" s="42"/>
    </row>
    <row r="932096" spans="22:22">
      <c r="V932096" s="42"/>
    </row>
    <row r="932291" spans="22:22">
      <c r="V932291" s="42"/>
    </row>
    <row r="932486" spans="22:22">
      <c r="V932486" s="42"/>
    </row>
    <row r="932681" spans="22:22">
      <c r="V932681" s="42"/>
    </row>
    <row r="932876" spans="22:22">
      <c r="V932876" s="42"/>
    </row>
    <row r="933071" spans="22:22">
      <c r="V933071" s="42"/>
    </row>
    <row r="933266" spans="22:22">
      <c r="V933266" s="42"/>
    </row>
    <row r="933461" spans="22:22">
      <c r="V933461" s="42"/>
    </row>
    <row r="933656" spans="22:22">
      <c r="V933656" s="42"/>
    </row>
    <row r="933851" spans="22:22">
      <c r="V933851" s="42"/>
    </row>
    <row r="934046" spans="22:22">
      <c r="V934046" s="42"/>
    </row>
    <row r="934241" spans="22:22">
      <c r="V934241" s="42"/>
    </row>
    <row r="934436" spans="22:22">
      <c r="V934436" s="42"/>
    </row>
    <row r="934631" spans="22:22">
      <c r="V934631" s="42"/>
    </row>
    <row r="934826" spans="22:22">
      <c r="V934826" s="42"/>
    </row>
    <row r="935021" spans="22:22">
      <c r="V935021" s="42"/>
    </row>
    <row r="935216" spans="22:22">
      <c r="V935216" s="42"/>
    </row>
    <row r="935411" spans="22:22">
      <c r="V935411" s="42"/>
    </row>
    <row r="935606" spans="22:22">
      <c r="V935606" s="42"/>
    </row>
    <row r="935801" spans="22:22">
      <c r="V935801" s="42"/>
    </row>
    <row r="935996" spans="22:22">
      <c r="V935996" s="42"/>
    </row>
    <row r="936191" spans="22:22">
      <c r="V936191" s="42"/>
    </row>
    <row r="936386" spans="22:22">
      <c r="V936386" s="42"/>
    </row>
    <row r="936581" spans="22:22">
      <c r="V936581" s="42"/>
    </row>
    <row r="936776" spans="22:22">
      <c r="V936776" s="42"/>
    </row>
    <row r="936971" spans="22:22">
      <c r="V936971" s="42"/>
    </row>
    <row r="937166" spans="22:22">
      <c r="V937166" s="42"/>
    </row>
    <row r="937361" spans="22:22">
      <c r="V937361" s="42"/>
    </row>
    <row r="937556" spans="22:22">
      <c r="V937556" s="42"/>
    </row>
    <row r="937751" spans="22:22">
      <c r="V937751" s="42"/>
    </row>
    <row r="937946" spans="22:22">
      <c r="V937946" s="42"/>
    </row>
    <row r="938141" spans="22:22">
      <c r="V938141" s="42"/>
    </row>
    <row r="938336" spans="22:22">
      <c r="V938336" s="42"/>
    </row>
    <row r="938531" spans="22:22">
      <c r="V938531" s="42"/>
    </row>
    <row r="938726" spans="22:22">
      <c r="V938726" s="42"/>
    </row>
    <row r="938921" spans="22:22">
      <c r="V938921" s="42"/>
    </row>
    <row r="939116" spans="22:22">
      <c r="V939116" s="42"/>
    </row>
    <row r="939311" spans="22:22">
      <c r="V939311" s="42"/>
    </row>
    <row r="939506" spans="22:22">
      <c r="V939506" s="42"/>
    </row>
    <row r="939701" spans="22:22">
      <c r="V939701" s="42"/>
    </row>
    <row r="939896" spans="22:22">
      <c r="V939896" s="42"/>
    </row>
    <row r="940091" spans="22:22">
      <c r="V940091" s="42"/>
    </row>
    <row r="940286" spans="22:22">
      <c r="V940286" s="42"/>
    </row>
    <row r="940481" spans="22:22">
      <c r="V940481" s="42"/>
    </row>
    <row r="940676" spans="22:22">
      <c r="V940676" s="42"/>
    </row>
    <row r="940871" spans="22:22">
      <c r="V940871" s="42"/>
    </row>
    <row r="941066" spans="22:22">
      <c r="V941066" s="42"/>
    </row>
    <row r="941261" spans="22:22">
      <c r="V941261" s="42"/>
    </row>
    <row r="941456" spans="22:22">
      <c r="V941456" s="42"/>
    </row>
    <row r="941651" spans="22:22">
      <c r="V941651" s="42"/>
    </row>
    <row r="941846" spans="22:22">
      <c r="V941846" s="42"/>
    </row>
    <row r="942041" spans="22:22">
      <c r="V942041" s="42"/>
    </row>
    <row r="942236" spans="22:22">
      <c r="V942236" s="42"/>
    </row>
    <row r="942431" spans="22:22">
      <c r="V942431" s="42"/>
    </row>
    <row r="942626" spans="22:22">
      <c r="V942626" s="42"/>
    </row>
    <row r="942821" spans="22:22">
      <c r="V942821" s="42"/>
    </row>
    <row r="943016" spans="22:22">
      <c r="V943016" s="42"/>
    </row>
    <row r="943211" spans="22:22">
      <c r="V943211" s="42"/>
    </row>
    <row r="943406" spans="22:22">
      <c r="V943406" s="42"/>
    </row>
    <row r="943601" spans="22:22">
      <c r="V943601" s="42"/>
    </row>
    <row r="943796" spans="22:22">
      <c r="V943796" s="42"/>
    </row>
    <row r="943991" spans="22:22">
      <c r="V943991" s="42"/>
    </row>
    <row r="944186" spans="22:22">
      <c r="V944186" s="42"/>
    </row>
    <row r="944381" spans="22:22">
      <c r="V944381" s="42"/>
    </row>
    <row r="944576" spans="22:22">
      <c r="V944576" s="42"/>
    </row>
    <row r="944771" spans="22:22">
      <c r="V944771" s="42"/>
    </row>
    <row r="944966" spans="22:22">
      <c r="V944966" s="42"/>
    </row>
    <row r="945161" spans="22:22">
      <c r="V945161" s="42"/>
    </row>
    <row r="945356" spans="22:22">
      <c r="V945356" s="42"/>
    </row>
    <row r="945551" spans="22:22">
      <c r="V945551" s="42"/>
    </row>
    <row r="945746" spans="22:22">
      <c r="V945746" s="42"/>
    </row>
    <row r="945941" spans="22:22">
      <c r="V945941" s="42"/>
    </row>
    <row r="946136" spans="22:22">
      <c r="V946136" s="42"/>
    </row>
    <row r="946331" spans="22:22">
      <c r="V946331" s="42"/>
    </row>
    <row r="946526" spans="22:22">
      <c r="V946526" s="42"/>
    </row>
    <row r="946721" spans="22:22">
      <c r="V946721" s="42"/>
    </row>
    <row r="946916" spans="22:22">
      <c r="V946916" s="42"/>
    </row>
    <row r="947111" spans="22:22">
      <c r="V947111" s="42"/>
    </row>
    <row r="947306" spans="22:22">
      <c r="V947306" s="42"/>
    </row>
    <row r="947501" spans="22:22">
      <c r="V947501" s="42"/>
    </row>
    <row r="947696" spans="22:22">
      <c r="V947696" s="42"/>
    </row>
    <row r="947891" spans="22:22">
      <c r="V947891" s="42"/>
    </row>
    <row r="948086" spans="22:22">
      <c r="V948086" s="42"/>
    </row>
    <row r="948281" spans="22:22">
      <c r="V948281" s="42"/>
    </row>
    <row r="948476" spans="22:22">
      <c r="V948476" s="42"/>
    </row>
    <row r="948671" spans="22:22">
      <c r="V948671" s="42"/>
    </row>
    <row r="948866" spans="22:22">
      <c r="V948866" s="42"/>
    </row>
    <row r="949061" spans="22:22">
      <c r="V949061" s="42"/>
    </row>
    <row r="949256" spans="22:22">
      <c r="V949256" s="42"/>
    </row>
    <row r="949451" spans="22:22">
      <c r="V949451" s="42"/>
    </row>
    <row r="949646" spans="22:22">
      <c r="V949646" s="42"/>
    </row>
    <row r="949841" spans="22:22">
      <c r="V949841" s="42"/>
    </row>
    <row r="950036" spans="22:22">
      <c r="V950036" s="42"/>
    </row>
    <row r="950231" spans="22:22">
      <c r="V950231" s="42"/>
    </row>
    <row r="950426" spans="22:22">
      <c r="V950426" s="42"/>
    </row>
    <row r="950621" spans="22:22">
      <c r="V950621" s="42"/>
    </row>
    <row r="950816" spans="22:22">
      <c r="V950816" s="42"/>
    </row>
    <row r="951011" spans="22:22">
      <c r="V951011" s="42"/>
    </row>
    <row r="951206" spans="22:22">
      <c r="V951206" s="42"/>
    </row>
    <row r="951401" spans="22:22">
      <c r="V951401" s="42"/>
    </row>
    <row r="951596" spans="22:22">
      <c r="V951596" s="42"/>
    </row>
    <row r="951791" spans="22:22">
      <c r="V951791" s="42"/>
    </row>
    <row r="951986" spans="22:22">
      <c r="V951986" s="42"/>
    </row>
    <row r="952181" spans="22:22">
      <c r="V952181" s="42"/>
    </row>
    <row r="952376" spans="22:22">
      <c r="V952376" s="42"/>
    </row>
    <row r="952571" spans="22:22">
      <c r="V952571" s="42"/>
    </row>
    <row r="952766" spans="22:22">
      <c r="V952766" s="42"/>
    </row>
    <row r="952961" spans="22:22">
      <c r="V952961" s="42"/>
    </row>
    <row r="953156" spans="22:22">
      <c r="V953156" s="42"/>
    </row>
    <row r="953351" spans="22:22">
      <c r="V953351" s="42"/>
    </row>
    <row r="953546" spans="22:22">
      <c r="V953546" s="42"/>
    </row>
    <row r="953741" spans="22:22">
      <c r="V953741" s="42"/>
    </row>
    <row r="953936" spans="22:22">
      <c r="V953936" s="42"/>
    </row>
    <row r="954131" spans="22:22">
      <c r="V954131" s="42"/>
    </row>
    <row r="954326" spans="22:22">
      <c r="V954326" s="42"/>
    </row>
    <row r="954521" spans="22:22">
      <c r="V954521" s="42"/>
    </row>
    <row r="954716" spans="22:22">
      <c r="V954716" s="42"/>
    </row>
    <row r="954911" spans="22:22">
      <c r="V954911" s="42"/>
    </row>
    <row r="955106" spans="22:22">
      <c r="V955106" s="42"/>
    </row>
    <row r="955301" spans="22:22">
      <c r="V955301" s="42"/>
    </row>
    <row r="955496" spans="22:22">
      <c r="V955496" s="42"/>
    </row>
    <row r="955691" spans="22:22">
      <c r="V955691" s="42"/>
    </row>
    <row r="955886" spans="22:22">
      <c r="V955886" s="42"/>
    </row>
    <row r="956081" spans="22:22">
      <c r="V956081" s="42"/>
    </row>
    <row r="956276" spans="22:22">
      <c r="V956276" s="42"/>
    </row>
    <row r="956471" spans="22:22">
      <c r="V956471" s="42"/>
    </row>
    <row r="956666" spans="22:22">
      <c r="V956666" s="42"/>
    </row>
    <row r="956861" spans="22:22">
      <c r="V956861" s="42"/>
    </row>
    <row r="957056" spans="22:22">
      <c r="V957056" s="42"/>
    </row>
    <row r="957251" spans="22:22">
      <c r="V957251" s="42"/>
    </row>
    <row r="957446" spans="22:22">
      <c r="V957446" s="42"/>
    </row>
    <row r="957641" spans="22:22">
      <c r="V957641" s="42"/>
    </row>
    <row r="957836" spans="22:22">
      <c r="V957836" s="42"/>
    </row>
    <row r="958031" spans="22:22">
      <c r="V958031" s="42"/>
    </row>
    <row r="958226" spans="22:22">
      <c r="V958226" s="42"/>
    </row>
    <row r="958421" spans="22:22">
      <c r="V958421" s="42"/>
    </row>
    <row r="958616" spans="22:22">
      <c r="V958616" s="42"/>
    </row>
    <row r="958811" spans="22:22">
      <c r="V958811" s="42"/>
    </row>
    <row r="959006" spans="22:22">
      <c r="V959006" s="42"/>
    </row>
    <row r="959201" spans="22:22">
      <c r="V959201" s="42"/>
    </row>
    <row r="959396" spans="22:22">
      <c r="V959396" s="42"/>
    </row>
    <row r="959591" spans="22:22">
      <c r="V959591" s="42"/>
    </row>
    <row r="959786" spans="22:22">
      <c r="V959786" s="42"/>
    </row>
    <row r="959981" spans="22:22">
      <c r="V959981" s="42"/>
    </row>
    <row r="960176" spans="22:22">
      <c r="V960176" s="42"/>
    </row>
    <row r="960371" spans="22:22">
      <c r="V960371" s="42"/>
    </row>
    <row r="960566" spans="22:22">
      <c r="V960566" s="42"/>
    </row>
    <row r="960761" spans="22:22">
      <c r="V960761" s="42"/>
    </row>
    <row r="960956" spans="22:22">
      <c r="V960956" s="42"/>
    </row>
    <row r="961151" spans="22:22">
      <c r="V961151" s="42"/>
    </row>
    <row r="961346" spans="22:22">
      <c r="V961346" s="42"/>
    </row>
    <row r="961541" spans="22:22">
      <c r="V961541" s="42"/>
    </row>
    <row r="961736" spans="22:22">
      <c r="V961736" s="42"/>
    </row>
    <row r="961931" spans="22:22">
      <c r="V961931" s="42"/>
    </row>
    <row r="962126" spans="22:22">
      <c r="V962126" s="42"/>
    </row>
    <row r="962321" spans="22:22">
      <c r="V962321" s="42"/>
    </row>
    <row r="962516" spans="22:22">
      <c r="V962516" s="42"/>
    </row>
    <row r="962711" spans="22:22">
      <c r="V962711" s="42"/>
    </row>
    <row r="962906" spans="22:22">
      <c r="V962906" s="42"/>
    </row>
    <row r="963101" spans="22:22">
      <c r="V963101" s="42"/>
    </row>
    <row r="963296" spans="22:22">
      <c r="V963296" s="42"/>
    </row>
    <row r="963491" spans="22:22">
      <c r="V963491" s="42"/>
    </row>
    <row r="963686" spans="22:22">
      <c r="V963686" s="42"/>
    </row>
    <row r="963881" spans="22:22">
      <c r="V963881" s="42"/>
    </row>
    <row r="964076" spans="22:22">
      <c r="V964076" s="42"/>
    </row>
    <row r="964271" spans="22:22">
      <c r="V964271" s="42"/>
    </row>
    <row r="964466" spans="22:22">
      <c r="V964466" s="42"/>
    </row>
    <row r="964661" spans="22:22">
      <c r="V964661" s="42"/>
    </row>
    <row r="964856" spans="22:22">
      <c r="V964856" s="42"/>
    </row>
    <row r="965051" spans="22:22">
      <c r="V965051" s="42"/>
    </row>
    <row r="965246" spans="22:22">
      <c r="V965246" s="42"/>
    </row>
    <row r="965441" spans="22:22">
      <c r="V965441" s="42"/>
    </row>
    <row r="965636" spans="22:22">
      <c r="V965636" s="42"/>
    </row>
    <row r="965831" spans="22:22">
      <c r="V965831" s="42"/>
    </row>
    <row r="966026" spans="22:22">
      <c r="V966026" s="42"/>
    </row>
    <row r="966221" spans="22:22">
      <c r="V966221" s="42"/>
    </row>
    <row r="966416" spans="22:22">
      <c r="V966416" s="42"/>
    </row>
    <row r="966611" spans="22:22">
      <c r="V966611" s="42"/>
    </row>
    <row r="966806" spans="22:22">
      <c r="V966806" s="42"/>
    </row>
    <row r="967001" spans="22:22">
      <c r="V967001" s="42"/>
    </row>
    <row r="967196" spans="22:22">
      <c r="V967196" s="42"/>
    </row>
    <row r="967391" spans="22:22">
      <c r="V967391" s="42"/>
    </row>
    <row r="967586" spans="22:22">
      <c r="V967586" s="42"/>
    </row>
    <row r="967781" spans="22:22">
      <c r="V967781" s="42"/>
    </row>
    <row r="967976" spans="22:22">
      <c r="V967976" s="42"/>
    </row>
    <row r="968171" spans="22:22">
      <c r="V968171" s="42"/>
    </row>
    <row r="968366" spans="22:22">
      <c r="V968366" s="42"/>
    </row>
    <row r="968561" spans="22:22">
      <c r="V968561" s="42"/>
    </row>
    <row r="968756" spans="22:22">
      <c r="V968756" s="42"/>
    </row>
    <row r="968951" spans="22:22">
      <c r="V968951" s="42"/>
    </row>
    <row r="969146" spans="22:22">
      <c r="V969146" s="42"/>
    </row>
    <row r="969341" spans="22:22">
      <c r="V969341" s="42"/>
    </row>
    <row r="969536" spans="22:22">
      <c r="V969536" s="42"/>
    </row>
    <row r="969731" spans="22:22">
      <c r="V969731" s="42"/>
    </row>
    <row r="969926" spans="22:22">
      <c r="V969926" s="42"/>
    </row>
    <row r="970121" spans="22:22">
      <c r="V970121" s="42"/>
    </row>
    <row r="970316" spans="22:22">
      <c r="V970316" s="42"/>
    </row>
    <row r="970511" spans="22:22">
      <c r="V970511" s="42"/>
    </row>
    <row r="970706" spans="22:22">
      <c r="V970706" s="42"/>
    </row>
    <row r="970901" spans="22:22">
      <c r="V970901" s="42"/>
    </row>
    <row r="971096" spans="22:22">
      <c r="V971096" s="42"/>
    </row>
    <row r="971291" spans="22:22">
      <c r="V971291" s="42"/>
    </row>
    <row r="971486" spans="22:22">
      <c r="V971486" s="42"/>
    </row>
    <row r="971681" spans="22:22">
      <c r="V971681" s="42"/>
    </row>
    <row r="971876" spans="22:22">
      <c r="V971876" s="42"/>
    </row>
    <row r="972071" spans="22:22">
      <c r="V972071" s="42"/>
    </row>
    <row r="972266" spans="22:22">
      <c r="V972266" s="42"/>
    </row>
    <row r="972461" spans="22:22">
      <c r="V972461" s="42"/>
    </row>
    <row r="972656" spans="22:22">
      <c r="V972656" s="42"/>
    </row>
    <row r="972851" spans="22:22">
      <c r="V972851" s="42"/>
    </row>
    <row r="973046" spans="22:22">
      <c r="V973046" s="42"/>
    </row>
    <row r="973241" spans="22:22">
      <c r="V973241" s="42"/>
    </row>
    <row r="973436" spans="22:22">
      <c r="V973436" s="42"/>
    </row>
    <row r="973631" spans="22:22">
      <c r="V973631" s="42"/>
    </row>
    <row r="973826" spans="22:22">
      <c r="V973826" s="42"/>
    </row>
    <row r="974021" spans="22:22">
      <c r="V974021" s="42"/>
    </row>
    <row r="974216" spans="22:22">
      <c r="V974216" s="42"/>
    </row>
    <row r="974411" spans="22:22">
      <c r="V974411" s="42"/>
    </row>
    <row r="974606" spans="22:22">
      <c r="V974606" s="42"/>
    </row>
    <row r="974801" spans="22:22">
      <c r="V974801" s="42"/>
    </row>
    <row r="974996" spans="22:22">
      <c r="V974996" s="42"/>
    </row>
    <row r="975191" spans="22:22">
      <c r="V975191" s="42"/>
    </row>
    <row r="975386" spans="22:22">
      <c r="V975386" s="42"/>
    </row>
    <row r="975581" spans="22:22">
      <c r="V975581" s="42"/>
    </row>
    <row r="975776" spans="22:22">
      <c r="V975776" s="42"/>
    </row>
    <row r="975971" spans="22:22">
      <c r="V975971" s="42"/>
    </row>
    <row r="976166" spans="22:22">
      <c r="V976166" s="42"/>
    </row>
    <row r="976361" spans="22:22">
      <c r="V976361" s="42"/>
    </row>
    <row r="976556" spans="22:22">
      <c r="V976556" s="42"/>
    </row>
    <row r="976751" spans="22:22">
      <c r="V976751" s="42"/>
    </row>
    <row r="976946" spans="22:22">
      <c r="V976946" s="42"/>
    </row>
    <row r="977141" spans="22:22">
      <c r="V977141" s="42"/>
    </row>
    <row r="977336" spans="22:22">
      <c r="V977336" s="42"/>
    </row>
    <row r="977531" spans="22:22">
      <c r="V977531" s="42"/>
    </row>
    <row r="977726" spans="22:22">
      <c r="V977726" s="42"/>
    </row>
    <row r="977921" spans="22:22">
      <c r="V977921" s="42"/>
    </row>
    <row r="978116" spans="22:22">
      <c r="V978116" s="42"/>
    </row>
    <row r="978311" spans="22:22">
      <c r="V978311" s="42"/>
    </row>
    <row r="978506" spans="22:22">
      <c r="V978506" s="42"/>
    </row>
    <row r="978701" spans="22:22">
      <c r="V978701" s="42"/>
    </row>
    <row r="978896" spans="22:22">
      <c r="V978896" s="42"/>
    </row>
    <row r="979091" spans="22:22">
      <c r="V979091" s="42"/>
    </row>
    <row r="979286" spans="22:22">
      <c r="V979286" s="42"/>
    </row>
    <row r="979481" spans="22:22">
      <c r="V979481" s="42"/>
    </row>
    <row r="979676" spans="22:22">
      <c r="V979676" s="42"/>
    </row>
    <row r="979871" spans="22:22">
      <c r="V979871" s="42"/>
    </row>
    <row r="980066" spans="22:22">
      <c r="V980066" s="42"/>
    </row>
    <row r="980261" spans="22:22">
      <c r="V980261" s="42"/>
    </row>
    <row r="980456" spans="22:22">
      <c r="V980456" s="42"/>
    </row>
    <row r="980651" spans="22:22">
      <c r="V980651" s="42"/>
    </row>
    <row r="980846" spans="22:22">
      <c r="V980846" s="42"/>
    </row>
    <row r="981041" spans="22:22">
      <c r="V981041" s="42"/>
    </row>
    <row r="981236" spans="22:22">
      <c r="V981236" s="42"/>
    </row>
    <row r="981431" spans="22:22">
      <c r="V981431" s="42"/>
    </row>
    <row r="981626" spans="22:22">
      <c r="V981626" s="42"/>
    </row>
    <row r="981821" spans="22:22">
      <c r="V981821" s="42"/>
    </row>
    <row r="982016" spans="22:22">
      <c r="V982016" s="42"/>
    </row>
    <row r="982211" spans="22:22">
      <c r="V982211" s="42"/>
    </row>
    <row r="982406" spans="22:22">
      <c r="V982406" s="42"/>
    </row>
    <row r="982601" spans="22:22">
      <c r="V982601" s="42"/>
    </row>
    <row r="982796" spans="22:22">
      <c r="V982796" s="42"/>
    </row>
    <row r="982991" spans="22:22">
      <c r="V982991" s="42"/>
    </row>
    <row r="983186" spans="22:22">
      <c r="V983186" s="42"/>
    </row>
    <row r="983381" spans="22:22">
      <c r="V983381" s="42"/>
    </row>
    <row r="983576" spans="22:22">
      <c r="V983576" s="42"/>
    </row>
    <row r="983771" spans="22:22">
      <c r="V983771" s="42"/>
    </row>
    <row r="983966" spans="22:22">
      <c r="V983966" s="42"/>
    </row>
    <row r="984161" spans="22:22">
      <c r="V984161" s="42"/>
    </row>
    <row r="984356" spans="22:22">
      <c r="V984356" s="42"/>
    </row>
    <row r="984551" spans="22:22">
      <c r="V984551" s="42"/>
    </row>
    <row r="984746" spans="22:22">
      <c r="V984746" s="42"/>
    </row>
    <row r="984941" spans="22:22">
      <c r="V984941" s="42"/>
    </row>
    <row r="985136" spans="22:22">
      <c r="V985136" s="42"/>
    </row>
    <row r="985331" spans="22:22">
      <c r="V985331" s="42"/>
    </row>
    <row r="985526" spans="22:22">
      <c r="V985526" s="42"/>
    </row>
    <row r="985721" spans="22:22">
      <c r="V985721" s="42"/>
    </row>
    <row r="985916" spans="22:22">
      <c r="V985916" s="42"/>
    </row>
    <row r="986111" spans="22:22">
      <c r="V986111" s="42"/>
    </row>
    <row r="986306" spans="22:22">
      <c r="V986306" s="42"/>
    </row>
    <row r="986501" spans="22:22">
      <c r="V986501" s="42"/>
    </row>
    <row r="986696" spans="22:22">
      <c r="V986696" s="42"/>
    </row>
    <row r="986891" spans="22:22">
      <c r="V986891" s="42"/>
    </row>
    <row r="987086" spans="22:22">
      <c r="V987086" s="42"/>
    </row>
    <row r="987281" spans="22:22">
      <c r="V987281" s="42"/>
    </row>
    <row r="987476" spans="22:22">
      <c r="V987476" s="42"/>
    </row>
    <row r="987671" spans="22:22">
      <c r="V987671" s="42"/>
    </row>
    <row r="987866" spans="22:22">
      <c r="V987866" s="42"/>
    </row>
    <row r="988061" spans="22:22">
      <c r="V988061" s="42"/>
    </row>
    <row r="988256" spans="22:22">
      <c r="V988256" s="42"/>
    </row>
    <row r="988451" spans="22:22">
      <c r="V988451" s="42"/>
    </row>
    <row r="988646" spans="22:22">
      <c r="V988646" s="42"/>
    </row>
    <row r="988841" spans="22:22">
      <c r="V988841" s="42"/>
    </row>
    <row r="989036" spans="22:22">
      <c r="V989036" s="42"/>
    </row>
    <row r="989231" spans="22:22">
      <c r="V989231" s="42"/>
    </row>
    <row r="989426" spans="22:22">
      <c r="V989426" s="42"/>
    </row>
    <row r="989621" spans="22:22">
      <c r="V989621" s="42"/>
    </row>
    <row r="989816" spans="22:22">
      <c r="V989816" s="42"/>
    </row>
    <row r="990011" spans="22:22">
      <c r="V990011" s="42"/>
    </row>
    <row r="990206" spans="22:22">
      <c r="V990206" s="42"/>
    </row>
    <row r="990401" spans="22:22">
      <c r="V990401" s="42"/>
    </row>
    <row r="990596" spans="22:22">
      <c r="V990596" s="42"/>
    </row>
    <row r="990791" spans="22:22">
      <c r="V990791" s="42"/>
    </row>
    <row r="990986" spans="22:22">
      <c r="V990986" s="42"/>
    </row>
    <row r="991181" spans="22:22">
      <c r="V991181" s="42"/>
    </row>
    <row r="991376" spans="22:22">
      <c r="V991376" s="42"/>
    </row>
    <row r="991571" spans="22:22">
      <c r="V991571" s="42"/>
    </row>
    <row r="991766" spans="22:22">
      <c r="V991766" s="42"/>
    </row>
    <row r="991961" spans="22:22">
      <c r="V991961" s="42"/>
    </row>
    <row r="992156" spans="22:22">
      <c r="V992156" s="42"/>
    </row>
    <row r="992351" spans="22:22">
      <c r="V992351" s="42"/>
    </row>
    <row r="992546" spans="22:22">
      <c r="V992546" s="42"/>
    </row>
    <row r="992741" spans="22:22">
      <c r="V992741" s="42"/>
    </row>
    <row r="992936" spans="22:22">
      <c r="V992936" s="42"/>
    </row>
    <row r="993131" spans="22:22">
      <c r="V993131" s="42"/>
    </row>
    <row r="993326" spans="22:22">
      <c r="V993326" s="42"/>
    </row>
    <row r="993521" spans="22:22">
      <c r="V993521" s="42"/>
    </row>
    <row r="993716" spans="22:22">
      <c r="V993716" s="42"/>
    </row>
    <row r="993911" spans="22:22">
      <c r="V993911" s="42"/>
    </row>
    <row r="994106" spans="22:22">
      <c r="V994106" s="42"/>
    </row>
    <row r="994301" spans="22:22">
      <c r="V994301" s="42"/>
    </row>
    <row r="994496" spans="22:22">
      <c r="V994496" s="42"/>
    </row>
    <row r="994691" spans="22:22">
      <c r="V994691" s="42"/>
    </row>
    <row r="994886" spans="22:22">
      <c r="V994886" s="42"/>
    </row>
    <row r="995081" spans="22:22">
      <c r="V995081" s="42"/>
    </row>
    <row r="995276" spans="22:22">
      <c r="V995276" s="42"/>
    </row>
    <row r="995471" spans="22:22">
      <c r="V995471" s="42"/>
    </row>
    <row r="995666" spans="22:22">
      <c r="V995666" s="42"/>
    </row>
    <row r="995861" spans="22:22">
      <c r="V995861" s="42"/>
    </row>
    <row r="996056" spans="22:22">
      <c r="V996056" s="42"/>
    </row>
    <row r="996251" spans="22:22">
      <c r="V996251" s="42"/>
    </row>
    <row r="996446" spans="22:22">
      <c r="V996446" s="42"/>
    </row>
    <row r="996641" spans="22:22">
      <c r="V996641" s="42"/>
    </row>
    <row r="996836" spans="22:22">
      <c r="V996836" s="42"/>
    </row>
    <row r="997031" spans="22:22">
      <c r="V997031" s="42"/>
    </row>
    <row r="997226" spans="22:22">
      <c r="V997226" s="42"/>
    </row>
    <row r="997421" spans="22:22">
      <c r="V997421" s="42"/>
    </row>
    <row r="997616" spans="22:22">
      <c r="V997616" s="42"/>
    </row>
    <row r="997811" spans="22:22">
      <c r="V997811" s="42"/>
    </row>
    <row r="998006" spans="22:22">
      <c r="V998006" s="42"/>
    </row>
    <row r="998201" spans="22:22">
      <c r="V998201" s="42"/>
    </row>
    <row r="998396" spans="22:22">
      <c r="V998396" s="42"/>
    </row>
    <row r="998591" spans="22:22">
      <c r="V998591" s="42"/>
    </row>
    <row r="998786" spans="22:22">
      <c r="V998786" s="42"/>
    </row>
    <row r="998981" spans="22:22">
      <c r="V998981" s="42"/>
    </row>
    <row r="999176" spans="22:22">
      <c r="V999176" s="42"/>
    </row>
    <row r="999371" spans="22:22">
      <c r="V999371" s="42"/>
    </row>
    <row r="999566" spans="22:22">
      <c r="V999566" s="42"/>
    </row>
    <row r="999761" spans="22:22">
      <c r="V999761" s="42"/>
    </row>
    <row r="999956" spans="22:22">
      <c r="V999956" s="42"/>
    </row>
    <row r="1000151" spans="22:22">
      <c r="V1000151" s="42"/>
    </row>
    <row r="1000346" spans="22:22">
      <c r="V1000346" s="42"/>
    </row>
    <row r="1000541" spans="22:22">
      <c r="V1000541" s="42"/>
    </row>
    <row r="1000736" spans="22:22">
      <c r="V1000736" s="42"/>
    </row>
    <row r="1000931" spans="22:22">
      <c r="V1000931" s="42"/>
    </row>
    <row r="1001126" spans="22:22">
      <c r="V1001126" s="42"/>
    </row>
    <row r="1001321" spans="22:22">
      <c r="V1001321" s="42"/>
    </row>
    <row r="1001516" spans="22:22">
      <c r="V1001516" s="42"/>
    </row>
    <row r="1001711" spans="22:22">
      <c r="V1001711" s="42"/>
    </row>
    <row r="1001906" spans="22:22">
      <c r="V1001906" s="42"/>
    </row>
    <row r="1002101" spans="22:22">
      <c r="V1002101" s="42"/>
    </row>
    <row r="1002296" spans="22:22">
      <c r="V1002296" s="42"/>
    </row>
    <row r="1002491" spans="22:22">
      <c r="V1002491" s="42"/>
    </row>
    <row r="1002686" spans="22:22">
      <c r="V1002686" s="42"/>
    </row>
    <row r="1002881" spans="22:22">
      <c r="V1002881" s="42"/>
    </row>
    <row r="1003076" spans="22:22">
      <c r="V1003076" s="42"/>
    </row>
    <row r="1003271" spans="22:22">
      <c r="V1003271" s="42"/>
    </row>
    <row r="1003466" spans="22:22">
      <c r="V1003466" s="42"/>
    </row>
    <row r="1003661" spans="22:22">
      <c r="V1003661" s="42"/>
    </row>
    <row r="1003856" spans="22:22">
      <c r="V1003856" s="42"/>
    </row>
    <row r="1004051" spans="22:22">
      <c r="V1004051" s="42"/>
    </row>
    <row r="1004246" spans="22:22">
      <c r="V1004246" s="42"/>
    </row>
    <row r="1004441" spans="22:22">
      <c r="V1004441" s="42"/>
    </row>
    <row r="1004636" spans="22:22">
      <c r="V1004636" s="42"/>
    </row>
    <row r="1004831" spans="22:22">
      <c r="V1004831" s="42"/>
    </row>
    <row r="1005026" spans="22:22">
      <c r="V1005026" s="42"/>
    </row>
    <row r="1005221" spans="22:22">
      <c r="V1005221" s="42"/>
    </row>
    <row r="1005416" spans="22:22">
      <c r="V1005416" s="42"/>
    </row>
    <row r="1005611" spans="22:22">
      <c r="V1005611" s="42"/>
    </row>
    <row r="1005806" spans="22:22">
      <c r="V1005806" s="42"/>
    </row>
    <row r="1006001" spans="22:22">
      <c r="V1006001" s="42"/>
    </row>
    <row r="1006196" spans="22:22">
      <c r="V1006196" s="42"/>
    </row>
    <row r="1006391" spans="22:22">
      <c r="V1006391" s="42"/>
    </row>
    <row r="1006586" spans="22:22">
      <c r="V1006586" s="42"/>
    </row>
    <row r="1006781" spans="22:22">
      <c r="V1006781" s="42"/>
    </row>
    <row r="1006976" spans="22:22">
      <c r="V1006976" s="42"/>
    </row>
    <row r="1007171" spans="22:22">
      <c r="V1007171" s="42"/>
    </row>
    <row r="1007366" spans="22:22">
      <c r="V1007366" s="42"/>
    </row>
    <row r="1007561" spans="22:22">
      <c r="V1007561" s="42"/>
    </row>
    <row r="1007756" spans="22:22">
      <c r="V1007756" s="42"/>
    </row>
    <row r="1007951" spans="22:22">
      <c r="V1007951" s="42"/>
    </row>
    <row r="1008146" spans="22:22">
      <c r="V1008146" s="42"/>
    </row>
    <row r="1008341" spans="22:22">
      <c r="V1008341" s="42"/>
    </row>
    <row r="1008536" spans="22:22">
      <c r="V1008536" s="42"/>
    </row>
    <row r="1008731" spans="22:22">
      <c r="V1008731" s="42"/>
    </row>
    <row r="1008926" spans="22:22">
      <c r="V1008926" s="42"/>
    </row>
    <row r="1009121" spans="22:22">
      <c r="V1009121" s="42"/>
    </row>
    <row r="1009316" spans="22:22">
      <c r="V1009316" s="42"/>
    </row>
    <row r="1009511" spans="22:22">
      <c r="V1009511" s="42"/>
    </row>
    <row r="1009706" spans="22:22">
      <c r="V1009706" s="42"/>
    </row>
    <row r="1009901" spans="22:22">
      <c r="V1009901" s="42"/>
    </row>
    <row r="1010096" spans="22:22">
      <c r="V1010096" s="42"/>
    </row>
    <row r="1010291" spans="22:22">
      <c r="V1010291" s="42"/>
    </row>
    <row r="1010486" spans="22:22">
      <c r="V1010486" s="42"/>
    </row>
    <row r="1010681" spans="22:22">
      <c r="V1010681" s="42"/>
    </row>
    <row r="1010876" spans="22:22">
      <c r="V1010876" s="42"/>
    </row>
    <row r="1011071" spans="22:22">
      <c r="V1011071" s="42"/>
    </row>
    <row r="1011266" spans="22:22">
      <c r="V1011266" s="42"/>
    </row>
    <row r="1011461" spans="22:22">
      <c r="V1011461" s="42"/>
    </row>
    <row r="1011656" spans="22:22">
      <c r="V1011656" s="42"/>
    </row>
    <row r="1011851" spans="22:22">
      <c r="V1011851" s="42"/>
    </row>
    <row r="1012046" spans="22:22">
      <c r="V1012046" s="42"/>
    </row>
    <row r="1012241" spans="22:22">
      <c r="V1012241" s="42"/>
    </row>
    <row r="1012436" spans="22:22">
      <c r="V1012436" s="42"/>
    </row>
    <row r="1012631" spans="22:22">
      <c r="V1012631" s="42"/>
    </row>
    <row r="1012826" spans="22:22">
      <c r="V1012826" s="42"/>
    </row>
    <row r="1013021" spans="22:22">
      <c r="V1013021" s="42"/>
    </row>
    <row r="1013216" spans="22:22">
      <c r="V1013216" s="42"/>
    </row>
    <row r="1013411" spans="22:22">
      <c r="V1013411" s="42"/>
    </row>
    <row r="1013606" spans="22:22">
      <c r="V1013606" s="42"/>
    </row>
    <row r="1013801" spans="22:22">
      <c r="V1013801" s="42"/>
    </row>
    <row r="1013996" spans="22:22">
      <c r="V1013996" s="42"/>
    </row>
    <row r="1014191" spans="22:22">
      <c r="V1014191" s="42"/>
    </row>
    <row r="1014386" spans="22:22">
      <c r="V1014386" s="42"/>
    </row>
    <row r="1014581" spans="22:22">
      <c r="V1014581" s="42"/>
    </row>
    <row r="1014776" spans="22:22">
      <c r="V1014776" s="42"/>
    </row>
    <row r="1014971" spans="22:22">
      <c r="V1014971" s="42"/>
    </row>
    <row r="1015166" spans="22:22">
      <c r="V1015166" s="42"/>
    </row>
    <row r="1015361" spans="22:22">
      <c r="V1015361" s="42"/>
    </row>
    <row r="1015556" spans="22:22">
      <c r="V1015556" s="42"/>
    </row>
    <row r="1015751" spans="22:22">
      <c r="V1015751" s="42"/>
    </row>
    <row r="1015946" spans="22:22">
      <c r="V1015946" s="42"/>
    </row>
    <row r="1016141" spans="22:22">
      <c r="V1016141" s="42"/>
    </row>
    <row r="1016336" spans="22:22">
      <c r="V1016336" s="42"/>
    </row>
    <row r="1016531" spans="22:22">
      <c r="V1016531" s="42"/>
    </row>
    <row r="1016726" spans="22:22">
      <c r="V1016726" s="42"/>
    </row>
    <row r="1016921" spans="22:22">
      <c r="V1016921" s="42"/>
    </row>
    <row r="1017116" spans="22:22">
      <c r="V1017116" s="42"/>
    </row>
    <row r="1017311" spans="22:22">
      <c r="V1017311" s="42"/>
    </row>
    <row r="1017506" spans="22:22">
      <c r="V1017506" s="42"/>
    </row>
    <row r="1017701" spans="22:22">
      <c r="V1017701" s="42"/>
    </row>
    <row r="1017896" spans="22:22">
      <c r="V1017896" s="42"/>
    </row>
    <row r="1018091" spans="22:22">
      <c r="V1018091" s="42"/>
    </row>
    <row r="1018286" spans="22:22">
      <c r="V1018286" s="42"/>
    </row>
    <row r="1018481" spans="22:22">
      <c r="V1018481" s="42"/>
    </row>
    <row r="1018676" spans="22:22">
      <c r="V1018676" s="42"/>
    </row>
    <row r="1018871" spans="22:22">
      <c r="V1018871" s="42"/>
    </row>
    <row r="1019066" spans="22:22">
      <c r="V1019066" s="42"/>
    </row>
    <row r="1019261" spans="22:22">
      <c r="V1019261" s="42"/>
    </row>
    <row r="1019456" spans="22:22">
      <c r="V1019456" s="42"/>
    </row>
    <row r="1019651" spans="22:22">
      <c r="V1019651" s="42"/>
    </row>
    <row r="1019846" spans="22:22">
      <c r="V1019846" s="42"/>
    </row>
    <row r="1020041" spans="22:22">
      <c r="V1020041" s="42"/>
    </row>
    <row r="1020236" spans="22:22">
      <c r="V1020236" s="42"/>
    </row>
    <row r="1020431" spans="22:22">
      <c r="V1020431" s="42"/>
    </row>
    <row r="1020626" spans="22:22">
      <c r="V1020626" s="42"/>
    </row>
    <row r="1020821" spans="22:22">
      <c r="V1020821" s="42"/>
    </row>
    <row r="1021016" spans="22:22">
      <c r="V1021016" s="42"/>
    </row>
    <row r="1021211" spans="22:22">
      <c r="V1021211" s="42"/>
    </row>
    <row r="1021406" spans="22:22">
      <c r="V1021406" s="42"/>
    </row>
    <row r="1021601" spans="22:22">
      <c r="V1021601" s="42"/>
    </row>
    <row r="1021796" spans="22:22">
      <c r="V1021796" s="42"/>
    </row>
    <row r="1021991" spans="22:22">
      <c r="V1021991" s="42"/>
    </row>
    <row r="1022186" spans="22:22">
      <c r="V1022186" s="42"/>
    </row>
    <row r="1022381" spans="22:22">
      <c r="V1022381" s="42"/>
    </row>
    <row r="1022576" spans="22:22">
      <c r="V1022576" s="42"/>
    </row>
    <row r="1022771" spans="22:22">
      <c r="V1022771" s="42"/>
    </row>
    <row r="1022966" spans="22:22">
      <c r="V1022966" s="42"/>
    </row>
    <row r="1023161" spans="22:22">
      <c r="V1023161" s="42"/>
    </row>
    <row r="1023356" spans="22:22">
      <c r="V1023356" s="42"/>
    </row>
    <row r="1023551" spans="22:22">
      <c r="V1023551" s="42"/>
    </row>
    <row r="1023746" spans="22:22">
      <c r="V1023746" s="42"/>
    </row>
    <row r="1023941" spans="22:22">
      <c r="V1023941" s="42"/>
    </row>
    <row r="1024136" spans="22:22">
      <c r="V1024136" s="42"/>
    </row>
    <row r="1024331" spans="22:22">
      <c r="V1024331" s="42"/>
    </row>
    <row r="1024526" spans="22:22">
      <c r="V1024526" s="42"/>
    </row>
    <row r="1024721" spans="22:22">
      <c r="V1024721" s="42"/>
    </row>
    <row r="1024916" spans="22:22">
      <c r="V1024916" s="42"/>
    </row>
    <row r="1025111" spans="22:22">
      <c r="V1025111" s="42"/>
    </row>
    <row r="1025306" spans="22:22">
      <c r="V1025306" s="42"/>
    </row>
    <row r="1025501" spans="22:22">
      <c r="V1025501" s="42"/>
    </row>
    <row r="1025696" spans="22:22">
      <c r="V1025696" s="42"/>
    </row>
    <row r="1025891" spans="22:22">
      <c r="V1025891" s="42"/>
    </row>
    <row r="1026086" spans="22:22">
      <c r="V1026086" s="42"/>
    </row>
    <row r="1026281" spans="22:22">
      <c r="V1026281" s="42"/>
    </row>
    <row r="1026476" spans="22:22">
      <c r="V1026476" s="42"/>
    </row>
    <row r="1026671" spans="22:22">
      <c r="V1026671" s="42"/>
    </row>
    <row r="1026866" spans="22:22">
      <c r="V1026866" s="42"/>
    </row>
    <row r="1027061" spans="22:22">
      <c r="V1027061" s="42"/>
    </row>
    <row r="1027256" spans="22:22">
      <c r="V1027256" s="42"/>
    </row>
    <row r="1027451" spans="22:22">
      <c r="V1027451" s="42"/>
    </row>
    <row r="1027646" spans="22:22">
      <c r="V1027646" s="42"/>
    </row>
    <row r="1027841" spans="22:22">
      <c r="V1027841" s="42"/>
    </row>
    <row r="1028036" spans="22:22">
      <c r="V1028036" s="42"/>
    </row>
    <row r="1028231" spans="22:22">
      <c r="V1028231" s="42"/>
    </row>
    <row r="1028426" spans="22:22">
      <c r="V1028426" s="42"/>
    </row>
    <row r="1028621" spans="22:22">
      <c r="V1028621" s="42"/>
    </row>
    <row r="1028816" spans="22:22">
      <c r="V1028816" s="42"/>
    </row>
    <row r="1029011" spans="22:22">
      <c r="V1029011" s="42"/>
    </row>
    <row r="1029206" spans="22:22">
      <c r="V1029206" s="42"/>
    </row>
    <row r="1029401" spans="22:22">
      <c r="V1029401" s="42"/>
    </row>
    <row r="1029596" spans="22:22">
      <c r="V1029596" s="42"/>
    </row>
    <row r="1029791" spans="22:22">
      <c r="V1029791" s="42"/>
    </row>
    <row r="1029986" spans="22:22">
      <c r="V1029986" s="42"/>
    </row>
    <row r="1030181" spans="22:22">
      <c r="V1030181" s="42"/>
    </row>
    <row r="1030376" spans="22:22">
      <c r="V1030376" s="42"/>
    </row>
    <row r="1030571" spans="22:22">
      <c r="V1030571" s="42"/>
    </row>
    <row r="1030766" spans="22:22">
      <c r="V1030766" s="42"/>
    </row>
    <row r="1030961" spans="22:22">
      <c r="V1030961" s="42"/>
    </row>
    <row r="1031156" spans="22:22">
      <c r="V1031156" s="42"/>
    </row>
    <row r="1031351" spans="22:22">
      <c r="V1031351" s="42"/>
    </row>
    <row r="1031546" spans="22:22">
      <c r="V1031546" s="42"/>
    </row>
    <row r="1031741" spans="22:22">
      <c r="V1031741" s="42"/>
    </row>
    <row r="1031936" spans="22:22">
      <c r="V1031936" s="42"/>
    </row>
    <row r="1032131" spans="22:22">
      <c r="V1032131" s="42"/>
    </row>
    <row r="1032326" spans="22:22">
      <c r="V1032326" s="42"/>
    </row>
    <row r="1032521" spans="22:22">
      <c r="V1032521" s="42"/>
    </row>
    <row r="1032716" spans="22:22">
      <c r="V1032716" s="42"/>
    </row>
    <row r="1032911" spans="22:22">
      <c r="V1032911" s="42"/>
    </row>
    <row r="1033106" spans="22:22">
      <c r="V1033106" s="42"/>
    </row>
    <row r="1033301" spans="22:22">
      <c r="V1033301" s="42"/>
    </row>
    <row r="1033496" spans="22:22">
      <c r="V1033496" s="42"/>
    </row>
    <row r="1033691" spans="22:22">
      <c r="V1033691" s="42"/>
    </row>
    <row r="1033886" spans="22:22">
      <c r="V1033886" s="42"/>
    </row>
    <row r="1034081" spans="22:22">
      <c r="V1034081" s="42"/>
    </row>
    <row r="1034276" spans="22:22">
      <c r="V1034276" s="42"/>
    </row>
    <row r="1034471" spans="22:22">
      <c r="V1034471" s="42"/>
    </row>
    <row r="1034666" spans="22:22">
      <c r="V1034666" s="42"/>
    </row>
    <row r="1034861" spans="22:22">
      <c r="V1034861" s="42"/>
    </row>
    <row r="1035056" spans="22:22">
      <c r="V1035056" s="42"/>
    </row>
    <row r="1035251" spans="22:22">
      <c r="V1035251" s="42"/>
    </row>
    <row r="1035446" spans="22:22">
      <c r="V1035446" s="42"/>
    </row>
    <row r="1035641" spans="22:22">
      <c r="V1035641" s="42"/>
    </row>
    <row r="1035836" spans="22:22">
      <c r="V1035836" s="42"/>
    </row>
    <row r="1036031" spans="22:22">
      <c r="V1036031" s="42"/>
    </row>
    <row r="1036226" spans="22:22">
      <c r="V1036226" s="42"/>
    </row>
    <row r="1036421" spans="22:22">
      <c r="V1036421" s="42"/>
    </row>
    <row r="1036616" spans="22:22">
      <c r="V1036616" s="42"/>
    </row>
    <row r="1036811" spans="22:22">
      <c r="V1036811" s="42"/>
    </row>
    <row r="1037006" spans="22:22">
      <c r="V1037006" s="42"/>
    </row>
    <row r="1037201" spans="22:22">
      <c r="V1037201" s="42"/>
    </row>
    <row r="1037396" spans="22:22">
      <c r="V1037396" s="42"/>
    </row>
    <row r="1037591" spans="22:22">
      <c r="V1037591" s="42"/>
    </row>
    <row r="1037786" spans="22:22">
      <c r="V1037786" s="42"/>
    </row>
    <row r="1037981" spans="22:22">
      <c r="V1037981" s="42"/>
    </row>
    <row r="1038176" spans="22:22">
      <c r="V1038176" s="42"/>
    </row>
    <row r="1038371" spans="22:22">
      <c r="V1038371" s="42"/>
    </row>
    <row r="1038566" spans="22:22">
      <c r="V1038566" s="42"/>
    </row>
    <row r="1038761" spans="22:22">
      <c r="V1038761" s="42"/>
    </row>
    <row r="1038956" spans="22:22">
      <c r="V1038956" s="42"/>
    </row>
    <row r="1039151" spans="22:22">
      <c r="V1039151" s="42"/>
    </row>
    <row r="1039346" spans="22:22">
      <c r="V1039346" s="42"/>
    </row>
    <row r="1039541" spans="22:22">
      <c r="V1039541" s="42"/>
    </row>
    <row r="1039736" spans="22:22">
      <c r="V1039736" s="42"/>
    </row>
    <row r="1039931" spans="22:22">
      <c r="V1039931" s="42"/>
    </row>
    <row r="1040126" spans="22:22">
      <c r="V1040126" s="42"/>
    </row>
    <row r="1040321" spans="22:22">
      <c r="V1040321" s="42"/>
    </row>
    <row r="1040516" spans="22:22">
      <c r="V1040516" s="42"/>
    </row>
    <row r="1040711" spans="22:22">
      <c r="V1040711" s="42"/>
    </row>
    <row r="1040906" spans="22:22">
      <c r="V1040906" s="42"/>
    </row>
    <row r="1041101" spans="22:22">
      <c r="V1041101" s="42"/>
    </row>
    <row r="1041296" spans="22:22">
      <c r="V1041296" s="42"/>
    </row>
    <row r="1041491" spans="22:22">
      <c r="V1041491" s="42"/>
    </row>
    <row r="1041686" spans="22:22">
      <c r="V1041686" s="42"/>
    </row>
    <row r="1041881" spans="22:22">
      <c r="V1041881" s="42"/>
    </row>
    <row r="1042076" spans="22:22">
      <c r="V1042076" s="42"/>
    </row>
    <row r="1042271" spans="22:22">
      <c r="V1042271" s="42"/>
    </row>
    <row r="1042466" spans="22:22">
      <c r="V1042466" s="42"/>
    </row>
    <row r="1042661" spans="22:22">
      <c r="V1042661" s="42"/>
    </row>
    <row r="1042856" spans="22:22">
      <c r="V1042856" s="42"/>
    </row>
    <row r="1043051" spans="22:22">
      <c r="V1043051" s="42"/>
    </row>
    <row r="1043246" spans="22:22">
      <c r="V1043246" s="42"/>
    </row>
    <row r="1043441" spans="22:22">
      <c r="V1043441" s="42"/>
    </row>
    <row r="1043636" spans="22:22">
      <c r="V1043636" s="42"/>
    </row>
    <row r="1043831" spans="22:22">
      <c r="V1043831" s="42"/>
    </row>
    <row r="1044026" spans="22:22">
      <c r="V1044026" s="42"/>
    </row>
    <row r="1044221" spans="22:22">
      <c r="V1044221" s="42"/>
    </row>
    <row r="1044416" spans="22:22">
      <c r="V1044416" s="42"/>
    </row>
    <row r="1044611" spans="22:22">
      <c r="V1044611" s="42"/>
    </row>
    <row r="1044806" spans="22:22">
      <c r="V1044806" s="42"/>
    </row>
    <row r="1045001" spans="22:22">
      <c r="V1045001" s="42"/>
    </row>
    <row r="1045196" spans="22:22">
      <c r="V1045196" s="42"/>
    </row>
    <row r="1045391" spans="22:22">
      <c r="V1045391" s="42"/>
    </row>
    <row r="1045586" spans="22:22">
      <c r="V1045586" s="42"/>
    </row>
    <row r="1045781" spans="22:22">
      <c r="V1045781" s="42"/>
    </row>
    <row r="1045976" spans="22:22">
      <c r="V1045976" s="42"/>
    </row>
    <row r="1046171" spans="22:22">
      <c r="V1046171" s="42"/>
    </row>
    <row r="1046366" spans="22:22">
      <c r="V1046366" s="42"/>
    </row>
    <row r="1046561" spans="22:22">
      <c r="V1046561" s="42"/>
    </row>
    <row r="1046756" spans="22:22">
      <c r="V1046756" s="42"/>
    </row>
    <row r="1046951" spans="22:22">
      <c r="V1046951" s="42"/>
    </row>
    <row r="1047146" spans="22:22">
      <c r="V1047146" s="42"/>
    </row>
    <row r="1047341" spans="22:22">
      <c r="V1047341" s="42"/>
    </row>
    <row r="1047536" spans="22:22">
      <c r="V1047536" s="42"/>
    </row>
    <row r="1047731" spans="22:22">
      <c r="V1047731" s="42"/>
    </row>
    <row r="1047926" spans="22:22">
      <c r="V1047926" s="42"/>
    </row>
    <row r="1048121" spans="22:22">
      <c r="V1048121" s="42"/>
    </row>
    <row r="1048316" spans="22:22">
      <c r="V1048316" s="42"/>
    </row>
    <row r="1048511" spans="22:22">
      <c r="V1048511" s="42"/>
    </row>
  </sheetData>
  <mergeCells count="140">
    <mergeCell ref="Y179:Y193"/>
    <mergeCell ref="Z179:Z193"/>
    <mergeCell ref="AA179:AA193"/>
    <mergeCell ref="AB179:AB193"/>
    <mergeCell ref="R180:R188"/>
    <mergeCell ref="S180:S184"/>
    <mergeCell ref="S187:S188"/>
    <mergeCell ref="Y164:Y178"/>
    <mergeCell ref="Z164:Z178"/>
    <mergeCell ref="AA164:AA178"/>
    <mergeCell ref="AB164:AB178"/>
    <mergeCell ref="R172:R173"/>
    <mergeCell ref="A179:A193"/>
    <mergeCell ref="B179:B193"/>
    <mergeCell ref="D179:D193"/>
    <mergeCell ref="W179:W193"/>
    <mergeCell ref="X179:X193"/>
    <mergeCell ref="X141:X163"/>
    <mergeCell ref="Y141:Y163"/>
    <mergeCell ref="Z141:Z163"/>
    <mergeCell ref="AA141:AA163"/>
    <mergeCell ref="AB141:AB163"/>
    <mergeCell ref="A164:A178"/>
    <mergeCell ref="B164:B178"/>
    <mergeCell ref="D164:D178"/>
    <mergeCell ref="W164:W178"/>
    <mergeCell ref="X164:X178"/>
    <mergeCell ref="Y128:Y140"/>
    <mergeCell ref="Z128:Z140"/>
    <mergeCell ref="AA128:AA140"/>
    <mergeCell ref="AB128:AB140"/>
    <mergeCell ref="S130:S131"/>
    <mergeCell ref="A141:A163"/>
    <mergeCell ref="B141:B163"/>
    <mergeCell ref="D141:D163"/>
    <mergeCell ref="Q141:T143"/>
    <mergeCell ref="W141:W163"/>
    <mergeCell ref="AA116:AA127"/>
    <mergeCell ref="AB116:AB127"/>
    <mergeCell ref="Q117:Q125"/>
    <mergeCell ref="R117:R125"/>
    <mergeCell ref="S117:S125"/>
    <mergeCell ref="A128:A140"/>
    <mergeCell ref="B128:B140"/>
    <mergeCell ref="D128:D140"/>
    <mergeCell ref="W128:W140"/>
    <mergeCell ref="X128:X140"/>
    <mergeCell ref="AB106:AB115"/>
    <mergeCell ref="Q107:Q116"/>
    <mergeCell ref="T115:T116"/>
    <mergeCell ref="A116:A127"/>
    <mergeCell ref="B116:B127"/>
    <mergeCell ref="D116:D127"/>
    <mergeCell ref="W116:W127"/>
    <mergeCell ref="X116:X127"/>
    <mergeCell ref="Y116:Y127"/>
    <mergeCell ref="Z116:Z127"/>
    <mergeCell ref="AA91:AA105"/>
    <mergeCell ref="AB91:AB105"/>
    <mergeCell ref="A106:A115"/>
    <mergeCell ref="B106:B115"/>
    <mergeCell ref="D106:D115"/>
    <mergeCell ref="W106:W115"/>
    <mergeCell ref="X106:X115"/>
    <mergeCell ref="Y106:Y115"/>
    <mergeCell ref="Z106:Z115"/>
    <mergeCell ref="AA106:AA115"/>
    <mergeCell ref="Z55:Z90"/>
    <mergeCell ref="AA55:AA90"/>
    <mergeCell ref="AB55:AB90"/>
    <mergeCell ref="A91:A105"/>
    <mergeCell ref="B91:B105"/>
    <mergeCell ref="D91:D105"/>
    <mergeCell ref="W91:W105"/>
    <mergeCell ref="X91:X105"/>
    <mergeCell ref="Y91:Y105"/>
    <mergeCell ref="Z91:Z105"/>
    <mergeCell ref="Z39:Z54"/>
    <mergeCell ref="AA39:AA54"/>
    <mergeCell ref="AB39:AB54"/>
    <mergeCell ref="R40:R41"/>
    <mergeCell ref="A55:A90"/>
    <mergeCell ref="B55:B90"/>
    <mergeCell ref="D55:D90"/>
    <mergeCell ref="W55:W90"/>
    <mergeCell ref="X55:X90"/>
    <mergeCell ref="Y55:Y90"/>
    <mergeCell ref="A39:A54"/>
    <mergeCell ref="B39:B54"/>
    <mergeCell ref="D39:D54"/>
    <mergeCell ref="W39:W54"/>
    <mergeCell ref="X39:X54"/>
    <mergeCell ref="Y39:Y54"/>
    <mergeCell ref="W24:W38"/>
    <mergeCell ref="X24:X38"/>
    <mergeCell ref="Y24:Y38"/>
    <mergeCell ref="Z24:Z38"/>
    <mergeCell ref="AA24:AA38"/>
    <mergeCell ref="AB24:AB38"/>
    <mergeCell ref="Q18:Q22"/>
    <mergeCell ref="R18:R22"/>
    <mergeCell ref="S18:S22"/>
    <mergeCell ref="T18:T22"/>
    <mergeCell ref="A24:A38"/>
    <mergeCell ref="B24:B38"/>
    <mergeCell ref="D24:D38"/>
    <mergeCell ref="Q26:Q27"/>
    <mergeCell ref="Q31:Q38"/>
    <mergeCell ref="Z11:Z23"/>
    <mergeCell ref="AA11:AA23"/>
    <mergeCell ref="AB11:AB23"/>
    <mergeCell ref="R12:R17"/>
    <mergeCell ref="S12:S17"/>
    <mergeCell ref="T12:T17"/>
    <mergeCell ref="Z3:Z10"/>
    <mergeCell ref="AA3:AA10"/>
    <mergeCell ref="AB3:AB10"/>
    <mergeCell ref="A11:A23"/>
    <mergeCell ref="B11:B23"/>
    <mergeCell ref="D11:D23"/>
    <mergeCell ref="Q11:Q17"/>
    <mergeCell ref="W11:W23"/>
    <mergeCell ref="X11:X23"/>
    <mergeCell ref="Y11:Y23"/>
    <mergeCell ref="Q1:V1"/>
    <mergeCell ref="W1:AB1"/>
    <mergeCell ref="A3:A10"/>
    <mergeCell ref="B3:B10"/>
    <mergeCell ref="D3:D10"/>
    <mergeCell ref="Q3:Q10"/>
    <mergeCell ref="S3:S7"/>
    <mergeCell ref="W3:W10"/>
    <mergeCell ref="X3:X10"/>
    <mergeCell ref="Y3:Y10"/>
    <mergeCell ref="E1:F1"/>
    <mergeCell ref="G1:H1"/>
    <mergeCell ref="I1:J1"/>
    <mergeCell ref="K1:L1"/>
    <mergeCell ref="M1:N1"/>
    <mergeCell ref="O1:P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Props1.xml><?xml version="1.0" encoding="utf-8"?>
<ds:datastoreItem xmlns:ds="http://schemas.openxmlformats.org/officeDocument/2006/customXml" ds:itemID="{B0F99332-3FEF-4BA9-98A9-9FCA95A1F7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AEAE02-E7A7-483D-B322-A85C12792E14}">
  <ds:schemaRefs>
    <ds:schemaRef ds:uri="http://schemas.microsoft.com/sharepoint/v3/contenttype/forms"/>
  </ds:schemaRefs>
</ds:datastoreItem>
</file>

<file path=customXml/itemProps3.xml><?xml version="1.0" encoding="utf-8"?>
<ds:datastoreItem xmlns:ds="http://schemas.openxmlformats.org/officeDocument/2006/customXml" ds:itemID="{B912F7AA-50EB-4387-9728-1DC9DC81472B}">
  <ds:schemaRefs>
    <ds:schemaRef ds:uri="http://purl.org/dc/elements/1.1/"/>
    <ds:schemaRef ds:uri="http://schemas.microsoft.com/office/2006/metadata/properties"/>
    <ds:schemaRef ds:uri="http://purl.org/dc/terms/"/>
    <ds:schemaRef ds:uri="http://purl.org/dc/dcmitype/"/>
    <ds:schemaRef ds:uri="http://schemas.microsoft.com/office/2006/documentManagement/types"/>
    <ds:schemaRef ds:uri="5add0bd2-c77a-462d-bf1b-4bc5b2b102e1"/>
    <ds:schemaRef ds:uri="bf2567e6-16f4-4c6b-b0e9-0ea0396e433b"/>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RFP-Personalization and Experim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Agnihotri (Digital,ISC)(X-IGT Solutions)</dc:creator>
  <cp:lastModifiedBy>Rohit Agnihotri (Digital,ISC)(X-IGT Solutions)</cp:lastModifiedBy>
  <dcterms:created xsi:type="dcterms:W3CDTF">2026-10-19T12:25:55Z</dcterms:created>
  <dcterms:modified xsi:type="dcterms:W3CDTF">2026-10-19T12:26:16Z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