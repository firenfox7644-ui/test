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indigoin-my.sharepoint.com/personal/rohit_x_agnihotri_goindigo_in/Documents/Desktop/"/>
    </mc:Choice>
  </mc:AlternateContent>
  <xr:revisionPtr revIDLastSave="0" documentId="8_{ADCB728E-9F7E-4947-ABE1-C81790020F43}" xr6:coauthVersionLast="36" xr6:coauthVersionMax="36" xr10:uidLastSave="{00000000-0000-0000-0000-000000000000}"/>
  <bookViews>
    <workbookView xWindow="0" yWindow="0" windowWidth="23040" windowHeight="8364" xr2:uid="{07EC790F-29FB-4148-9921-07716DD968C8}"/>
  </bookViews>
  <sheets>
    <sheet name="RFP-OCM and MarTech" sheetId="1" r:id="rId1"/>
  </sheets>
  <definedNames>
    <definedName name="_xlnm._FilterDatabase" localSheetId="0" hidden="1">'RFP-OCM and MarTech'!$A$2:$AI$77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7" i="1" l="1"/>
  <c r="R76" i="1"/>
  <c r="P76" i="1"/>
  <c r="N76" i="1"/>
  <c r="L76" i="1"/>
  <c r="J76" i="1"/>
  <c r="H76" i="1"/>
  <c r="F76" i="1"/>
  <c r="R75" i="1"/>
  <c r="P75" i="1"/>
  <c r="N75" i="1"/>
  <c r="L75" i="1"/>
  <c r="J75" i="1"/>
  <c r="H75" i="1"/>
  <c r="F75" i="1"/>
  <c r="R74" i="1"/>
  <c r="P74" i="1"/>
  <c r="N74" i="1"/>
  <c r="L74" i="1"/>
  <c r="J74" i="1"/>
  <c r="H74" i="1"/>
  <c r="F74" i="1"/>
  <c r="AF73" i="1"/>
  <c r="AE73" i="1"/>
  <c r="AD73" i="1"/>
  <c r="AC73" i="1"/>
  <c r="AB73" i="1"/>
  <c r="AA73" i="1"/>
  <c r="Z73" i="1"/>
  <c r="R73" i="1"/>
  <c r="P73" i="1"/>
  <c r="N73" i="1"/>
  <c r="L73" i="1"/>
  <c r="J73" i="1"/>
  <c r="H73" i="1"/>
  <c r="F73" i="1"/>
  <c r="R72" i="1"/>
  <c r="P72" i="1"/>
  <c r="N72" i="1"/>
  <c r="L72" i="1"/>
  <c r="J72" i="1"/>
  <c r="H72" i="1"/>
  <c r="F72" i="1"/>
  <c r="R71" i="1"/>
  <c r="P71" i="1"/>
  <c r="N71" i="1"/>
  <c r="L71" i="1"/>
  <c r="J71" i="1"/>
  <c r="H71" i="1"/>
  <c r="F71" i="1"/>
  <c r="R70" i="1"/>
  <c r="P70" i="1"/>
  <c r="N70" i="1"/>
  <c r="L70" i="1"/>
  <c r="J70" i="1"/>
  <c r="H70" i="1"/>
  <c r="F70" i="1"/>
  <c r="R69" i="1"/>
  <c r="P69" i="1"/>
  <c r="N69" i="1"/>
  <c r="L69" i="1"/>
  <c r="J69" i="1"/>
  <c r="H69" i="1"/>
  <c r="F69" i="1"/>
  <c r="R68" i="1"/>
  <c r="P68" i="1"/>
  <c r="N68" i="1"/>
  <c r="L68" i="1"/>
  <c r="J68" i="1"/>
  <c r="H68" i="1"/>
  <c r="F68" i="1"/>
  <c r="R67" i="1"/>
  <c r="P67" i="1"/>
  <c r="N67" i="1"/>
  <c r="L67" i="1"/>
  <c r="J67" i="1"/>
  <c r="H67" i="1"/>
  <c r="F67" i="1"/>
  <c r="AF66" i="1"/>
  <c r="AE66" i="1"/>
  <c r="AD66" i="1"/>
  <c r="AC66" i="1"/>
  <c r="AB66" i="1"/>
  <c r="AA66" i="1"/>
  <c r="Z66" i="1"/>
  <c r="R66" i="1"/>
  <c r="P66" i="1"/>
  <c r="N66" i="1"/>
  <c r="L66" i="1"/>
  <c r="J66" i="1"/>
  <c r="H66" i="1"/>
  <c r="F66" i="1"/>
  <c r="R65" i="1"/>
  <c r="P65" i="1"/>
  <c r="N65" i="1"/>
  <c r="L65" i="1"/>
  <c r="J65" i="1"/>
  <c r="H65" i="1"/>
  <c r="F65" i="1"/>
  <c r="R64" i="1"/>
  <c r="P64" i="1"/>
  <c r="N64" i="1"/>
  <c r="L64" i="1"/>
  <c r="J64" i="1"/>
  <c r="H64" i="1"/>
  <c r="F64" i="1"/>
  <c r="R63" i="1"/>
  <c r="P63" i="1"/>
  <c r="N63" i="1"/>
  <c r="L63" i="1"/>
  <c r="J63" i="1"/>
  <c r="H63" i="1"/>
  <c r="F63" i="1"/>
  <c r="R62" i="1"/>
  <c r="P62" i="1"/>
  <c r="N62" i="1"/>
  <c r="L62" i="1"/>
  <c r="J62" i="1"/>
  <c r="H62" i="1"/>
  <c r="F62" i="1"/>
  <c r="AF61" i="1"/>
  <c r="AE61" i="1"/>
  <c r="AD61" i="1"/>
  <c r="AC61" i="1"/>
  <c r="AB61" i="1"/>
  <c r="AA61" i="1"/>
  <c r="Z61" i="1"/>
  <c r="R61" i="1"/>
  <c r="P61" i="1"/>
  <c r="N61" i="1"/>
  <c r="L61" i="1"/>
  <c r="J61" i="1"/>
  <c r="H61" i="1"/>
  <c r="F61" i="1"/>
  <c r="R60" i="1"/>
  <c r="P60" i="1"/>
  <c r="N60" i="1"/>
  <c r="L60" i="1"/>
  <c r="J60" i="1"/>
  <c r="H60" i="1"/>
  <c r="F60" i="1"/>
  <c r="R59" i="1"/>
  <c r="P59" i="1"/>
  <c r="N59" i="1"/>
  <c r="L59" i="1"/>
  <c r="J59" i="1"/>
  <c r="H59" i="1"/>
  <c r="F59" i="1"/>
  <c r="R58" i="1"/>
  <c r="P58" i="1"/>
  <c r="N58" i="1"/>
  <c r="L58" i="1"/>
  <c r="J58" i="1"/>
  <c r="H58" i="1"/>
  <c r="F58" i="1"/>
  <c r="R57" i="1"/>
  <c r="P57" i="1"/>
  <c r="N57" i="1"/>
  <c r="L57" i="1"/>
  <c r="J57" i="1"/>
  <c r="H57" i="1"/>
  <c r="F57" i="1"/>
  <c r="AF56" i="1"/>
  <c r="AE56" i="1"/>
  <c r="AD56" i="1"/>
  <c r="AC56" i="1"/>
  <c r="AB56" i="1"/>
  <c r="AA56" i="1"/>
  <c r="Z56" i="1"/>
  <c r="R56" i="1"/>
  <c r="P56" i="1"/>
  <c r="N56" i="1"/>
  <c r="L56" i="1"/>
  <c r="J56" i="1"/>
  <c r="H56" i="1"/>
  <c r="F56" i="1"/>
  <c r="R55" i="1"/>
  <c r="P55" i="1"/>
  <c r="N55" i="1"/>
  <c r="L55" i="1"/>
  <c r="J55" i="1"/>
  <c r="H55" i="1"/>
  <c r="F55" i="1"/>
  <c r="R54" i="1"/>
  <c r="P54" i="1"/>
  <c r="N54" i="1"/>
  <c r="L54" i="1"/>
  <c r="J54" i="1"/>
  <c r="H54" i="1"/>
  <c r="F54" i="1"/>
  <c r="R53" i="1"/>
  <c r="P53" i="1"/>
  <c r="N53" i="1"/>
  <c r="L53" i="1"/>
  <c r="J53" i="1"/>
  <c r="H53" i="1"/>
  <c r="F53" i="1"/>
  <c r="R52" i="1"/>
  <c r="P52" i="1"/>
  <c r="N52" i="1"/>
  <c r="L52" i="1"/>
  <c r="J52" i="1"/>
  <c r="H52" i="1"/>
  <c r="F52" i="1"/>
  <c r="R51" i="1"/>
  <c r="P51" i="1"/>
  <c r="N51" i="1"/>
  <c r="L51" i="1"/>
  <c r="J51" i="1"/>
  <c r="H51" i="1"/>
  <c r="F51" i="1"/>
  <c r="R50" i="1"/>
  <c r="P50" i="1"/>
  <c r="N50" i="1"/>
  <c r="L50" i="1"/>
  <c r="J50" i="1"/>
  <c r="H50" i="1"/>
  <c r="F50" i="1"/>
  <c r="R49" i="1"/>
  <c r="P49" i="1"/>
  <c r="N49" i="1"/>
  <c r="L49" i="1"/>
  <c r="J49" i="1"/>
  <c r="H49" i="1"/>
  <c r="F49" i="1"/>
  <c r="AF48" i="1"/>
  <c r="AE48" i="1"/>
  <c r="AD48" i="1"/>
  <c r="AC48" i="1"/>
  <c r="AB48" i="1"/>
  <c r="AA48" i="1"/>
  <c r="Z48" i="1"/>
  <c r="R48" i="1"/>
  <c r="P48" i="1"/>
  <c r="N48" i="1"/>
  <c r="L48" i="1"/>
  <c r="J48" i="1"/>
  <c r="H48" i="1"/>
  <c r="F48" i="1"/>
  <c r="R47" i="1"/>
  <c r="P47" i="1"/>
  <c r="N47" i="1"/>
  <c r="L47" i="1"/>
  <c r="J47" i="1"/>
  <c r="H47" i="1"/>
  <c r="F47" i="1"/>
  <c r="R46" i="1"/>
  <c r="P46" i="1"/>
  <c r="N46" i="1"/>
  <c r="L46" i="1"/>
  <c r="J46" i="1"/>
  <c r="H46" i="1"/>
  <c r="F46" i="1"/>
  <c r="AF45" i="1"/>
  <c r="AE45" i="1"/>
  <c r="AD45" i="1"/>
  <c r="AC45" i="1"/>
  <c r="AB45" i="1"/>
  <c r="AA45" i="1"/>
  <c r="Z45" i="1"/>
  <c r="R45" i="1"/>
  <c r="P45" i="1"/>
  <c r="N45" i="1"/>
  <c r="L45" i="1"/>
  <c r="J45" i="1"/>
  <c r="H45" i="1"/>
  <c r="F45" i="1"/>
  <c r="R44" i="1"/>
  <c r="P44" i="1"/>
  <c r="N44" i="1"/>
  <c r="L44" i="1"/>
  <c r="J44" i="1"/>
  <c r="H44" i="1"/>
  <c r="F44" i="1"/>
  <c r="R43" i="1"/>
  <c r="P43" i="1"/>
  <c r="N43" i="1"/>
  <c r="L43" i="1"/>
  <c r="J43" i="1"/>
  <c r="H43" i="1"/>
  <c r="F43" i="1"/>
  <c r="R42" i="1"/>
  <c r="P42" i="1"/>
  <c r="N42" i="1"/>
  <c r="L42" i="1"/>
  <c r="J42" i="1"/>
  <c r="H42" i="1"/>
  <c r="F42" i="1"/>
  <c r="R41" i="1"/>
  <c r="P41" i="1"/>
  <c r="N41" i="1"/>
  <c r="L41" i="1"/>
  <c r="J41" i="1"/>
  <c r="H41" i="1"/>
  <c r="F41" i="1"/>
  <c r="R40" i="1"/>
  <c r="P40" i="1"/>
  <c r="N40" i="1"/>
  <c r="L40" i="1"/>
  <c r="J40" i="1"/>
  <c r="H40" i="1"/>
  <c r="F40" i="1"/>
  <c r="R39" i="1"/>
  <c r="P39" i="1"/>
  <c r="N39" i="1"/>
  <c r="L39" i="1"/>
  <c r="J39" i="1"/>
  <c r="H39" i="1"/>
  <c r="F39" i="1"/>
  <c r="AF38" i="1"/>
  <c r="AE38" i="1"/>
  <c r="AD38" i="1"/>
  <c r="AC38" i="1"/>
  <c r="AB38" i="1"/>
  <c r="AA38" i="1"/>
  <c r="Z38" i="1"/>
  <c r="R38" i="1"/>
  <c r="P38" i="1"/>
  <c r="N38" i="1"/>
  <c r="L38" i="1"/>
  <c r="J38" i="1"/>
  <c r="H38" i="1"/>
  <c r="F38" i="1"/>
  <c r="R37" i="1"/>
  <c r="P37" i="1"/>
  <c r="N37" i="1"/>
  <c r="L37" i="1"/>
  <c r="J37" i="1"/>
  <c r="H37" i="1"/>
  <c r="F37" i="1"/>
  <c r="R36" i="1"/>
  <c r="P36" i="1"/>
  <c r="N36" i="1"/>
  <c r="L36" i="1"/>
  <c r="J36" i="1"/>
  <c r="H36" i="1"/>
  <c r="F36" i="1"/>
  <c r="R35" i="1"/>
  <c r="P35" i="1"/>
  <c r="N35" i="1"/>
  <c r="L35" i="1"/>
  <c r="J35" i="1"/>
  <c r="H35" i="1"/>
  <c r="F35" i="1"/>
  <c r="R34" i="1"/>
  <c r="P34" i="1"/>
  <c r="N34" i="1"/>
  <c r="L34" i="1"/>
  <c r="J34" i="1"/>
  <c r="H34" i="1"/>
  <c r="F34" i="1"/>
  <c r="R33" i="1"/>
  <c r="P33" i="1"/>
  <c r="N33" i="1"/>
  <c r="L33" i="1"/>
  <c r="J33" i="1"/>
  <c r="H33" i="1"/>
  <c r="F33" i="1"/>
  <c r="R32" i="1"/>
  <c r="P32" i="1"/>
  <c r="N32" i="1"/>
  <c r="L32" i="1"/>
  <c r="J32" i="1"/>
  <c r="H32" i="1"/>
  <c r="F32" i="1"/>
  <c r="R31" i="1"/>
  <c r="P31" i="1"/>
  <c r="N31" i="1"/>
  <c r="L31" i="1"/>
  <c r="J31" i="1"/>
  <c r="H31" i="1"/>
  <c r="F31" i="1"/>
  <c r="AF30" i="1"/>
  <c r="AE30" i="1"/>
  <c r="AD30" i="1"/>
  <c r="AC30" i="1"/>
  <c r="AB30" i="1"/>
  <c r="AA30" i="1"/>
  <c r="Z30" i="1"/>
  <c r="R30" i="1"/>
  <c r="P30" i="1"/>
  <c r="N30" i="1"/>
  <c r="L30" i="1"/>
  <c r="J30" i="1"/>
  <c r="H30" i="1"/>
  <c r="F30" i="1"/>
  <c r="R29" i="1"/>
  <c r="P29" i="1"/>
  <c r="N29" i="1"/>
  <c r="L29" i="1"/>
  <c r="J29" i="1"/>
  <c r="H29" i="1"/>
  <c r="F29" i="1"/>
  <c r="R28" i="1"/>
  <c r="P28" i="1"/>
  <c r="N28" i="1"/>
  <c r="L28" i="1"/>
  <c r="J28" i="1"/>
  <c r="H28" i="1"/>
  <c r="F28" i="1"/>
  <c r="R27" i="1"/>
  <c r="P27" i="1"/>
  <c r="N27" i="1"/>
  <c r="L27" i="1"/>
  <c r="J27" i="1"/>
  <c r="H27" i="1"/>
  <c r="F27" i="1"/>
  <c r="R26" i="1"/>
  <c r="P26" i="1"/>
  <c r="N26" i="1"/>
  <c r="L26" i="1"/>
  <c r="J26" i="1"/>
  <c r="H26" i="1"/>
  <c r="F26" i="1"/>
  <c r="R25" i="1"/>
  <c r="P25" i="1"/>
  <c r="N25" i="1"/>
  <c r="L25" i="1"/>
  <c r="J25" i="1"/>
  <c r="H25" i="1"/>
  <c r="F25" i="1"/>
  <c r="R24" i="1"/>
  <c r="P24" i="1"/>
  <c r="N24" i="1"/>
  <c r="L24" i="1"/>
  <c r="J24" i="1"/>
  <c r="H24" i="1"/>
  <c r="F24" i="1"/>
  <c r="R23" i="1"/>
  <c r="P23" i="1"/>
  <c r="N23" i="1"/>
  <c r="L23" i="1"/>
  <c r="J23" i="1"/>
  <c r="H23" i="1"/>
  <c r="F23" i="1"/>
  <c r="AF22" i="1"/>
  <c r="AE22" i="1"/>
  <c r="AD22" i="1"/>
  <c r="AC22" i="1"/>
  <c r="AB22" i="1"/>
  <c r="AA22" i="1"/>
  <c r="Z22" i="1"/>
  <c r="R22" i="1"/>
  <c r="P22" i="1"/>
  <c r="N22" i="1"/>
  <c r="L22" i="1"/>
  <c r="J22" i="1"/>
  <c r="H22" i="1"/>
  <c r="F22" i="1"/>
  <c r="R21" i="1"/>
  <c r="P21" i="1"/>
  <c r="N21" i="1"/>
  <c r="L21" i="1"/>
  <c r="J21" i="1"/>
  <c r="H21" i="1"/>
  <c r="F21" i="1"/>
  <c r="R20" i="1"/>
  <c r="P20" i="1"/>
  <c r="N20" i="1"/>
  <c r="L20" i="1"/>
  <c r="J20" i="1"/>
  <c r="H20" i="1"/>
  <c r="F20" i="1"/>
  <c r="R19" i="1"/>
  <c r="P19" i="1"/>
  <c r="N19" i="1"/>
  <c r="L19" i="1"/>
  <c r="J19" i="1"/>
  <c r="H19" i="1"/>
  <c r="F19" i="1"/>
  <c r="R18" i="1"/>
  <c r="P18" i="1"/>
  <c r="N18" i="1"/>
  <c r="L18" i="1"/>
  <c r="J18" i="1"/>
  <c r="H18" i="1"/>
  <c r="F18" i="1"/>
  <c r="R17" i="1"/>
  <c r="P17" i="1"/>
  <c r="N17" i="1"/>
  <c r="L17" i="1"/>
  <c r="J17" i="1"/>
  <c r="H17" i="1"/>
  <c r="F17" i="1"/>
  <c r="R16" i="1"/>
  <c r="P16" i="1"/>
  <c r="N16" i="1"/>
  <c r="L16" i="1"/>
  <c r="J16" i="1"/>
  <c r="H16" i="1"/>
  <c r="F16" i="1"/>
  <c r="R15" i="1"/>
  <c r="P15" i="1"/>
  <c r="N15" i="1"/>
  <c r="L15" i="1"/>
  <c r="J15" i="1"/>
  <c r="H15" i="1"/>
  <c r="F15" i="1"/>
  <c r="R14" i="1"/>
  <c r="P14" i="1"/>
  <c r="N14" i="1"/>
  <c r="L14" i="1"/>
  <c r="J14" i="1"/>
  <c r="H14" i="1"/>
  <c r="F14" i="1"/>
  <c r="AF13" i="1"/>
  <c r="AE13" i="1"/>
  <c r="AD13" i="1"/>
  <c r="AD77" i="1" s="1"/>
  <c r="AC13" i="1"/>
  <c r="AB13" i="1"/>
  <c r="AB77" i="1" s="1"/>
  <c r="AA13" i="1"/>
  <c r="AA77" i="1" s="1"/>
  <c r="Z13" i="1"/>
  <c r="Z77" i="1" s="1"/>
  <c r="R13" i="1"/>
  <c r="P13" i="1"/>
  <c r="N13" i="1"/>
  <c r="L13" i="1"/>
  <c r="J13" i="1"/>
  <c r="H13" i="1"/>
  <c r="F13" i="1"/>
  <c r="R12" i="1"/>
  <c r="P12" i="1"/>
  <c r="N12" i="1"/>
  <c r="L12" i="1"/>
  <c r="J12" i="1"/>
  <c r="H12" i="1"/>
  <c r="F12" i="1"/>
  <c r="R11" i="1"/>
  <c r="P11" i="1"/>
  <c r="N11" i="1"/>
  <c r="L11" i="1"/>
  <c r="J11" i="1"/>
  <c r="H11" i="1"/>
  <c r="F11" i="1"/>
  <c r="R10" i="1"/>
  <c r="P10" i="1"/>
  <c r="N10" i="1"/>
  <c r="L10" i="1"/>
  <c r="J10" i="1"/>
  <c r="H10" i="1"/>
  <c r="F10" i="1"/>
  <c r="R9" i="1"/>
  <c r="P9" i="1"/>
  <c r="N9" i="1"/>
  <c r="L9" i="1"/>
  <c r="J9" i="1"/>
  <c r="H9" i="1"/>
  <c r="F9" i="1"/>
  <c r="R8" i="1"/>
  <c r="P8" i="1"/>
  <c r="N8" i="1"/>
  <c r="L8" i="1"/>
  <c r="J8" i="1"/>
  <c r="H8" i="1"/>
  <c r="F8" i="1"/>
  <c r="R7" i="1"/>
  <c r="P7" i="1"/>
  <c r="N7" i="1"/>
  <c r="L7" i="1"/>
  <c r="J7" i="1"/>
  <c r="H7" i="1"/>
  <c r="F7" i="1"/>
  <c r="R6" i="1"/>
  <c r="P6" i="1"/>
  <c r="N6" i="1"/>
  <c r="L6" i="1"/>
  <c r="J6" i="1"/>
  <c r="H6" i="1"/>
  <c r="F6" i="1"/>
  <c r="R5" i="1"/>
  <c r="P5" i="1"/>
  <c r="N5" i="1"/>
  <c r="L5" i="1"/>
  <c r="J5" i="1"/>
  <c r="H5" i="1"/>
  <c r="F5" i="1"/>
  <c r="R4" i="1"/>
  <c r="P4" i="1"/>
  <c r="N4" i="1"/>
  <c r="L4" i="1"/>
  <c r="J4" i="1"/>
  <c r="H4" i="1"/>
  <c r="F4" i="1"/>
  <c r="AF3" i="1"/>
  <c r="AF77" i="1" s="1"/>
  <c r="AE3" i="1"/>
  <c r="AE77" i="1" s="1"/>
  <c r="AD3" i="1"/>
  <c r="AC3" i="1"/>
  <c r="AC77" i="1" s="1"/>
  <c r="AB3" i="1"/>
  <c r="AA3" i="1"/>
  <c r="Z3" i="1"/>
  <c r="R3" i="1"/>
  <c r="P3" i="1"/>
  <c r="N3" i="1"/>
  <c r="L3" i="1"/>
  <c r="J3" i="1"/>
  <c r="H3" i="1"/>
  <c r="F3" i="1"/>
</calcChain>
</file>

<file path=xl/sharedStrings.xml><?xml version="1.0" encoding="utf-8"?>
<sst xmlns="http://schemas.openxmlformats.org/spreadsheetml/2006/main" count="1158" uniqueCount="512">
  <si>
    <t>MoEngage</t>
  </si>
  <si>
    <t>Web Engage</t>
  </si>
  <si>
    <t>TechMatrix</t>
  </si>
  <si>
    <t>Resulticks</t>
  </si>
  <si>
    <t>Clever Tap</t>
  </si>
  <si>
    <t>Adobe  - Old Stack</t>
  </si>
  <si>
    <t>Adobe  - New Stack</t>
  </si>
  <si>
    <t>RFP- Comments</t>
  </si>
  <si>
    <t>Final Score</t>
  </si>
  <si>
    <t>S. No.</t>
  </si>
  <si>
    <t>Evaluation Area</t>
  </si>
  <si>
    <t>Functional Requirement</t>
  </si>
  <si>
    <t>Overall IndiGo Weight</t>
  </si>
  <si>
    <t>Self Rating</t>
  </si>
  <si>
    <t>IndiGo Score</t>
  </si>
  <si>
    <t>MoEngage
Comment</t>
  </si>
  <si>
    <t>Web Engage
Comment</t>
  </si>
  <si>
    <t>TechMatrix
Comment</t>
  </si>
  <si>
    <t>Resulticks
Comment</t>
  </si>
  <si>
    <t>Clever Tap
Comment</t>
  </si>
  <si>
    <t>Adobe Comments - Old Stack</t>
  </si>
  <si>
    <t>Adobe Comments - New Stack</t>
  </si>
  <si>
    <t>Adobe - Old Stack</t>
  </si>
  <si>
    <t>Adobe - New Stack</t>
  </si>
  <si>
    <t>Customer &amp; Audience Management</t>
  </si>
  <si>
    <t>The solution shall provide a centralised customer profile repository for campaign execution, supporting profile, behavioural, transactional, booking, engagement and loyalty attributes.</t>
  </si>
  <si>
    <t>C</t>
  </si>
  <si>
    <t>PC</t>
  </si>
  <si>
    <t>Fully compliant. Supports unified passenger profile.</t>
  </si>
  <si>
    <t>WebEngage provides a centralised customer profile repository (User Profile) that unifies profile, behavioural, transactional, booking, engagement and loyalty attributes into a single view. Every user profile consolidates system attributes (first seen, last seen, device, location, channel reachability), custom user attributes (e.g., PNR, fare family, loyalty tier, ancillary purchase history), and behavioural event data (search, booking, check-in, ancillary purchase) in real time. Profiles are updated instantly upon SDK event triggers, API calls, or CSV/SFTP ingestion - enabling campaign execution against the most current customer state.
Documentation:
• User Profiles: https://knowledgebase.webengage.com/docs/understanding-users-in-webengage#user-profiles
• Data Model: https://knowledgebase.webengage.com/docs/defining-data-model
• User Attributes: https://docs.webengage.com/docs/users#setting-attribute-values</t>
  </si>
  <si>
    <t>Salesforce Marketing Data Layer, which is the backbone of Salesforce's Marketing Platform (Marketing Cloud Advanced), delivers a unified customer profile repository that aggregates profile, behavioural, transactional, booking, engagement and loyalty attributes from any source. The Identity Resolution engine merges fragmented records into a single unified profile, which is instantly available to Marketing Platform (Marketing Cloud Advanced) for campaign execution across all channels - Email, SMS, WA, Push, RCS.</t>
  </si>
  <si>
    <t>Resul features a centralised customer profile repository that creates a unified Single Customer View (Audience 360) to drive seamless campaign execution. The repository continuously ingests and consolidates customer data from IndiGo's existing CDP and other integrated sources - supporting profile, behavioural, transactional, booking, engagement, and loyalty attributes - into a persistent, deduplicated record within the platform's audience management layer. This unified profile is made immediately available to marketers for real-time segmentation, hyper-personalisation, and omnichannel journey orchestration.</t>
  </si>
  <si>
    <t>Centralised customer repository is available, but explicit evidence covering all required airline-specific profile attributes is incomplete.</t>
  </si>
  <si>
    <t>Adobe Campaign's recipient database holds profile, behavioural, transactional, booking, engagement and loyalty attributes in a fully extensible data model that IndiGo owns and controls. It is refreshed on IndiGo's chosen schedule rather than in real time.</t>
  </si>
  <si>
    <t>AEP keeps &amp; maintains one real-time profile for every customer. It holds profile, behavior, transaction, booking, engagement and loyalty details, and campaigns use it directly.</t>
  </si>
  <si>
    <t>The solution shall support real-time and scheduled customer segmentation using rule-based logic, including AND / OR conditions, nested conditions and business rules.</t>
  </si>
  <si>
    <t>Fully compliant. Strong real-time segmentation capability.</t>
  </si>
  <si>
    <t>WebEngage supports both real-time and scheduled customer segmentation with a powerful rule-based engine. Segments can be created using AND/OR conditions, nested conditions, and complex business rules combining user attributes, behavioural events, engagement data, technographics, geography, and reachability. Segments refresh dynamically - any profile update or new event instantly qualifies or disqualifies users from live segments. Scheduled segments can be configured for periodic refresh at defined intervals.
Documentation:
• Segment Creation: https://knowledgebase.webengage.com/docs/creating-segments
• Behavioural Conditions: https://knowledgebase.webengage.com/docs/creating-segments#understanding-behavioral-conditions
• User Conditions: https://knowledgebase.webengage.com/docs/creating-segments#21-user</t>
  </si>
  <si>
    <t>Segmentation capability of Marketing Cloud Advanced provides a drag-and-drop, no-code segment builder supporting complex AND/OR conditions, nested rules, inclusion/exclusion filters, ranking, limits and custom business rules operating on real-time, batch and streaming data. Segments are published directly to Marketing Cloud Advanced for immediate activation. We also offer NLP based segmentation capabilities as a part of our platform. Scheduled refresh (batch) and continuous/real-time updates are both supported.</t>
  </si>
  <si>
    <t>Resul provides robust capabilities for both real-time and scheduled customer segmentation. The platform features an intuitive drag-and-drop interface that allows users to build complex, nested segmentation logic using AND, OR, and NOT operators without requiring technical expertise. Additionally, the platform leverages an omnichannel rules engine to evaluate specific business rules, enabling the dynamic creation and updating of segments at the individual audience level in real time.</t>
  </si>
  <si>
    <t>Requirement fully addressed.</t>
  </si>
  <si>
    <t>Audiences are built with a powerful visual query editor on scheduled or batch runs, with nested AND, OR and NOT logic. Real-time triggers are handled by event-driven messaging.</t>
  </si>
  <si>
    <t>Audiences can update in real time or on a schedule. Marketers combine conditions with AND, OR and NOT, including nested conditions, audience and business rules.</t>
  </si>
  <si>
    <t>The solution shall support reusable audience definitions across campaigns and journeys, including dynamic audience refresh based on profile updates and customer behaviour.</t>
  </si>
  <si>
    <t>Fully compliant.</t>
  </si>
  <si>
    <t>WebEngage supports reusable audience definitions (Segments) that can be referenced across multiple campaigns and journeys. Segments are defined once and reused across Email, SMS, Push, WhatsApp, In-App, Web Push, RCS, and Journey campaigns. Segments are dynamic by default - they auto-refresh based on real-time profile updates and customer behaviour, ensuring campaign audiences always reflect the latest customer state. Static segments (user lists) are also supported for fixed audience use cases.
Documentation:
• Segments: https://knowledgebase.webengage.com/docs/creating-segments
• Segment in Journeys: https://knowledgebase.webengage.com/docs/journey-creation-concepts#enters-exits-is-in-segment</t>
  </si>
  <si>
    <t>Segments defined in Marketing Cloud Advanced are fully reusable across multiple campaigns and journeys. Dynamic audience refresh is supported: whenever a customer's profile or behaviour changes, segment membership is updated automatically and propagated to active journeys and campaigns without manual intervention.</t>
  </si>
  <si>
    <t>The platform supports creation and central storage of audience segments as reusable target or dynamic lists, accessible across all campaigns and journeys. Segment membership refreshes automatically in real time as updated profile, transactional, and behavioural data flows in from IndiGo's integrated source systems - ensuring every campaign and journey always executes against a current, accurately defined audience without manual intervention.</t>
  </si>
  <si>
    <t>Audiences are saved and reused across campaigns and workflows and refresh each time they run.</t>
  </si>
  <si>
    <t>One audience can be reused across many campaigns and journeys. It updates by itself as customer profiles and behavior change.</t>
  </si>
  <si>
    <t>The solution shall support inclusion, exclusion, suppression and eligibility logic while creating audiences for campaigns and journeys.</t>
  </si>
  <si>
    <r>
      <rPr>
        <sz val="10"/>
        <rFont val="Arial"/>
        <family val="2"/>
      </rPr>
      <t xml:space="preserve">WebEngage supports inclusion, exclusion, suppression and eligibility logic during audience creation. Campaigns and journeys allow explicit segment inclusion (target audience), segment exclusion (suppress specific cohorts), DND/suppression list enforcement, and eligibility checks based on consent status, reachability, and frequency cap limits. Journey-level suppression logic includes exit conditions and re-entry controls.
Documentation:
• Suppression/Exclusion: </t>
    </r>
    <r>
      <rPr>
        <u/>
        <sz val="10"/>
        <color rgb="FF1155CC"/>
        <rFont val="Arial"/>
        <family val="2"/>
      </rPr>
      <t>https://knowledgebase.webengage.com/docs/creating-web-push-campaigns#2-select-audience-type</t>
    </r>
  </si>
  <si>
    <t>Segmentation capability of Marketing Cloud Advanced supports inclusion, exclusion, suppression and eligibility logic at segment definition level. Platform's Journey Builder further applies audience entry/exit criteria, suppression lists, typology rules and eligibility decision splits within journeys, ensuring precision targeting and communication governance.</t>
  </si>
  <si>
    <t>The platform natively supports comprehensive inclusion, exclusion, and eligibility logic through its audience builder, allowing users to apply complex filters based on behavioural, transactional, booking, and custom attributes. Suppression logic and exclusion lists are enforced automatically during campaign execution, with opt-out and consent-based suppression rules applied based on preference and consent data received from IndiGo's integrated systems, ensuring precise audience targeting and consistent compliance across all omnichannel journeys.</t>
  </si>
  <si>
    <t>Inclusion, exclusion, suppression and eligibility logic apply in queries, workflows and typology rules, with blocklists enforced at delivery.</t>
  </si>
  <si>
    <t>Marketers can include or exclude customers, suppress them and set eligibility rules. These work when building audiences, when customers enter a journey and through suppression lists.</t>
  </si>
  <si>
    <t>The solution shall support customer deduplication and identity resolution using multiple customer identifiers.</t>
  </si>
  <si>
    <t>WebEngage supports customer deduplication and identity resolution using multiple identifiers. The platform maintains a unique Customer User ID (CUID) as the primary identifier, with automatic identity stitching between anonymous and known user profiles upon login or identification. When a previously anonymous user provides an identifier (email, phone, login ID), WebEngage merges the anonymous profile data with the known user record, preserving full behavioural history.
Documentation:
• Identity Resolution: https://knowledgebase.webengage.com/docs/understanding-users-in-webengage#section-unknown-and-known-users
• User Tracking: https://docs.webengage.com/docs/users#tracking-users-how-it-works
• Known Users: https://docs.webengage.com/docs/users#known-users</t>
  </si>
  <si>
    <t>Marketing Data Layer's, which is the backbone of Salesforce's Marketing Platform, Identity Resolution engine performs automated deduplication and multi-identifier matching (email, phone, loyalty ID, PNR, device ID, cookie) using configurable match-and-merge rulesets. The resulting unified identity profile eliminates duplicates before campaign activation, ensuring a single communication per customer.</t>
  </si>
  <si>
    <t>The platform supports customer deduplication and identity resolution within its audience management layer, utilising both deterministic and probabilistic matching algorithms to stitch identifiers such as email address, mobile number, device ID, and CRM ID into a consistent audience record for campaign execution.</t>
  </si>
  <si>
    <t>Identity capabilities are implied but enterprise-grade identity resolution and deduplication are not sufficiently evidenced.</t>
  </si>
  <si>
    <t>Deduplication and reconciliation in workflows resolve customers across identifiers and sources.</t>
  </si>
  <si>
    <t>AEP's identity graph links the different IDs a customer uses, so each person is counted once.</t>
  </si>
  <si>
    <t>The solution shall support customer data ingestion and audience export through APIs, SFTP/MFT, batch files and secure external system integrations.</t>
  </si>
  <si>
    <t>WebEngage supports customer data ingestion and audience export through multiple methods:
• REST APIs: Real-time user profile and event ingestion via documented APIs with authentication.
• CSV/File Upload: Bulk user and event data upload via CSV (UTF-8, comma-delimited, ISO 8601 timestamps).
• SFTP/MFT: Scheduled batch file ingestion via secure file transfer.
• Webhooks: Real-time outbound data triggers to external systems.
• Segment Export: Audiences can be exported to CSV, external platforms (Facebook, Google Ads), data warehouses (S3, BigQuery, Snowflake) via native connectors.
Documentation:
• REST API: https://docs.webengage.com/docs/rest-api-getting-started
• User Data Upload: https://knowledgebase.webengage.com/docs/upload-user-data
• S3 Export: https://docs.webengage.com/docs/aws-s3#how-to-export-events-from-webengage-to-aws-s3</t>
  </si>
  <si>
    <t>Marketing Cloud Advanced supports flexible data ingestion via Ingestion APIs (both streaming &amp; batch), SFTP/MFT connectors, pre-built partner connectors, web/mobile SDK and MuleSoft integration. Audience export to downstream systems is available via Activation Targets (Ad-platforms, CRM, data lakes, cloud storage etc.) through secure, authenticated APIs, SFTP and pre-built connectors.</t>
  </si>
  <si>
    <t>Resul supports secure real-time, near real-time, and batch data ingestion as well as audience exports. Data transfers and secure external system integrations can be executed via comprehensive REST APIs, webhooks, SFTP, HTTPS, and native data warehouse connectors. Additionally, controlled data imports and exports are managed securely through role-based access and approval workflows.</t>
  </si>
  <si>
    <t>Data is ingested and exported through APIs (SOAP and REST), SFTP, file-based imports, and federated access to external databases.</t>
  </si>
  <si>
    <t>Customer data can come in, and audiences can go out, through APIs, SFTP, batch files and cloud storage. All connections are secure.</t>
  </si>
  <si>
    <t>The solution shall support audience size estimation, preview, validation, versioning and change history before campaign execution.</t>
  </si>
  <si>
    <t>NC</t>
  </si>
  <si>
    <t>WebEngage supports audience size estimation via real-time segment preview (showing user count before campaign execution), and validation through test segment runs. Segment definitions can be modified and the current state is maintained. Full segment history with point-in-time snapshots and diff comparison between segment versions is natively available.
Documentation:
• Segment Analysis/Preview: https://knowledgebase.webengage.com/docs/analysing-segments#download-list-of-users</t>
  </si>
  <si>
    <t>Segment Builder provides live audience size estimation and preview before publishing. Segment versioning, change history and audit trails are maintained within Marketing Data Layer. Marketing Cloud Advanced further supports subscriber-list validation and test sends prior to campaign launch.</t>
  </si>
  <si>
    <t>The platform provides predictive insights at the time of segment creation, delivering immediate audience size estimation and projected engagement metrics so marketers can make informed decisions prior to activation. Resul also supports comprehensive campaign and journey versioning with rollback capabilities, and maintains an audit-ready change log of profile history and modifications.</t>
  </si>
  <si>
    <t>Only partial evidence is available. Governance capabilities are not demonstrated.</t>
  </si>
  <si>
    <t>Audience counts, previews and validation are native. Definition changes are tracked through audit logs, without full version rollback.</t>
  </si>
  <si>
    <t>Audience size estimates, preview and validation are built in before a campaign runs. Audit logs record changes to all real-time journeys. Audiences are irrespective dynamic in nature.</t>
  </si>
  <si>
    <t>The solution shall support customer preference and consent visibility during audience selection and campaign eligibility checks.</t>
  </si>
  <si>
    <t>WebEngage supports customer preference and consent visibility during audience selection. User-level channel opt-in/opt-out status (Email, SMS, Push, WhatsApp, Web Push) is stored as system attributes and is visible within user profiles. Campaign eligibility checks enforce consent status before execution - users who have opted out of a channel are automatically excluded from campaigns on that channel. Frequency capping rules further govern communication eligibility.
Documentation:
• System Attributes (opt-in/opt-out): https://docs.webengage.com/docs/users#system-attributes
• Frequency Capping: https://knowledgebase.webengage.com/docs/frequency-capping-settings</t>
  </si>
  <si>
    <t>Marketing Data Layer stores customer consent and preference attributes as first-class profile fields (opt-in/opt-out per channel and category). These are evaluated in real time during segment eligibility checks and are honoured automatically by Marketing Cloud Advanced journey and campaign entry rules to prevent communication to non-consenting customers.</t>
  </si>
  <si>
    <t>The platform enforces consent and preference visibility during audience selection and campaign eligibility checks. Opt-in, opt-out, and channel-level preference data is ingested from IndiGo's CDP and integrated source systems and maintained within the platform, ensuring consent states are always current and automatically applied during campaign activation. This ensures no communications are dispatched to customers who have not provided the required consent for that channel or communication category.</t>
  </si>
  <si>
    <t>Opt-out capability exists, but comprehensive consent management evidence is missing.</t>
  </si>
  <si>
    <t>Consent and preference attributes sit on the recipient record and are used in targeting and delivery filters.</t>
  </si>
  <si>
    <t>Consent and preference details sit on the customer profile. They are used when choosing audiences and checking who is eligible.</t>
  </si>
  <si>
    <t>The solution shall maintain audit logs for audience creation, modification, export and deletion.</t>
  </si>
  <si>
    <t>WebEngage maintains comprehensive audit logs for user activity and administrative actions. All audience creation, modification, export, and deletion actions are logged with timestamps, user identity, and action details. Audit trails cover segment operations, campaign changes, journey modifications, data exports, and user management actions.
Documentation:
• RBAC &amp; Audit: https://knowledgebase.webengage.com/docs/role-based-access-control</t>
  </si>
  <si>
    <t>Marketing Data Layer captures &amp; maintains comprehensive audit logs covering audience/segment creation, modification, activation, export and deletion, with actor, timestamp and change-detail records through native platform auditing and Event Monitoring features. These logs are accessible via UI and API for compliance reviews.</t>
  </si>
  <si>
    <t>The platform maintains tamper-evident, immutable audit logs that meticulously record all user actions, system events, and administrative changes. Furthermore, all audience data import and export activities are comprehensively logged with user details, timestamps, source/destination information, and record-count details to ensure full traceability and compliance.</t>
  </si>
  <si>
    <t>General audit logging is available; audience-specific audit evidence is absent.</t>
  </si>
  <si>
    <t>Audit logs record audience creation and modification, and delivery logs record sends.</t>
  </si>
  <si>
    <t>Audit logs record when audiences are created, changed, exported and deleted.</t>
  </si>
  <si>
    <t>The solution shall support airline-specific data attributes such as PNR, passenger profile, booking profile, fare family, SSR, ancillary purchase history and loyalty tier.</t>
  </si>
  <si>
    <t>WebEngage's flexible data model supports any custom user attribute or event attribute, enabling airline-specific data attributes such as PNR, passenger profile, booking profile, fare family, SSR, ancillary purchase history, and loyalty tier. These are configured as custom user attributes or custom event attributes within the platform's data model - no schema restrictions. Business users can add new attributes via configuration without IT involvement. All custom attributes are available for segmentation, personalisation, journey branching, and analytics.
For IndiGo specifically, CDPx (Custom Data Platform) entities can be configured for Loyalty, Booking, and Passenger data as separate entity types with defined relationships.
Documentation:
• Data Model: https://knowledgebase.webengage.com/docs/defining-data-model
• Custom Events: https://knowledgebase.webengage.com/docs/events-and-event-attributes#custom-events
• Upload User Data: https://knowledgebase.webengage.com/docs/upload-user-data</t>
  </si>
  <si>
    <t>Marketing Data Layer's, which is the backbone of Salesforce's Marketing Platform, flexible data model supports both OOTB and custom objects/DMOs and attributes, including airline-specific entities such as PNR, passenger profile, booking profile, fare family, SSR codes, ancillary purchase history and loyalty tier. These attributes are available for segmentation, personalisation and journey decisioning within Marketing Cloud Advanced.</t>
  </si>
  <si>
    <t>Resul employs a highly flexible, schemaless data architecture that easily adapts to a brand's specific data model and allows users to add any custom data attributes, such as PNR, passenger profiles, booking details, and SSRs, without IT assistance. The platform also features native capabilities to ingest and maintain real-time loyalty program data, including tier status and transaction history, which can be used directly for segmentation and personalization.</t>
  </si>
  <si>
    <t>Airline use cases are covered; explicit support for all requested airline-specific attributes is not evidenced.</t>
  </si>
  <si>
    <t>PNR, passenger profile, booking profile, fare family, SSR, ancillary history and loyalty tier are modelled in the extensible data model.</t>
  </si>
  <si>
    <t>PNR, passenger profile, booking profile, fare family, SSR, ancillary history and loyalty tier are all set up in the customer profile and event data.</t>
  </si>
  <si>
    <t>Campaign Management</t>
  </si>
  <si>
    <t>The solution shall provide a campaign creation interface to design, configure, schedule, test and execute campaigns.</t>
  </si>
  <si>
    <t>WebEngage provides a comprehensive campaign creation interface supporting design, configuration, scheduling, testing, and execution across all supported channels. The campaign creation workflow includes: audience selection, message design (drag-and-drop editor for Email, template-based for other channels), personalisation, A/B variant setup, scheduling/triggering, conversion tracking, and pre-launch preview. Business users can manage the full campaign lifecycle from a single interface.
Documentation:
• Campaign Creation: https://knowledgebase.webengage.com/docs/campaigns
• Email Editor: https://knowledgebase.webengage.com/docs/dynamic-email-templating-drag-drop-editor</t>
  </si>
  <si>
    <t>Marketing Cloud Advanced provides an intuitive, business user friendly, full-featured campaign creation interface i.e. Flow Builder for designing, configuring, scheduling, test-sending, previewing and executing campaigns. All these features are drag &amp; drop and click through enabled. We also provide agentic capabilities to build these flows/campaigns leveraging NLP based prompts.</t>
  </si>
  <si>
    <t>The Resul platform features a state-of-the-art campaign canvas that offers an easy-to-use interface for designing, configuring, scheduling, testing, and executing campaigns. Marketing users can independently manage all aspects of campaign creation and execution without requiring any involvement from backend or IT teams.</t>
  </si>
  <si>
    <t>Fully addressed.</t>
  </si>
  <si>
    <t>A campaign interface designs, configures, schedules, tests and executes campaigns, and IndiGo's teams already know it.</t>
  </si>
  <si>
    <t>One campaign interface lets teams design, set up, schedule, test and run campaigns. It builds on IndiGo's existing campaign experience.</t>
  </si>
  <si>
    <t>The solution shall support drag-and-drop / visual workflow creation for campaign setup and execution.</t>
  </si>
  <si>
    <t>c</t>
  </si>
  <si>
    <t>WebEngage supports drag-and-drop visual workflow creation for both campaign setup and journey orchestration. The Journey Designer provides a visual canvas where users can drag and drop trigger blocks, action blocks (channel sends), condition blocks (audience splits, wait timers, event checks), and goal blocks to build complex multi-step workflows. Campaign setup within individual channels also uses visual interfaces for audience selection, content creation, and scheduling.
Documentation:
• Journey Designer: https://knowledgebase.webengage.com/docs/journey-creation-guide
• Journey Concepts: https://knowledgebase.webengage.com/docs/journey-creation-concepts</t>
  </si>
  <si>
    <t>Yes, please see above response - F11</t>
  </si>
  <si>
    <t>Resul includes a visual, drag-and-drop journey builder designed for cross-channel campaign orchestration. The Multi-Dimensional Campaign (MDC) canvas is highly intuitive, allowing non-technical marketing users to effortlessly set up and execute complex campaign workflows using visual drag-and-drop functionality.</t>
  </si>
  <si>
    <t>Visual workflows and a drag-and-drop email designer set up campaigns.</t>
  </si>
  <si>
    <t>Campaigns are set up with visual drag-and-drop workflows and content designers.</t>
  </si>
  <si>
    <t>The solution shall support reusable campaign templates, content blocks, standardised campaign structures and campaign cloning.</t>
  </si>
  <si>
    <t>WebEngage supports reusable campaign templates, content blocks, standardised campaign structures, and campaign cloning. Email templates can be created via drag-and-drop editor or raw HTML and saved for reuse. Campaign cloning allows duplicating an existing campaign (including audience, content, schedule, and personalisation settings) as a starting point for new campaigns. Journey templates for common use cases (onboarding, cart abandonment, win-back) are available as pre-built starting points.
Documentation:
• Email Templates: https://knowledgebase.webengage.com/docs/dynamic-email-templating-drag-drop-editor#using-the-drag--drop-editor
• Custom HTML: https://knowledgebase.webengage.com/docs/creating-email-campaigns#method-2-raw-html</t>
  </si>
  <si>
    <t>Marketing Cloud Advanced natively supports this. Indigo business users/campaign managers can also save campaigns/flows as templates to enable standardized campaign structures and cloning.</t>
  </si>
  <si>
    <t>The platform features a user-friendly WYSIWYG template builder and a comprehensive Campaign Recipe Library where users can save, reuse, and extend entire journeys or specific workflow structures. Furthermore, users can easily clone existing segments or campaigns to reduce setup time, and manage dynamic content blocks across standardized templates tailored to specific channels or industries.</t>
  </si>
  <si>
    <t>Partial evidence only.</t>
  </si>
  <si>
    <t>Reusable templates, content blocks and cloning standardise campaign structures.</t>
  </si>
  <si>
    <t>Teams can reuse templates and content blocks and clone campaigns, so every campaign follows the same structure. Existing templates move across to the new setup.</t>
  </si>
  <si>
    <t>The solution shall support one-time, recurring, triggered, transactional, promotional and lifecycle campaigns.</t>
  </si>
  <si>
    <t>WebEngage supports one-time, recurring, triggered, transactional, promotional, and lifecycle campaigns:
• One-time campaigns: Single-send campaigns to a defined audience at a scheduled time.
• Recurring campaigns: Campaigns that repeat at defined intervals (daily, weekly, custom).
• Triggered campaigns: Campaigns fired by real-time user events (e.g., booking completed, search abandoned).
• Transactional: Event-triggered transactional messages (booking confirmations, PNR updates) via API-triggered campaigns.
• Promotional: Marketing campaigns with audience targeting, personalisation, and A/B testing.
• Lifecycle: Multi-step journey campaigns spanning onboarding, engagement, retention, and win-back stages.
Documentation:
• Campaign Types: https://knowledgebase.webengage.com/docs/campaigns
• Triggered Campaigns: https://knowledgebase.webengage.com/docs/campaigns#triggered-campaigns
• Journey Templates: https://knowledgebase.webengage.com/docs/journey-creation-guide</t>
  </si>
  <si>
    <t>Marketing Cloud Advanced supports all campaign types: one-time batch sends, recurring sends (scheduled frequency), event-triggered, transactional messaging, promotional campaigns and lifecycle journeys/campaigns.</t>
  </si>
  <si>
    <t>Resul natively supports single-dimensional (bulk/one-time), multi-dimensional (lifecycle/journeys), and real-time event-triggered or recurring campaigns. The platform also allows brands to categorize their communications as transactional, promotional, OTP, or newsletters based on business requirements across the supported channels.</t>
  </si>
  <si>
    <t>One-time, recurring, triggered, transactional and promotional campaigns are supported, with real-time transactional messaging through Message Center.</t>
  </si>
  <si>
    <t>AEP supports one-time, recurring, triggered, transactional, promotional and lifecycle campaigns.</t>
  </si>
  <si>
    <t>The solution shall support campaign approval workflows, maker-checker controls, version control and change history.</t>
  </si>
  <si>
    <t>WebEngage supports campaign approval workflows through Role-Based Access Control (RBAC) with maker-checker capabilities. Custom roles can be configured with granular permissions - separating campaign creation, review, approval, and publishing rights across team members. Version control is maintained through campaign modification history and audit logs capturing all changes with timestamps and user attribution.
Documentation:
• RBAC / Maker-Checker: https://knowledgebase.webengage.com/docs/role-based-access-control</t>
  </si>
  <si>
    <t>Marketing Cloud Advanced supports these capabilities natively. Approval workflows can be configured at CMS-level and advanced approvals can be made available via flows. Additionally, Indigo business users can create/manage and control campaign versions.</t>
  </si>
  <si>
    <t>Resul features a built-in maker-checker functionality to ensure smooth collaboration and multi-level approval workflows within marketing teams using the platform. The platform also maintains audit logs that record all change management actions, modifications, and user activities. Campaign versioning is generally handled with naming convention currently in the platform.</t>
  </si>
  <si>
    <t>Critical governance capability not demonstrated.</t>
  </si>
  <si>
    <t>Approval workflows and role-based controls support maker-checker, and every change is tracked.</t>
  </si>
  <si>
    <t>Approval workflows and role-based maker-checker controls govern campaigns. Journey versions and audit logs keep a history of changes.</t>
  </si>
  <si>
    <t>The solution shall support test sends, seed lists, pre-launch validation and campaign quality checks.</t>
  </si>
  <si>
    <t>WebEngage supports test sends, seed lists, pre-launch validation, and campaign quality checks:
• Test Sends: Send campaign previews to internal test users/devices before live launch across all channels.
• Seed Lists: Configure seed/test segments to receive a copy of every campaign for QA and compliance review.
• Pre-launch Validation: Campaign setup includes validation checks for audience size, content completeness, personalisation token resolution, and scheduling conflicts.
• Preview: Render campaign content with sample user data to verify personalisation output before execution.
Documentation:
• Test Segments: https://knowledgebase.webengage.com/docs/creating-web-push-campaigns#section-creating-test-segment
• A/B Test Size: https://knowledgebase.webengage.com/docs/campaign-variations-testing#size-of-test-audience</t>
  </si>
  <si>
    <t>Marketing Cloud Advanced provides test send functionality to seed addresses or test subscriber lists before live deployment. Pre-launch validation &amp; campaign quality check are also supported natively in Flow Builder, where it shows errors, warnings and means to debug them.</t>
  </si>
  <si>
    <t>Resul provides built-in capabilities to preview communications across devices and send test communications before officially launching a campaign. The platform also enables control group and target group testing, as well as comprehensive campaign simulation, to validate quality and effectiveness prior to launch.</t>
  </si>
  <si>
    <t>Proofs, seed lists, test sends and pre-launch validation checks are provided.</t>
  </si>
  <si>
    <t>Test profiles, proofs, test sends, seed lists and checks before launch are all included.</t>
  </si>
  <si>
    <t>The solution shall support campaign scheduling, throttling, batching and send-rate controls.</t>
  </si>
  <si>
    <t>WebEngage supports campaign scheduling, throttling, batching, and send-rate controls:
• Scheduling: Campaigns can be scheduled for specific date/time, with timezone-aware delivery (send in user's local timezone).
• Throttling: Send rate can be throttled to control message delivery speed (e.g., X messages per hour) to manage channel partner capacity and deliverability.
• Batching: Large audiences can be batched with configurable delivery intervals (Slice and Send feature).
• DND Hours: Global and channel-specific Do-Not-Disturb windows prevent messages during configured quiet hours.
Documentation:
• Scheduling: https://knowledgebase.webengage.com/docs/campaigns#start-date-activation
• Slice and Send: https://knowledgebase.webengage.com/docs/campaigns#delivery-time-frequency
• DND: https://knowledgebase.webengage.com/docs/dnd-hours</t>
  </si>
  <si>
    <t>Marketing Cloud Advanced natively supports campaign scheduling, Indigo users can set the schedule in UI. Throttling and batching with send-rate controls can be baked into Flow orchestration.</t>
  </si>
  <si>
    <t>The platform supports scheduling campaigns at specific time, configurable frequencies, including real-time, hourly, daily, and weekly intervals. It also enforces global cross-channel frequency capping and contact governance controls at the individual level to manage send-rates, mitigate contact fatigue, and support Do-Not-Disturb (DND) suppression periods.</t>
  </si>
  <si>
    <t>Partial compliance.</t>
  </si>
  <si>
    <t>Scheduling, throttling, batching and send-rate controls are configurable per channel and provider, proven at high volumes.</t>
  </si>
  <si>
    <t>Scheduling, throttling, batching and send-rate limits can be set for each channel and provider.</t>
  </si>
  <si>
    <t>The solution shall provide no-code / low-code capabilities for campaign creation, execution and monitoring by business users.</t>
  </si>
  <si>
    <t>WebEngage provides no-code/low-code capabilities enabling business users to create, execute, and monitor campaigns without engineering involvement. The platform's visual campaign builder, drag-and-drop email editor, visual segment builder, and journey designer are all designed for marketer self-service. Content creation, audience targeting, personalisation using user/event attributes, scheduling, and performance monitoring are all accessible through point-and-click interfaces. No SQL, coding, or API knowledge is required for standard campaign operations.
Documentation:
• Campaign Creation: https://knowledgebase.webengage.com/docs/campaigns
• Drag-Drop Editor: https://knowledgebase.webengage.com/docs/dynamic-email-templating-drag-drop-editor
• Visual Segmentation: https://knowledgebase.webengage.com/docs/creating-segments</t>
  </si>
  <si>
    <t>Marketing Cloud Advanced provides an intuitive, business user friendly, full-featured campaign creation interface i.e. Flow Builder for designing, configuring, scheduling, previewing and executing campaigns. All these features are drag &amp; drop and click through enabled. We also provide agentic capabilities to build these flows/campaigns, audiences and content leveraging NLP based prompts. Additionally, we provide detailed reports around campaigns, journeys and channels to optimise them further.</t>
  </si>
  <si>
    <t>Resul prioritizes ease of use with a complete no-code approach, allowing business users to create segments, build drag-and-drop automated journeys, and design creatives via a WYSIWYG editor without technical assistance. Users can seamlessly orchestrate, execute, and monitor campaigns independently.</t>
  </si>
  <si>
    <t>Business users create, run and monitor campaigns through visual interfaces.</t>
  </si>
  <si>
    <t>The solution shall provide campaign calendar visibility to avoid communication overlaps and support campaign planning.</t>
  </si>
  <si>
    <t>Native unified campaign calender supports enterprise campaign planning and scheduling across channels</t>
  </si>
  <si>
    <t>WebEngage provides campaign calendar visibility to support campaign planning and avoid communication overlaps. The platform's campaign listing view allows filtering by channel, status, date range, and tags - providing visibility into scheduled, active, and completed campaigns. Combined with frequency capping controls (global, channel-level, and category-level caps), the platform prevents communication overlaps even when multiple teams are running concurrent campaigns.
Additionally, journey-level analytics provide a consolidated view of all active journeys, their status, and audience overlap.
Documentation:
• Campaign Listing: https://knowledgebase.webengage.com/docs/campaigns
• Frequency Capping: https://knowledgebase.webengage.com/docs/frequency-capping
• Journey Homepage: https://knowledgebase.webengage.com/docs/journeys-homepage#search-for-a-journey</t>
  </si>
  <si>
    <t>Marketing Cloud Advanced includes a Campaign Calendar view that provides visibility across scheduled and active campaigns to identify overlaps, coordinate send windows and manage communication frequency. See the link below for additional details:
 https://help.salesforce.com/s/articleView?id=mktg.mktg_track_campaigns_with_calendar.htm&amp;type=5</t>
  </si>
  <si>
    <t>The platform provides an intuitive interface equipped with a calendar view, search functionality, and advanced filtering options to help marketers organize and oversee their schedules. This ensures structured campaign planning for omnichannel coverage and prevents communication overlaps.</t>
  </si>
  <si>
    <t>Requirement not evidenced.</t>
  </si>
  <si>
    <t>The campaign calendar supports planning and overlap avoidance across teams.</t>
  </si>
  <si>
    <t>Campaign lists and calendar views within AEP help teams plan and avoid overlapping messages. They can be extended with enterprise work-planning tools.</t>
  </si>
  <si>
    <t>Journey Orchestration</t>
  </si>
  <si>
    <t>The solution shall support design and execution of customer journeys across lifecycle, transactional, promotional and service communication use cases.</t>
  </si>
  <si>
    <t>Fully compliant. Native cross-channel journey orchestration.</t>
  </si>
  <si>
    <t>WebEngage's Journey Designer supports design and execution of customer journeys across lifecycle, transactional, promotional, and service communication use cases. Journeys are built on a visual drag-and-drop canvas with support for multi-step, multi-channel workflows. Pre-built journey templates cover common use cases: onboarding sequences, abandoned cart recovery, post-booking ancillary upsell, win-back/re-engagement, loyalty lifecycle, and transactional notification flows. Custom journeys can be designed for any business scenario.
Documentation:
• Journey Designer: https://knowledgebase.webengage.com/docs/journey-creation-guide
• Journey Concepts: https://knowledgebase.webengage.com/docs/journey-creation-concepts</t>
  </si>
  <si>
    <t>Marketing Cloud Advanced is an enterprise-grade customer journey orchestration engine supporting lifecycle, transactional, promotional and service communication use cases. It natively handles multi-channel sequences, multi-step logic and real-time event processing, enabling IndiGo to deliver contextually relevant communications across the full customer lifecycle.</t>
  </si>
  <si>
    <t>Resul enables the end-to-end automation of customer lifecycle communications across all channels. Brands can seamlessly orchestrate automated actions tailored for lifecycle nurturing, transactional updates, promotional offers, and service communications based on a predefined workflow.</t>
  </si>
  <si>
    <t>Multi-step lifecycle programmes, transactional run as workflows on scheduled and event-driven triggers. A real-time journey canvas is the natural next step.</t>
  </si>
  <si>
    <t>AEP supports design and execution of customer journeys across lifecycle, transactional, promotional and service communication use cases.</t>
  </si>
  <si>
    <t>The solution shall support event-triggered, scheduled and real-time customer journeys.</t>
  </si>
  <si>
    <t>WebEngage supports event-triggered, scheduled, and real-time customer journeys:
• Event-Triggered: Journeys can be triggered by any custom event (e.g., search_completed, booking_initiated, check_in_completed) or system event in real time.
• Scheduled: Journeys can be configured to run on a schedule - processing users who match entry criteria at defined intervals.
• Real-Time: Event-based journey entry happens in real time - within seconds of the triggering event.
• Segment-Based: Journeys can be triggered when a user enters or exits a defined segment.
Documentation:
• Journey Triggers: https://knowledgebase.webengage.com/docs/journey-creation-concepts#enters-exits-is-in-segment
• Event Triggers: https://knowledgebase.webengage.com/docs/journey-creation-concepts#call-api</t>
  </si>
  <si>
    <t>Marketing Cloud Advanced supports event-triggered entry (launches when a specified event occurs, such as a link click or email subscription), scheduled entry (date-based or recurring), and real-time entry via streaming API events from booking, mobile and web touchpoints. For additional details on types of flows/campaigns supported in Marketing Cloud Advanced, please refer to the link below:
 https://help.salesforce.com/s/articleView?id=mktg.mktg_flow_types_compare.htm&amp;type=5</t>
  </si>
  <si>
    <t>The platform natively supports event-triggered, behaviour-triggered, and scheduled journey executions. Journeys can be activated in real time upon event occurrence, in near real time after a configurable delay of minutes or hours, or on recurring schedules such as daily, weekly, monthly, or on specific days of the week or month, giving marketers precise control over communication timing across all journey types.</t>
  </si>
  <si>
    <t>Workflows start on schedules, file arrivals and triggers from Adobe Analytics, and Message Center handles real-time events.</t>
  </si>
  <si>
    <t>Journeys can start from an event, a schedule or a real-time condition.</t>
  </si>
  <si>
    <t>The solution shall support multi-step and multi-channel journey design with wait, decision, split, goal, exit and suppression logic.</t>
  </si>
  <si>
    <t>Fully compliant with advanced journey controls.</t>
  </si>
  <si>
    <t>WebEngage supports multi-step and multi-channel journey design with comprehensive flow control:
• Wait: Time-based delays (wait for X hours/days) and event-based waits (wait until user performs event).
• Decision/Split: Conditional branches based on user attributes, event data, segment membership, or engagement actions.
• Goal: Conversion goal tracking within journeys to measure success.
• Exit: Exit conditions that automatically remove users from the journey when criteria are met (e.g., booking completed).
• Suppression: DND, frequency capping, and segment-based suppression integrated into journey flow.
• Channels: Email, SMS, Push, WhatsApp, In-App, Web Push, Onsite, and Webhook (for external system calls) available as action blocks.
Documentation:
• Journey Blocks: https://knowledgebase.webengage.com/docs/journey-creation-guide#add-action-blocks
• Journey Concepts: https://knowledgebase.webengage.com/docs/journey-creation-concepts</t>
  </si>
  <si>
    <t>Marketing Cloud Advanced Flow Builder supports these features out of the box enabling marketers to orchestrate multi-channel journey designs. See the link below for detailed list of features &amp; elements available in Flow Builder:
 https://help.salesforce.com/s/articleView?id=mktg.mktg_flow_elements_reference.htm&amp;type=5</t>
  </si>
  <si>
    <t>The Multi-Dimensional Campaign (MDC) feature supports multi-step, sequenced communications across diverse channels, incorporating conditional branching and decision trees. The platform fully supports configurable goals, entry and exit criteria, and comprehensive suppression logic, including global opt-outs and frequency caps, seamlessly integrated into the journey.</t>
  </si>
  <si>
    <t>Workflows support multi-step, multi-channel programmes with waits, decisions, splits, goals, exits and suppression.</t>
  </si>
  <si>
    <t>Marketers design journeys with many steps and channels on one canvas. They can add waits, decisions, splits, goals, exits and suppression.</t>
  </si>
  <si>
    <t>The solution shall support behaviour-based journey branching using customer actions, engagement signals, booking context and lifecycle stage.</t>
  </si>
  <si>
    <t>Fully compliant. Strong behavioural orchestration capability.</t>
  </si>
  <si>
    <t>WebEngage supports behaviour-based journey branching using customer actions, engagement signals, booking context, and lifecycle stage. Journey split/condition blocks can branch based on:
• Whether a user performed a specific event (e.g., added ancillary, completed booking).
• Channel engagement signals (email opened, push clicked, WhatsApp delivered).
• User attribute values (loyalty tier, booking count, customer value segment).
• Segment membership changes.
• Custom event attribute values (fare family selected, route type, cabin class).
This enables contextual journey paths - e.g., a post-search journey that branches differently for users who viewed premium fares vs. economy fares.
Documentation:
• Conditions: https://knowledgebase.webengage.com/docs/journey-creation-concepts#conditions
• Split: https://knowledgebase.webengage.com/docs/journey-creation-concepts#split</t>
  </si>
  <si>
    <t>Marketing Cloud Advanced Flow Builder supports these capabilities out of the box enabling marketers to orchestrate multi-channel journey designs using behaviour-based journey branching, customer actions, engagement signals, booking context and lifecycle stage. All branching logic is configured visually with no code required.
 See the link below for detailed list of features &amp; elements available in Flow Builder:
 https://help.salesforce.com/s/articleView?id=mktg.mktg_flow_elements_reference.htm&amp;type=5</t>
  </si>
  <si>
    <t>The platform allows creation of campaigns and journey paths to dynamically adapt and branch based on real-time customer actions, engagement signals, and behavioural context. For IndiGo, this enables creating automated lifecycle stage specific campaigns and branching based on signals such as communication responses, CTAs, bookings, transactions or any other custom events.</t>
  </si>
  <si>
    <t>Branching uses customer actions and engagement signals available in the database at run time.</t>
  </si>
  <si>
    <t>Journeys can branch based on what customers do, how they engage, their booking context and their lifecycle stage.</t>
  </si>
  <si>
    <t>The solution shall support re-entry rules, exit criteria, journey eligibility controls and live journey controls such as pause, resume, edit and stop.</t>
  </si>
  <si>
    <t>WebEngage supports re-entry rules, exit criteria, journey eligibility controls, and live journey management:
• Re-entry Rules: Configure whether users can re-enter a journey after completion, and define cooldown periods.
• Exit Criteria: Global exit conditions automatically remove users when they achieve the journey goal (e.g., booking completed) or meet exclusion criteria.
• Eligibility Controls: Segment-based entry criteria and frequency caps govern who enters the journey.
• Live Controls: Active journeys can be paused, resumed, edited (with version management), and stopped without affecting users already in flow.
Documentation:
• Journey Controls: https://knowledgebase.webengage.com/docs/journey-creation-concepts
• Journey Homepage: https://knowledgebase.webengage.com/docs/journeys-homepage#search-for-a-journey</t>
  </si>
  <si>
    <t>Marketing Cloud Advanced Flow Builder supports fully configurable re-entry and exit rules. Re-entry options are configurable at Flow level. Exit criteria include goal-based exit and multi-criteria conditions (engagement events, attribute changes, segment membership). Live Flows support pause, resume, version-based edits and stop — without losing in-flight contact state. Entry eligibility controls prevent duplicate or ineligible entries.</t>
  </si>
  <si>
    <t>The platform offers highly configurable entry and exit criteria for journeys. Administrators and authorized users have live journey controls, including the ability to add, or edit conditions of published workflows, while eligibility controls and suppression rules strictly govern re-entry and ongoing engagement.</t>
  </si>
  <si>
    <t>Partial evidence.</t>
  </si>
  <si>
    <t>Re-entry rules, exit criteria and eligibility controls are configured in workflows, and live changes take effect at the next run.</t>
  </si>
  <si>
    <t>Re-entry rules, exit criteria, eligibility controls and pause, resume and stop are built into AEP. Changes to a live journey are published as a new version.</t>
  </si>
  <si>
    <t>The solution shall support journey simulation, preview and validation before launch.</t>
  </si>
  <si>
    <t>WebEngage provides journey preview and validation before launch - including visual preview of the journey flow, entry criteria validation, and channel configuration checks. Test runs can be executed using test segments. 
Hygiene checks such as missing information in campaign configuration, invalid branching logic, and endless loops are natively handled in journeys. Users are prompted about specific errors, preventing them from launching campaigns with broken rules or logic.
Documentation:
• Journey Testing: https://knowledgebase.webengage.com/docs/campaign-variations-testing#testing-journey-campaigns</t>
  </si>
  <si>
    <t>Marketing Cloud Advanced Flow Builder includes native simulation and validation capabilities before activation. Marketers can preview personalised content for specific test profiles, validate Flow logic using the Flow debug/validation panel (which surfaces errors, warnings, and resolution guidance), and perform test sends to seed addresses or designated test lists prior to live deployment. This ensures journey logic and content render correctly across all channels before reaching live audiences.</t>
  </si>
  <si>
    <t>Marketers can fully preview communications on various devices and execute test sends with approval, or rejection with feedback options before a campaign goes live.</t>
  </si>
  <si>
    <t>Requirement not demonstrated.</t>
  </si>
  <si>
    <t>Simulation mode and test profiles validate workflows before launch.</t>
  </si>
  <si>
    <t>Test mode uses test profiles and simulated events to check a journey before launch.</t>
  </si>
  <si>
    <t>The solution shall provide journey-level analytics, conversion tracking and A/B testing.</t>
  </si>
  <si>
    <t>WebEngage provides journey-level analytics, conversion tracking, and A/B testing:
• Journey Analytics: Real-time journey performance dashboard showing user flow through each step, drop-offs at each stage, channel-wise delivery and engagement metrics, and conversion rates.
• Conversion Tracking: Journey goals track conversion events (e.g., booking_completed, ancillary_purchased) with attribution to the journey and specific steps.
• A/B Testing: Journey-level A/B testing via split paths - test different journey flows, channel sequences, timing, and content to optimise performance.
Documentation:
• Journey Analytics: https://knowledgebase.webengage.com/docs/journey-overview-live-view
• Journey Stats: https://knowledgebase.webengage.com/docs/journey-overview-live-view#1-journey-stats
• Journey A/B Testing: https://knowledgebase.webengage.com/docs/campaign-variations-testing#testing-journey-campaigns</t>
  </si>
  <si>
    <t>Marketing Cloud Advanced provides journey-level analytics through Marketing Performance Dashboards embedded natively in the platform. These dashboards surface: Flow-level conversion tracking, step-by-step engagement metrics (sends, opens, clicks, conversions), Path Experiment results, and goal attainment rates. All Flow execution data is stored in DMOs in Marketing Data Layer.
 While configuring the flow/campaign Indigo marketers can also run A/B test on the sub-flows/journey paths to identify which path gives better result.</t>
  </si>
  <si>
    <t>The platform features robust analytics for reach, engagement, and conversion tracking across all journey touchpoints. It includes built-in A/B and multivariate testing capabilities (up to 4 variants) to optimize content, subject lines, and send times automatically based on statistical performance.</t>
  </si>
  <si>
    <t>Workflow and delivery reports and goal tracking are native, with deeper funnel analysis in Adobe Analytics.</t>
  </si>
  <si>
    <t>Journey reports, goal tracking and A/B testing are built in. Deeper funnel analysis is available on the same platform.</t>
  </si>
  <si>
    <t>The solution shall support lifecycle journey templates such as onboarding, abandoned cart, post-booking, ancillary upsell, win-back and loyalty engagement.</t>
  </si>
  <si>
    <t>WebEngage supports lifecycle journey templates covering key engagement scenarios:
• Onboarding: Welcome series, profile completion, app feature discovery.
• Abandoned Cart: Multi-step recovery across funnel stages (search, flight selection, payment).
• Post-Booking: Ancillary upsell, check-in reminders, travel prep communications.
• Ancillary Upsell: Contextual cross-sell/upsell journeys based on booking attributes.
• Win-Back: Re-engagement journeys for dormant users with escalating incentives.
• Loyalty Engagement: Tier milestone communications, points expiry reminders, reward discovery.
These templates serve as starting points and are fully customizable.
Documentation:
• Journey Guide: https://knowledgebase.webengage.com/docs/journey-creation-guide
• Journey Concepts: https://knowledgebase.webengage.com/docs/journey-creation-concepts</t>
  </si>
  <si>
    <t>Marketing Cloud Advanced includes an out-of-the-box Flow template library covering variety of scenarios. Templates are fully customisable for IndiGo-specific airline use cases: post-PNR booking confirmation sequences, check-in reminder flows, upgrade offer journeys, flight disruption alert flows, and post-travel feedback campaigns. The Agentforce Campaign Creation Agent can generate new Flow structures from a natural language brief, further accelerating time-to-launch.</t>
  </si>
  <si>
    <t>Resul comes equipped with a comprehensive library of pre-built journey templates covering common lifecycle and retail use cases, including cart abandonment, win-back, welcome series, post-purchase follow-ups, anniversary campaigns, and loyalty triggers</t>
  </si>
  <si>
    <t>Lifecycle workflows for onboarding, abandonment, post-booking, ancillary upsell, win-back and loyalty are built as reusable templates.</t>
  </si>
  <si>
    <t>Reusable journey templates are built for onboarding, abandonment, post-booking, ancillary upsell, win-back and loyalty.</t>
  </si>
  <si>
    <t>Multi-Channel Communication</t>
  </si>
  <si>
    <t>The solution shall support campaign execution across Email, SMS, Push Notifications, WhatsApp, RCS, Web Push and In-App Messaging.</t>
  </si>
  <si>
    <t>WebEngage natively supports campaign execution across all required channels:
• Email: Full-featured with drag-and-drop editor, AMP email, transactional email support.
• SMS: Two-way SMS with URL shortening, personalisation, and delivery tracking.
• Push Notifications: Android and iOS with rich media, deep linking, and push amplification.
• WhatsApp: Template-based and session messaging with media support, via BSP integration.
• RCS: Rich Communication Services messaging with carousel, rich card support.
• Web Push: Browser push notifications for desktop and mobile web.
• In-App Messaging: Overlays, banners, surveys, NPS, spin-the-wheel, and custom HTML layouts.
Additionally: Onsite notifications, App Inbox, and Connectors (Facebook, Google Ads) are supported.
Documentation:
• Push: https://knowledgebase.webengage.com/docs/creating-push-campaigns
• WhatsApp: https://knowledgebase.webengage.com/docs/creating-whatsapp-campaigns
• In-App: https://knowledgebase.webengage.com/docs/creating-in-app-campaigns</t>
  </si>
  <si>
    <t>Marketing Cloud Advanced natively supports the following channels, all orchestrated through a single Flow Builder canvas: Email, SMS, Push Notifications, WhatsApp, In-App Messaging &amp; RCS. Web push is in the product roadmap. All these channels share a unified sending and consent framework.</t>
  </si>
  <si>
    <t>The platform natively supports true omnichannel orchestration and campaign execution across Email, SMS, RCS, WhatsApp, Web banners, overlays &amp; Push notifications, Mobile Push, and In-App messaging.</t>
  </si>
  <si>
    <t>Email, SMS and push are native. WhatsApp, RCS and web push already run as custom channels in IndiGo's current implementation, which shows how readily the platform extends to new channels. In-app notifications are not available in Campaign v7, and in-app experiences are delivered through Adobe Target.</t>
  </si>
  <si>
    <t>AEP supports email, SMS, RCS, app push, web push, native WhatsApp, in-app messages, web messages, content cards and web personalization. It uses native channels and provides integrations.</t>
  </si>
  <si>
    <t>The solution shall support transactional, promotional, service and lifecycle communications across supported channels.</t>
  </si>
  <si>
    <t>WebEngage supports transactional, promotional, service, and lifecycle communications across all channels. Campaign types include:
• Transactional: API-triggered messages for booking confirmations, PNR updates, payment receipts - bypassing marketing frequency caps.
• Promotional: Targeted marketing campaigns with audience segmentation, personalisation, and A/B testing.
• Service: Operational communications (flight status, gate changes, schedule updates) via event triggers.
• Lifecycle: Multi-step journey-based communications spanning the full customer lifecycle.
All campaign types support personalisation, scheduling, and performance tracking.
Documentation:
• Campaign Types: https://knowledgebase.webengage.com/docs/campaigns
• Transactional Push: https://knowledgebase.webengage.com/docs/creating-transactional-push-campaigns</t>
  </si>
  <si>
    <t>Marketing Cloud Advanced supports all required communication types across channels: (1) Transactional messaging — via On-Demand (API-Triggered) Flows for real-time booking confirmations, OTPs, baggage alerts, and service notifications. (2) Promotional campaigns — batch and triggered, via scheduled or event-driven Flows; (3) Service communications — check-in reminders, flight disruption alerts, gate change notifications; (4) Lifecycle journeys — onboarding, win-back, loyalty, ancillary upsell, post-travel.</t>
  </si>
  <si>
    <t>Resul accommodates multiple campaign types, allowing brands to execute transactional alerts, promotional blasts, OTPs, newsletters, and ongoing lifecycle nurturing across all supported channels.</t>
  </si>
  <si>
    <t>Transactional, promotional, service and lifecycle messages are supported, with Message Center for real-time transactional sends.</t>
  </si>
  <si>
    <t>Each channel supports transactional, promotional, service and lifecycle messages.</t>
  </si>
  <si>
    <t>The solution shall support integration with channel aggregators and communication partners through native, pre-built or flexible connectors.</t>
  </si>
  <si>
    <t>WebEngage supports integration with channel aggregators and communication partners through multiple connector options:
• Native Channel Support: Email (built-in ESP with dedicated IP), Push (FCM, APNs, Xiaomi, Huawei), Web Push (native).
• Pre-built Connectors: WhatsApp BSPs (Infobip, Gupshup, Kaleyra, ValueFirst), SMS aggregators (via configured gateways), RCS providers.
• Flexible Integration: Webhook-based connectors for any external communication partner, enabling custom channel integration without platform changes.
• Connector API: REST API support for bidirectional data exchange with any channel partner.
Documentation:
• WhatsApp Integration: https://docs.webengage.com/docs/infobip-1#whatsapp-templates
• Xiaomi Push: https://docs.webengage.com/docs/xiaomi-push-integration</t>
  </si>
  <si>
    <t>Marketing Cloud Advanced provides Email, SMS, WA, Push, In-app, RCS as native channels in the platform, via partnerships with aggregators/vendors. In the campaign flow Indigo can also share the data/segment for outreach to be made available to a channel aggregator.
We can create segments within our data layer and activate them across any destination using native connectors, middleware, cloud platforms like AWS and Azure, SFTP, or APIs</t>
  </si>
  <si>
    <t>The platform supports integration with channel aggregators, communication service providers, and technology partners through over 100 native, pre-built API connectors, SDKs, and webhooks. For email delivery, Resulticks operates its own SMTP infrastructure, ensuring direct control over deliverability, reputation management, and sending performance. For SMS, WhatsApp, RCS, and other messaging channels, the platform offers pre-integrated gateways with leading aggregators and CPaaS providers, enabling rapid channel activation without custom development. The platform also supports mapping of different sender IDs to various aggregators to suit IndiGo's specific routing and business requirements.</t>
  </si>
  <si>
    <t>Extended SMS connectors and a custom provider framework integrate channel aggregators and communication partners.</t>
  </si>
  <si>
    <t>Ready-made connectors and a custom provider framework connect AEP to channel aggregators and communication partners.</t>
  </si>
  <si>
    <t>The solution shall support delivery tracking, bounce handling, retry logic, failure reporting and communication status tracking.</t>
  </si>
  <si>
    <t>WebEngage supports delivery tracking, bounce handling, retry logic, failure reporting, and communication status tracking across all channels:
• Delivery Tracking: Real-time delivery status tracking (sent, delivered, failed, bounced) per message per channel.
• Bounce Handling: Automatic hard bounce suppression (auto-blacklisting) and soft bounce retry logic for Email. Push token invalidation handling for Push channels.
• Retry Logic: Configurable retry mechanisms for failed deliveries across channels.
• Failure Reporting: Detailed failure reason codes and delivery failure analytics per campaign.
• Communication Status: Full message-level status tracking accessible via campaign analytics and exportable for external analysis.
Documentation:
• Email Delivery: https://knowledgebase.webengage.com/docs/analyzing-email-overview
• Auto Blacklisting: https://knowledgebase.webengage.com/docs/email-marketing-faqs#campaign-delivery--failures
• Push Analytics: https://knowledgebase.webengage.com/docs/analyzing-push-campaigns</t>
  </si>
  <si>
    <t>Marketing Cloud Advanced provides comprehensive delivery tracking across all channels via Marketing Data Layer DMOs/Tables/Objects: Email Engagement DMO, SMS Engagement DMO, Push Engagement DMO, and WhatsApp Engagement DMO. Automatic retry logic for soft bounces is supported and these soft bounces are tracked with reason codes in the Email Engagement DMO. Delivery status data is surfaced in Marketing Performance Dashboards and accessible via Marketing Data Layer Query API.</t>
  </si>
  <si>
    <t>Resul provides comprehensive delivery tracking and failure reporting through its Detailed Channel Analytics, which captures real-time metrics like deliverability, progress, and failed communications. The platform natively supports automated bounce management, retry mechanisms, and communication status tracking across all channels to ensure high deliverability rates.</t>
  </si>
  <si>
    <t>Delivery tracking, bounce classification, retries and status are captured natively and are proven at scale.</t>
  </si>
  <si>
    <t>AEP records delivery, bounces, failures and message status as data, so teams can track and report on them.</t>
  </si>
  <si>
    <t>The solution shall support channel fallback logic based on delivery failure, customer preference, consent status or business rules.</t>
  </si>
  <si>
    <t>WebEngage supports channel fallback logic based on delivery failure, customer preference, consent status, and business rules. Within journeys, conditional branching enables fallback flows - e.g., if Push delivery fails, fall back to SMS; if Email bounces, route to WhatsApp. The Best Channel feature uses AI to automatically select the channel most likely to generate engagement for each individual user, based on their historical channel response patterns.
Journey split blocks support channel preference-based routing using reachability status, consent flags, and engagement history.
Documentation:
• Journey Conditions: https://knowledgebase.webengage.com/docs/journey-creation-concepts#conditions
• Send Intelligently (Best Channel): https://knowledgebase.webengage.com/docs/send-intelligently</t>
  </si>
  <si>
    <t>Marketing Cloud Advanced Flow Builder supports configurable channel fallback orchestration. If a primary channel send fails, the Flow branches automatically - based on delivery status events surfaced as Engagement Signals, opt-in status is checked, or Decision Split evaluation is done - to trigger a fallback channel. This enables sophisticated fallback chains such as Push → SMS → Email, configured visually within a single Flow canvas without custom code.</t>
  </si>
  <si>
    <t>The platform supports automated omnichannel journeys (Multi-Dimensional Communications) with the ability to dynamically swap channels (fallback logic) based on customer inactivity or delivery failures. Furthermore, AI-backed channel propensity algorithms and built-in consent management ensure that fallback communications always respect individual customer channel preferences and opt-out rules.</t>
  </si>
  <si>
    <t>Channel fallback is built in workflows with conditions on delivery status, preference and consent.</t>
  </si>
  <si>
    <t>Journey conditions can switch channels when delivery fails. They can also use customer preference, consent and business rules.</t>
  </si>
  <si>
    <t>The solution shall support channel-level throttling, batching and frequency controls.</t>
  </si>
  <si>
    <t>WebEngage supports channel-level throttling, batching, and frequency controls:
• Channel Throttling: Send rate control per channel to manage delivery speed and partner capacity.
• Batching: Slice and Send feature delivers campaigns in batches with configurable intervals.
• Frequency Capping: Multi-level frequency controls - global (across all channels), channel-level (per channel), category-level (e.g., promotional vs. transactional), and campaign-level caps. Configurable by time window (daily, weekly, monthly).
• DND Hours: Channel-specific quiet hours enforcement.
Documentation:
• Frequency Capping: https://knowledgebase.webengage.com/docs/frequency-capping
• Frequency Settings: https://knowledgebase.webengage.com/docs/frequency-capping-settings
• Slice and Send: https://knowledgebase.webengage.com/docs/campaigns#delivery-time-frequency</t>
  </si>
  <si>
    <t>Marketing Cloud Advanced supports throttling and batching with dynamic send-rate controls baked into Flow orchestration. These controls prevent subscriber fatigue and ensure compliance with operational throughput limits.
 For frequency capping, you may leverage Einstein Engagement Frequency (EEF) as a decision node in Flow to detect send saturation per contact and suppress/delay sends when a threshold is hit. You can also build a Calculated Insight in Marketing Data Layer to track "emails sent in last X days" per contact/profile, then use it as a suppression condition across Flows. 
 TRAI DND scrubbing for SMS in India is automatically applied at send time.</t>
  </si>
  <si>
    <t>Resul enforces cross-channel frequency capping and contact governance at the individual customer level across all active channels. Administrators can easily configure throttling, batching rules, and DND (Do-Not-Disturb) hours to optimize communication cadences and prevent customer contact fatigue.</t>
  </si>
  <si>
    <t>Typology rules apply frequency, volume and channel pressure controls across campaigns. Enterprise-grade governance applies consistently across every campaign.</t>
  </si>
  <si>
    <t>Frequency and send-rate limits are set for each channel. Limits can also be set for each customer profile.</t>
  </si>
  <si>
    <t>The solution shall support email deliverability capabilities including SPF, DKIM, DMARC, BIMI, bounce classification and domain reputation monitoring.</t>
  </si>
  <si>
    <t>Partially compliant. Some requested deliverability controls are not explicitly demonstrated.</t>
  </si>
  <si>
    <t>WebEngage supports email deliverability capabilities including SPF, DKIM, DMARC authentication setup, bounce classification (hard/soft), and domain reputation monitoring through deliverability dashboards. Auto-blacklisting of hard-bounced addresses is supported.
Regarding BIMI: BIMI is a DNS-level standard that operates independently of the sending platform. If IndiGo uses WebEngage's native ESP, WebEngage will configure and support BIMI setup (DNS records, VMC certificate guidance) as part of the implementation.
If IndiGo brings a third-party ESP, BIMI configuration is the responsibility of that service provider. In either case, WebEngage does not block or interfere with BIMI - it is fully compatible.
Documentation:
• Email Deliverability: https://knowledgebase.webengage.com/docs/email-marketing-faqs#campaign-delivery--failures
• Email Analytics: https://knowledgebase.webengage.com/docs/analyzing-email-overview</t>
  </si>
  <si>
    <t>Marketing Cloud Advanced's email infrastructure is purpose-built for enterprise deliverability: native SPF, DKIM, and DMARC configuration; automated hard/soft/block bounce classification with retry logic; dedicated IP options for IndiGo's sending domains with IP warming support; domain and IP reputation monitoring is also native.</t>
  </si>
  <si>
    <t>Resul supports industry-standard email authentication protocols including SPF, DKIM, and DMARC to ensure secure and authenticated email delivery. The platform also supports BIMI (where supported by mailbox providers) to enhance brand trust and visibility. Comprehensive bounce management capabilities automatically classify hard bounces, soft bounces, transient failures, and maintain suppression lists to protect sender reputation. Resul enables domain and sender reputation monitoring through integration with industry-standard reputation monitoring services and provides detailed delivery, bounce, complaint, and engagement reporting. Additional capabilities include feedback loop (FBL) processing, complaint handling, unsubscribe management, and deliverability best practices to maximize inbox placement and maintain optimal sender reputation.</t>
  </si>
  <si>
    <t>Important capability missing from proposal.</t>
  </si>
  <si>
    <t>SPF, DKIM, DMARC, bounce classification, reputation monitoring and Adobe's deliverability services support strong inbox placement.</t>
  </si>
  <si>
    <t>AEP supports SPF, DKIM, DMARC and BIMI, sorts bounces by type and monitors sender reputation.</t>
  </si>
  <si>
    <t>The solution shall support customer communication history across channels.</t>
  </si>
  <si>
    <t>WebEngage maintains a complete customer communication history across all channels. Each user profile contains a detailed engagement history showing every campaign and journey message sent, delivered, opened, clicked, converted, and failed - across Email, SMS, Push, WhatsApp, In-App, Web Push, and RCS. This cross-channel communication timeline is accessible within the user profile view and can be used for segmentation (e.g., "users who received email but didn't open in last 7 days").
Documentation:
• User Profile Activity: https://knowledgebase.webengage.com/docs/analysing-user-profiles#activity
• User Events: https://knowledgebase.webengage.com/docs/analysing-user-profiles#events</t>
  </si>
  <si>
    <t>Marketing Cloud Advanced maintains a complete, queryable communication history per customer across all channels, stored in Marketing Data Layer DMOs: Email Engagement DMO, SMS Engagement DMO, Push Engagement DMO, WhatsApp Engagement DMO etc. This data is accessible via Marketing Performance Dashboards and Marketing Data Layer Query API.</t>
  </si>
  <si>
    <t>The platform maintains a complete chronological interaction timeline for each individual customer across all touchpoints through its Audience Analytics 360 capability. Marketers can easily view a customer's entire communication history, campaign exposures, and engagement events from a unified profile. It also offers daily sync of communication responses back to IndiGo's desired storage location.</t>
  </si>
  <si>
    <t>Delivery and broad logs hold cross-channel communication history on the recipient record.</t>
  </si>
  <si>
    <t>Message feedback is saved on the customer profile, giving a full history of communication across channels.</t>
  </si>
  <si>
    <t>Personalisation &amp; Decisioning</t>
  </si>
  <si>
    <t>The solution shall support dynamic personalisation of content, offers, subject lines, CTAs and message body.</t>
  </si>
  <si>
    <t>WebEngage supports dynamic personalisation of content, offers, subject lines, CTAs, and message body across all channels. Personalisation tokens can insert any user attribute, event attribute, or derived attribute into message content. Conditional content blocks (if/else logic) enable dynamic content variations within a single campaign based on user profile data. Catalog-based personalisation enables product/offer recommendations within messages.
Documentation:
• Campaign Personalisation: https://knowledgebase.webengage.com/docs/campaign-personalization
• Email Personalisation: https://knowledgebase.webengage.com/docs/dynamic-email-templating-drag-drop-editor#personalizing-the-message
• WhatsApp Personalisation: https://knowledgebase.webengage.com/docs/creating-whatsapp-campaigns#populate-personalization-variables</t>
  </si>
  <si>
    <t>Marketing Cloud Advanced Content Builder supports dynamic personalisation of content elements — subject lines, preview text, body, CTAs, images, offers etc — driven by real-time customer data from Marketing Data Layer's unified profile. For web and mobile app channel personalisation, Salesforce Personalization delivers personalisation decisions based on live behavioural context, campaign membership, and affinity scoring - complementing MCA's outbound personalisation.</t>
  </si>
  <si>
    <t>Dynamic content personalization functions at a true "segment-of-one" level across all supported touchpoints. Using the platform's WYSIWYG editor, marketers can dynamically populate customized text, content blocks, product recommendations, tailored images, personalized subject lines, and individualized Call-To-Actions (CTAs) directly within the message body, all driven by real-time updates to customer profile attributes.</t>
  </si>
  <si>
    <t>Dynamic personalization covers content, offers, subject lines, CTAs and body.</t>
  </si>
  <si>
    <t>Content, offers, subject lines, CTAs and message body can all be personalized and generated with the help of Firefly available within AEP.</t>
  </si>
  <si>
    <t>The solution shall support personalisation using customer profile, behavioural, transactional, booking, loyalty and engagement data.</t>
  </si>
  <si>
    <t>WebEngage supports personalisation using customer profile, behavioural, transactional, booking, loyalty, and engagement data. All user attributes (system and custom), event attributes, derived attributes, and engagement history data points are available as personalisation tokens. This includes airline-specific attributes such as loyalty tier, booking history, fare family preference, ancillary purchase patterns, and travel frequency - all usable for dynamic content, conditional branching, and recommendation logic.
Documentation:
• Personalisation Variables: https://knowledgebase.webengage.com/docs/campaign-personalization
• Attribute-Based Personalisation: https://knowledgebase.webengage.com/docs/campaign-personalization#section-personalizing-a-campaigns-image-icons</t>
  </si>
  <si>
    <t>Personalisation in Marketing Cloud Advanced leverages the full unified customer profile from Marketing Data Layer: demographic attributes, behavioural signals (browse, click, app events), transactional history (past bookings, spend, ancillary purchases), booking context (upcoming travel, fare class, route), loyalty tier and points balance, and full cross-channel engagement history. Marketing Data Layer's (Real-Time) Data Graph ensures personalisation decisions always reflect the latest customer state across all channels inc. web &amp; app. For web &amp; app, we leverage Salesforce Personalization module.</t>
  </si>
  <si>
    <t>The platform enables personalisation across customer profile, behavioural, transactional, booking, loyalty, and engagement dimensions, drawing from data ingested from IndiGo's CDP and other integrated source systems. Campaign content is dynamically personalised based on available data including historical purchase patterns, recent digital interactions, booking context, and loyalty attributes such as BluChip tier status, points balance, and reward eligibility, and injected in real time into communications across Email, SMS, Push, and In-App channels.</t>
  </si>
  <si>
    <t>Personalization uses any attribute in the recipient data model.</t>
  </si>
  <si>
    <t>Personalization can use profile, behavior, transaction, booking, loyalty and engagement data.</t>
  </si>
  <si>
    <t>The solution shall support real-time personalisation based on customer behaviour, campaign context and lifecycle stage.</t>
  </si>
  <si>
    <t>WebEngage supports real-time personalisation based on customer behaviour, campaign context, and lifecycle stage. Triggered campaigns and journey actions fire in real time upon event occurrence, with message content personalised using the triggering event's attributes (e.g., searched route, selected fare, abandoned stage). Lifecycle stage-based personalisation is enabled through segment-based targeting and journey branching - different content and offers for new users, active users, at-risk users, and lapsed users.
Documentation:
• Triggered Campaigns: https://knowledgebase.webengage.com/docs/campaigns#triggered-campaigns
• Journey Branching: https://knowledgebase.webengage.com/docs/journey-creation-concepts#conditions</t>
  </si>
  <si>
    <t>Salesforce Personalization can deliver true real-time, in-session personalisation on IndiGo's web and mobile app channels - responding to live browsing behaviour, session context, campaign membership, and lifecycle stage. It powers real-time targeting, personalization and recommendations. Marketing Cloud Advanced complements this with near-real-time triggered messaging (Automation Event-Triggered Flows via Engagement Signals) and On-Demand API-Triggered Flows for transactional sends across Email, SMS, WA, Push &amp; RCS.</t>
  </si>
  <si>
    <t>Real-time personalized communication is a native capability of the platform, enabling immediate communication triggers based on precise customer actions. Marketers can orchestrate journeys that dynamically adapt to behavioral signals, triggering most relevant communications instantly for events like browse abandonment, repeat purchases, loyalty milestones, and price drops based on the user's specific lifecycle stage.</t>
  </si>
  <si>
    <t>Personalization is real time for Message Center sends and run-time for batch sends.</t>
  </si>
  <si>
    <t>Personalization uses what the customer is doing now, the campaign context and their lifecycle stage, in real time.</t>
  </si>
  <si>
    <t>The solution shall support send-time optimisation and channel preference / channel optimisation capabilities.</t>
  </si>
  <si>
    <t>WebEngage supports Send-Time Optimisation (STO) and Best Channel capabilities:
• Send-Time Optimisation: AI-driven delivery timing that learns each user's optimal engagement window and sends messages at the time most likely to drive interaction - personalised per user, not per segment.
• Best Channel: AI-based channel selection that identifies the most effective channel for each individual user based on their historical engagement patterns across Email, SMS, Push, WhatsApp, and other channels.
Both features operate at individual user level using ML models trained on the user's own engagement history.
Documentation:
• Send Intelligently: https://knowledgebase.webengage.com/docs/send-intelligently
• Best Channel: https://knowledgebase.webengage.com/docs/send-intelligently#using-send-intelligently</t>
  </si>
  <si>
    <t>Einstein Send-Time Optimisation (STO) in Marketing Cloud Advanced uses machine learning to determine the individually optimal send time for each subscriber, maximising open and engagement rates. Einstein Engagement Scoring predicts each subscriber's likelihood to open, click, or unsubscribe, enabling Flow branching on predicted engagement. 
 Additionally, basis the channel engagement data, that flows back in Marketing Data Layer, you can also create preferred channel CIs and then use these CIs for audience building and precise targeting.</t>
  </si>
  <si>
    <t>The platform leverages sophisticated AI/ML algorithms including both the "Send time Optimization" and the "Channel Propensity" at an individual customer level. By analyzing past interactions and engagement patterns, the engine optimizes outreach strategies to ensure messages reach recipients at their most receptive moments, thereby maximizing engagement while drastically reducing communication fatigue.</t>
  </si>
  <si>
    <t>Delivery windows and per-segment scheduling optimise timing. AI-driven send-time optimization is not native.</t>
  </si>
  <si>
    <t>AEP supports send-time optimization and channel optimization based on customer preference.</t>
  </si>
  <si>
    <t>The solution shall support next-best-action, next-best-offer or recommendation capabilities.</t>
  </si>
  <si>
    <t>WebEngage supports next-best-action, next-best-offer, and recommendation capabilities:
• Catalog Recommendations: Product/offer recommendations using configurable algorithms (bestsellers, trending, recently viewed, personalised recommendations based on user behaviour and purchase history).
• Next-Best-Offer: Journey branching logic combined with predictive scoring enables contextual offer selection based on user propensity and engagement signals.
• WebEngage BLACK: Advanced next-best-action decisioning using the Decision layer - combining affinity modelling, propensity scoring, lifecycle state, and business rules to determine the optimal intervention for each user.
Documentation:
• Catalogs &amp; Recommendations: https://knowledgebase.webengage.com/docs/catalogs-and-recommendations
• Predictive Segments: https://knowledgebase.webengage.com/docs/predictive-segment</t>
  </si>
  <si>
    <t>Salesforce Personalization provides NBA/NBO decisioning engine. It evaluates customer context (session behaviour, profile attributes, purchase history), product affinity scores, eligibility rules, and business constraints to surface the most relevant offer/recommendations or action across web, app &amp; other channels - powered by a reinforcement learning algorithm that improves with each interaction.</t>
  </si>
  <si>
    <t>Resul is equipped with an AI-powered Next Best Experience (NBX) module designed to elevate conversion rates. By continuously analyzing past offer consumption and transactional patterns, this prescriptive engine dynamically identifies and recommends the optimal next best action, product, or offer specifically tailored to each individual audience member across all channels.</t>
  </si>
  <si>
    <t>Offers and recommendations are driven by segment rules and on-site next-best-offer from Adobe Target, steered by attributes in the database.</t>
  </si>
  <si>
    <t xml:space="preserve">Next-best offers, content and actions come from AEP's Recommendations and Automated Personalization. Propensity scores guide which message a customer receives in journeys. The full fledged AEP Decisioning module has not been included as a part of the current tech refresh, as there is an incumbent solution already present which can be integrated with AEP. </t>
  </si>
  <si>
    <t>The solution shall support predictive modelling for propensity, churn, repeat purchase, ancillary purchase and customer value.</t>
  </si>
  <si>
    <t>WebEngage supports predictive modelling for propensity, churn, repeat purchase, ancillary purchase, and customer value:
• Predictive Segmentation: ML-based segments that predict likelihood to purchase, churn, or engage - trained on the brand's own historical data.
• Engagement Scoring: AI-computed engagement scores per user, ranking users by predicted engagement probability.
• RFM Segmentation: Recency, Frequency, Monetary analysis for customer value classification.
• WebEngage BLACK: Advanced propensity models including churn prediction (Soft Miss detection), repeat purchase propensity, discount dependency scoring, and basket trajectory modelling.
Documentation:
• Predictive Segments: https://knowledgebase.webengage.com/docs/predictive-segment
• Engagement Score: https://knowledgebase.webengage.com/docs/engagement-score
• RFM: https://knowledgebase.webengage.com/docs/predictive-rfm-segmentation</t>
  </si>
  <si>
    <t>In Marketing Cloud Advanced, Einstein Engagement Scoring predicts email opens and clicks, subscriber retention, web conversion, and overall engagement for each individual consumer contact. Also, custom ML models around propensity, churn, repeat purchase, ancillary purchase etc. can be trained in Marketing Data Layer. All model output scores are stored as attributes on the unified Marketing Data Layer profile and available for segmentation, journey entry criteria, and personalisation decisioning within MCA Flows.</t>
  </si>
  <si>
    <t>The platform includes native machine learning models that generate predictive insights to inform marketing strategy. Resul automatically calculates crucial metrics such as product, offer propensities, churn risk and Customer Lifetime Value (CLV) to target precise audience for retention and cross-sell campaigns.</t>
  </si>
  <si>
    <t>Propensity, churn and repeat-purchase scores from IndiGo's data-science platform are loaded as recipient attributes and used in targeting.</t>
  </si>
  <si>
    <t>AEP includes AI models for propensity, churn, repeat purchase and ancillary purchase. Custom machine learning models can be added for customer value.</t>
  </si>
  <si>
    <t>The solution shall support A/B testing and multivariate testing for campaign, content and journey optimisation.</t>
  </si>
  <si>
    <t>WebEngage supports A/B testing and multivariate testing for campaign, content, and journey optimisation:
• A/B Testing: Test multiple campaign variations (content, subject line, CTA, creative, channel, timing) with configurable traffic splits and automated winner selection based on chosen metrics.
• Multivariate Testing: Test combinations of multiple variables simultaneously within campaigns to identify optimal combinations.
• Journey A/B Testing: Split paths within journeys to test different journey flows, channel sequences, and timing strategies.
• Control Groups: Global and campaign-level control groups for measuring true incremental impact.
Documentation:
• A/B Testing: https://knowledgebase.webengage.com/docs/campaign-variations-testing
• Variations: https://knowledgebase.webengage.com/docs/campaign-variations-testing#variations
• Control Groups: https://knowledgebase.webengage.com/docs/control-groups</t>
  </si>
  <si>
    <t>Marketing Cloud Advanced Flow Builder supports testing via the Path Experiment element. Marketers can test campaign paths, content variants, subject lines, send times, and journey logic branches. Reporting is available within Marketing Performance Dashboards with automatic winner selection based on configurable success metrics.</t>
  </si>
  <si>
    <t>Comprehensive A/B and multivariate testing capabilities are fully integrated for Email, SMS, and Web notifications. The platform enables simultaneous testing of up to four variants - allowing users to experiment with differing subject lines, message copy, and send times to the test audience splits and features the automated delivery of the statistically winning combination to the remainder of the audience.</t>
  </si>
  <si>
    <t>A/B testing is native in deliveries for subject lines, content and send times.</t>
  </si>
  <si>
    <t>AEP supports manual and AI-driven A/B and multivariate testing for campaigns, content and journeys.</t>
  </si>
  <si>
    <t>AI-Assisted Marketing</t>
  </si>
  <si>
    <t>The solution shall support AI / GenAI-assisted content generation for marketing campaigns, subject lines, CTAs and communication variants.</t>
  </si>
  <si>
    <t>WebEngage supports AI governance controls including:
• Audit logs for AI-generated content usage within campaigns.
• PII masking for user data attributes (configurable PII fields).
• Data isolation - AI models are trained on each customer's own data, not shared across tenants.
• Human-in-the-loop approval before AI-generated content is published.
• Kill-switch capability - AI-generated content can be disabled at the account level without platform redeployment.
Partially Compliant Scope: Formal prompt governance policies (configuring allowed/disallowed prompt templates for GenAI usage), published SBOM/AIBOM documentation, and a publicly available model/data usage disclosure policy are currently being formalised as part of WebEngage's enterprise AI governance framework. These will be available as documentation deliverables during the implementation phase.
AI governance documentation, data usage policy, and prompt governance controls will be provided as part of enterprise onboarding. WebEngage will align documentation to IndiGo's internal AI governance requirements.
Documentation:
• PII Masking: https://knowledgebase.webengage.com/docs/pii
• Data Masking: https://knowledgebase.webengage.com/docs/user-profile-attributes#personally-identifiable-information-pii</t>
  </si>
  <si>
    <t>Marketing Cloud Advanced includes Agentforce for Marketing — a suite of AI agents: (1) Campaign Creation Agent, Content Creation Agent, Segment Creation Agent, Journey Decisioning Agent. All GenAI capabilities operate within the Einstein Trust Layer, enforcing PII masking, zero LLM data retention, prompt audit logging, and toxicity detection. IndiGo's data never leaves the Salesforce trust boundary.</t>
  </si>
  <si>
    <t>Resul utilizes an advanced agentic AI framework known as "Genie," which acts as a powerful marketing assistant. This Generative AI module natively supports the creation of natural language campaign copy, generates compelling subject lines, CTAs, message variants, and delivers intelligent performance optimization recommendations directly to the marketer.</t>
  </si>
  <si>
    <t>Content from IndiGo's chosen generative-AI tools is loaded into templates and tested in deliveries.</t>
  </si>
  <si>
    <t>CX Coworker can generate AI-written marketing content, including subject lines, copy, CTAs and variants. Content generation is currently in English.</t>
  </si>
  <si>
    <t>The solution shall provide controls for human review and approval before AI-generated content is published.</t>
  </si>
  <si>
    <t>Partially compliant. Human approval workflow is not explicitly evidenced.</t>
  </si>
  <si>
    <t>Yes, AI/GenAI-generated content in Marketing Cloud Advanced requires explicit human review and approval before publication or sending. The agent is not configured to activate, send, or publish anything autonomously — a human must explicitly review and confirm each step.</t>
  </si>
  <si>
    <t>To ensure strict brand safety, all AI-generated activities operate firmly within marketer-defined governance boundaries. Resul enforces robust safeguards including multi-level human-in-the-loop approval workflows, configurable limits on campaign scope and budget, and embedded kill-switch mechanisms that can immediately halt any automated activity or unintended AI behavior.</t>
  </si>
  <si>
    <t>Governance capability not demonstrated.</t>
  </si>
  <si>
    <t>Content is reviewed and approved before publishing through approval workflows. Will need to integrate with Firefly &amp; CX Coworker.</t>
  </si>
  <si>
    <t>Generated content goes back to a person for review and approval before it is published.</t>
  </si>
  <si>
    <t>The solution shall support AI governance controls, including prompt governance, audit logs, PII masking, data isolation controls and disclosure of model / data usage policy.</t>
  </si>
  <si>
    <t>Partially compliant. AI governance evidence is limited.</t>
  </si>
  <si>
    <t>Salesforce's Einstein Trust Layer provides enterprise-grade AI governance for all MCA AI capabilities: (1) Prompt governance — full audit trail of all LLM prompts and model responses; (2) PII/PHI masking — sensitive data is dynamically masked before transmission to any LLM; (3) Toxicity detection — AI-generated content is screened for harmful or non-compliant content before surfacing to marketers; (4) Zero data retention — Salesforce contractually guarantees no customer data is retained by LLM providers for model training; (5) Data isolation — all AI processing occurs within Salesforce's trust boundary; (6) Transparent disclosure — model usage and data handling policies are fully documented.</t>
  </si>
  <si>
    <t>The platform maintains comprehensive audit logs of all AI-driven actions, recording decisions, data accessed, and channel activations to ensure full transparency and traceability. As a multi-tenant SaaS platform, Resulticks enforces strict data segregation between tenants at the infrastructure and application layer, with all data encrypted at rest and in transit, ensuring IndiGo's customer data remains isolated and protected from other clients at all times. PII is masked at the UI level to protect customer privacy, and IndiGo's data is contractually prohibited from being used to train any third-party or proprietary AI models without explicit consent.</t>
  </si>
  <si>
    <t>General security controls are provided; AI governance evidence is incomplete.</t>
  </si>
  <si>
    <t>Role-based controls, approvals and Adobe's published AI principles provide governance. Will need to integrate with Firefly &amp; CX Coworker.</t>
  </si>
  <si>
    <t>CX Coworker offers role-based access to AI features, AI usage monitoring and content provenance. Adobe's published AI policies add to governance.</t>
  </si>
  <si>
    <t>Analytics &amp; Reporting</t>
  </si>
  <si>
    <t>The solution shall provide campaign performance reporting across delivery, open, click, conversion, revenue and engagement metrics.</t>
  </si>
  <si>
    <t>WebEngage provides comprehensive campaign performance reporting across delivery, open, click, conversion, revenue, and engagement metrics. Each channel provides detailed analytics dashboards showing: sent, delivered, bounced, opened, clicked, converted, and revenue attributed - with drill-down by time period, audience segment, and campaign variant. Revenue mapping enables attribution of monetary outcomes to specific campaigns.
Documentation:
• Email Analytics: https://knowledgebase.webengage.com/docs/analyzing-email-overview
• SMS Analytics: https://knowledgebase.webengage.com/docs/analyzing-sms-overview
• Push Analytics: https://knowledgebase.webengage.com/docs/analyzing-push-campaigns
• Revenue Mapping: https://knowledgebase.webengage.com/docs/revenue-mapping</t>
  </si>
  <si>
    <t>Marketing Cloud Advanced provides out-of-the-box campaign performance reporting via Marketing Performance Dashboards (embedded natively in the platform). These dashboards cover: delivery rate, open rate, click rate, conversion rate, unsubscribe rate, bounce rate &amp; other engagement metrics - at campaign, flow, segment, content, and link level/web page.
See the links below for additional details on types of dashboards available &amp; engagement metrics supported:
 https://help.salesforce.com/s/articleView?id=mktg.mktg_reporting_types.htm&amp;type=5
 https://help.salesforce.com/s/articleView?id=mktg.mktg_reporting_formula_reference.htm&amp;type=5</t>
  </si>
  <si>
    <t>The platform’s Campaign Analytics provides deep, real-time visibility into holistic campaign performance. Marketers can track comunication engagement metrics such as reach, open rates, and conversions across channels while also evaluating deeper business outcomes, including the total number of leads generated, audience demographic splits, inidividual recipients' responses, and closed-loop attribution details mapping interactions to revenue.</t>
  </si>
  <si>
    <t>Delivery, open, click, conversion and revenue metrics are reported natively.</t>
  </si>
  <si>
    <t>AEP reports show delivery, opens, clicks, conversions, revenue and engagement.</t>
  </si>
  <si>
    <t>The solution shall provide channel-wise performance reporting across Email, SMS, Push, WhatsApp, RCS, Web Push and In-App Messaging.</t>
  </si>
  <si>
    <t>WebEngage provides channel-wise performance reporting across Email, SMS, Push, WhatsApp, RCS, Web Push, and In-App Messaging. Each channel has dedicated analytics views with channel-specific metrics (e.g., bounce types for Email, delivery rates for Push, read receipts for WhatsApp). Cross-channel comparison views are available within journey analytics, showing relative performance across channels within a single journey.
Documentation:
• Channel Comparison: https://knowledgebase.webengage.com/docs/analysing-all-journeys#channel-comparison
• Channel Metrics: https://knowledgebase.webengage.com/docs/understanding-report-stats#report-data--performance-metrics</t>
  </si>
  <si>
    <t>Marketing Cloud Advanced provides channel-specific performance &amp; cross-channel views in Marketing Performance Dashboards.
See the links below for additional details on types of dashboards available &amp; engagement metrics supported:
 https://help.salesforce.com/s/articleView?id=mktg.mktg_reporting_types.htm&amp;type=5
 https://help.salesforce.com/s/articleView?id=mktg.mktg_reporting_formula_reference.htm&amp;type=5</t>
  </si>
  <si>
    <t>Resul delivers highly granular, channel-specific insights via its Detailed Channel Analytics report. This enables marketers to dissect performance across diverse channels like Email, SMS, WhatsApp, RCS, and Web/App Overlays &amp; notifications by evaluating specific metrics such as exact deliverability counts, progress statistics, link click activities, bounce reasons, and failed communications tailored to that particular channel, as applicable.</t>
  </si>
  <si>
    <t>Channel-wise performance reporting covers email, SMS and push.</t>
  </si>
  <si>
    <t>Reports are available for each channel.</t>
  </si>
  <si>
    <t>The solution shall provide customer journey analytics, funnel-level performance reporting and customer engagement history.</t>
  </si>
  <si>
    <t>WebEngage provides customer journey analytics, funnel-level performance reporting, and customer engagement history:
• Journey Analytics: Real-time journey performance showing user flow, step-wise conversion, drop-off analysis, and channel-level metrics per journey.
• Funnel Analytics: Visual funnel analysis tracking user progression through defined event sequences (e.g., search → flight selection → passenger details → payment → booking).
• Engagement History: Per-user engagement timeline showing all campaign interactions, events, and conversions.
Documentation:
• Journey Analytics: https://knowledgebase.webengage.com/docs/journey-overview-live-view
• Funnels: https://knowledgebase.webengage.com/docs/funnels
• User Activity: https://knowledgebase.webengage.com/docs/analysing-user-profiles#activity</t>
  </si>
  <si>
    <t>Marketing Cloud Advanced provides campaign &amp; flow-level reporting via Marketing Performance Dashboards. Underlying data is stored in the Flow Run Occurrences DMO/Flow Version Occurrences DMO (individual contact journey history — entry, path taken, messages received, exit reason, conversions) and Flow Element Runs DMO in Marketing Data Layer. As a part of our Marketing Data Layer solution, we also provide websdk and mobile sdk to track website &amp; mobile behaviours respectively. This data again is stored in DMOs. All this enables pre-built &amp; custom dashboard views along with fully custom SQL-based analytics via Marketing Data Layer Query API.</t>
  </si>
  <si>
    <t>The platform has advanced analytical capabilities to dissect the entire customer journey. It tracks nuanced engagement metrics including user paths, session data, and comprehensive source tracking, while enabling marketers to deeply analyze conversion funnels, pinpoint exact funnel drop-offs with actionable options, and monitor app uninstall rates to refine overall retention strategies.</t>
  </si>
  <si>
    <t>Journey analysis uses delivery logs and Adobe Analytics integration for the web and app side.</t>
  </si>
  <si>
    <t>AEP shows customer journeys, funnel performance and each customer's engagement history.</t>
  </si>
  <si>
    <t>The solution shall support cohort-level and segment-level analysis.</t>
  </si>
  <si>
    <t>WebEngage supports cohort-level and segment-level analysis:
• Cohort Analysis: Track user cohorts over time to measure retention, engagement, and conversion patterns by acquisition date, behaviour milestone, or campaign exposure.
• Segment Analysis: Analyse segment-level performance metrics including size, growth, engagement rates, conversion rates, and revenue contribution.
Documentation:
• Cohorts: https://knowledgebase.webengage.com/docs/cohorts
• Segment Analysis: https://knowledgebase.webengage.com/docs/analysing-segments#download-list-of-users</t>
  </si>
  <si>
    <t>Marketing Data Layer enables cohort and segment-level analysis by storing all engagement, transactional, and behavioural data on the unified customer profile. Marketers can define cohorts using the no-code Segment Builder and compare performance across cohorts on various engagement metrics through Marketing Performance Dashboards.</t>
  </si>
  <si>
    <t>Resul natively supports both cohort and segment-level intelligence. Marketers can visualize retention or custom time framed funnel cohorts to monitor audience progression, and access specialized segment insights that dynamically display past performance metrics including reach, conversion rates, and optimized channel utilization specific to any given audience cluster.</t>
  </si>
  <si>
    <t>Cohort and segment analysis are built from delivery data and Adobe Analytics.</t>
  </si>
  <si>
    <t>Cohort and segment analysis is supported.</t>
  </si>
  <si>
    <t>The solution shall support custom dashboards for business, operational and leadership reporting.</t>
  </si>
  <si>
    <t>WebEngage supports custom dashboards for business, operational, and leadership reporting:
• Custom Dashboards: Configurable dashboard widgets showing key metrics, trends, and comparisons across campaigns, channels, journeys, and segments.
• Engagement Dashboard: Real-time overview of platform-wide engagement metrics.
• Revenue Dashboard: Revenue attribution and business impact tracking.
• Live Stats: Real-time operational monitoring of campaign delivery and engagement.
Documentation:
• Dashboards: https://knowledgebase.webengage.com/docs/dashboards
• Engagement Overview: https://knowledgebase.webengage.com/docs/analysing-engagement-overview
• Live Stats: https://knowledgebase.webengage.com/docs/analysing-live-stats</t>
  </si>
  <si>
    <t>Marketing Cloud Advanced captures customer engagement data cross campaigns/flows in respective DMOs (tables), which enables pre-built &amp; custom dashboard views along with fully custom SQL-based analytics via Marketing Data Layer Query API. 
For additional details on ways &amp; means to customize a dashboard with MCA UI, please see the link below:
 https://help.salesforce.com/s/articleView?id=mktg.mktg_reporting_create.htm&amp;type=5
Additional and extended custom dashboards (built on Tableau) can combine MCA engagement data (from Marketing Data Layer DMOs), CRM data (Opportunities, Cases, Bookings), and external data. Data can also be published to external BI platforms.</t>
  </si>
  <si>
    <t>Custom dashboards for business, operational, and leadership reporting are enabled through Genie, which allows users to create tailored views through natural language inputs without technical dependency. Campaign response raw data can also be synced back daily to IndiGo's desired destination for consumption in existing BI and visualisation tools.</t>
  </si>
  <si>
    <t>Custom dashboards serve business, operational and leadership reporting.</t>
  </si>
  <si>
    <t>Custom dashboards and workspaces serve business, operations and leadership reporting.</t>
  </si>
  <si>
    <t>The solution shall support CRM KPIs such as Revenue per Message, repeat purchase rate, activation, reactivation, retention, conversion and customer value metrics.</t>
  </si>
  <si>
    <t>WebEngage supports CRM KPIs including conversion rate tracking, revenue per campaign, repeat purchase rate measurement (via cohort analysis and conversion tracking), activation and retention metrics. Revenue mapping enables monetary attribution to campaigns.
Custom KPI configurations including Revenue per Message, Reactivation Rate, and Customer Value metrics can be set up during implementation.
Documentation:
• Revenue Mapping: https://knowledgebase.webengage.com/docs/revenue-mapping</t>
  </si>
  <si>
    <t>The platform natively stores all engagement data in the underlying data layer, which can facilitate building all the stated KPIs over Tableau layer. Implementation team will work with Indigo to analyse and put an approach to this.</t>
  </si>
  <si>
    <t>Resul provides out-of-the-box analytics and dashboards to track and measure key CRM and customer engagement KPIs, including Reach, Engagement, Conversation, ROI, AOV, Conversion Value / Revenue - per channel, Audience, campaign, and more.
KPIs such as CLTV, Revenue per Message (RPM), Attribution models, etc., can be configured to suit the business need.
Further, custom reporting through Genie and BI tools can be supported for business growth as per the brand requirement.</t>
  </si>
  <si>
    <t>Revenue per message, repeat purchase, activation, reactivation, retention and conversion are built as KPIs with Adobe Analytics.</t>
  </si>
  <si>
    <t>AEP tracks revenue per message, repeat purchase, activation, reactivation, retention, conversion and customer value as KPIs.</t>
  </si>
  <si>
    <t>The solution shall support scheduled reports, ad-hoc reports, data export and integration with BI / reporting platforms.</t>
  </si>
  <si>
    <t>WebEngage supports scheduled reports, ad-hoc reports, data export, and integration with BI/reporting platforms:
• Scheduled Reports: Automated report delivery via email at configured intervals (daily, weekly, monthly) for campaign performance, channel metrics, and journey analytics.
• Ad-hoc Reports: On-demand report generation and download from any analytics view.
• Data Export: Campaign data, user data, event data, and analytics data exportable via CSV download, REST API, and automated data connectors.
• BI Integration: Data export to S3, BigQuery, Snowflake, and other data warehouse platforms for downstream BI/reporting.
Documentation:
• Scheduled Reports: https://knowledgebase.webengage.com/docs/schedule-channel-performance-reports
• Report Export: https://knowledgebase.webengage.com/docs/schedule-reports
• S3 Export: https://docs.webengage.com/docs/aws-s3#how-to-export-events-from-webengage-to-aws-s3</t>
  </si>
  <si>
    <t>Marketing Cloud Advanced supports scheduled and ad-hoc report generation across all campaign and Flow data. Data export is natively supported in CSV format, SFTP push, or via Marketing Data Layer Query API. Pre-built connectors enable direct integration with Tableau, Power BI, Snowflake, Google BigQuery, and AWS S3 via Marketing Data Layer Activation Targets. Scheduled data exports can be configured for automated delivery to IndiGo's data lake or BI environment.</t>
  </si>
  <si>
    <t>To support deeper enterprise analysis, all campaign performance metrics and segment data can be exported periodically or ad-hoc in various file formats. Additionally, Resul supports seamless raw data synchronization and integration with prominent Business Intelligence (BI) platforms such as Tableau, Power BI, Google Data Studio, and Looker via secure APIs.</t>
  </si>
  <si>
    <t>Scheduled reports, exports and BI integration are supported.</t>
  </si>
  <si>
    <t>AEP supports scheduled reports, ad-hoc analysis, data export and connection to BI tools.</t>
  </si>
  <si>
    <t>The solution shall support attribution tracking for campaign-driven conversions, recovered bookings and revenue impact.</t>
  </si>
  <si>
    <t>WebEngage supports attribution tracking for campaign-driven conversions, recovered bookings, and revenue impact:
• Conversion Tracking: Configure conversion events per campaign/journey to track downstream actions (e.g., booking_completed after receiving an abandoned cart reminder).
• Revenue Attribution: Revenue mapping links monetary outcomes to specific campaigns, channels, and journey steps.
• Recovery Attribution: Abandoned cart recovery journeys track recovered bookings and incremental revenue generated.
• Control Groups: Universal control groups and campaign-level holdouts enable measurement of true incremental lift and revenue impact.
Documentation:
• Conversion Tracking: https://knowledgebase.webengage.com/docs/conversion-tracking
• Revenue Mapping: https://knowledgebase.webengage.com/docs/revenue-mapping
• Control Groups: https://knowledgebase.webengage.com/docs/control-groups</t>
  </si>
  <si>
    <t>You can build Marketing Data Layer CIs/derived attributes to attribute conversion/booking to a campaign/channel. This is possible because platform natively stores all engagement data in the underlying data layer, which can facilitate attribution tracking. Implementation team will work with Indigo to analyse and put an approach to this.</t>
  </si>
  <si>
    <t>Powered by its proprietary SmartDuo tracking technology, Resul delivers precise closed-loop, multi-touch attribution (supporting last-touch, first-touch, linear, or custom models). The platform is uniquely capable of stitching an online digital ad exposure or email click entirely through to a Point-of-Sale (POS) transaction (online and offline), giving marketers an accurate assessment of campaign-driven revenue and recovered conversions.</t>
  </si>
  <si>
    <t>Campaign tracking codes and Adobe Analytics attribution show campaign-driven conversions and recovered bookings.</t>
  </si>
  <si>
    <t>AEP attribution tracks the conversions, recovered bookings and revenue impact driven by campaigns.</t>
  </si>
  <si>
    <t>Integrations</t>
  </si>
  <si>
    <t>The solution shall support integration with IndiGo’s CDP, CRM, booking systems, website, mobile app, loyalty platform and other customer touchpoint systems.</t>
  </si>
  <si>
    <t>WebEngage supports integration with CDP, CRM, booking systems, website, mobile app, loyalty platform, and other customer touchpoint systems:
• Web SDK: JavaScript SDK for website integration (event tracking, user identification).
• Mobile SDKs: Android, iOS, React Native, Flutter, Cordova SDKs for app integration.
• REST APIs: Bidirectional APIs for user data, event data, and campaign data exchange.
• Pre-built Connectors: Integrations with Segment, Amplitude, AppsFlyer, Branch, Mixpanel, Shopify, and others.
• Webhook/API Connectors: Custom integration with any system via webhooks and REST API calls within journeys.
Documentation:
• Web SDK: https://docs.webengage.com/docs/web-getting-started
• Android SDK: https://docs.webengage.com/docs/android-getting-started
• iOS SDK: https://docs.webengage.com/docs/ios-getting-started
• REST API: https://docs.webengage.com/docs/rest-api-getting-started</t>
  </si>
  <si>
    <t>Marketing Cloud Advanced offers a comprehensive integration framework: native Salesforce CRM connector; Marketing Data Layer pre-built connectors for booking systems, loyalty platforms, data lakes, and cloud storage; SDKs for web and mobile app event collection; and MuleSoft Anypoint Platform for enterprise-grade custom integrations. Salesforce is well equipped to get required customer data from all the source systems in its marketing platform (Marketing Cloud Advanced).</t>
  </si>
  <si>
    <t>The platform supports seamless integration with IndiGo's existing technology ecosystem, including the CDP, CRM, booking systems, website, mobile app, loyalty platform (BluChip), and other customer touchpoint systems. Integration is enabled through REST APIs, webhooks, SFTP/MFT, and batch-based mechanisms, complemented by native SDKs for iOS, Android, and Web for real-time behavioural data capture and in-app/web push delivery. Standard integration documentation, API specifications, and data flow diagrams will be provided during the implementation phase to ensure structured and governed connectivity across all touchpoint systems.</t>
  </si>
  <si>
    <t>CDP, CRM, booking, web, app and loyalty systems connect through APIs, ETL and federated access to external databases. IndiGo keeps full ownership and control of its customer data.</t>
  </si>
  <si>
    <t>AEP can connect to IndiGo's CDP, CRM, booking, web, app and loyalty systems through source connectors, APIs, SDKs and data warehouses. It builds on IndiGo's existing Adobe integrations.</t>
  </si>
  <si>
    <t>The solution shall support real-time APIs, batch integrations, SFTP/MFT and webhooks for customer data exchange and journey triggers.</t>
  </si>
  <si>
    <t>WebEngage supports real-time APIs, batch integrations, SFTP/MFT, and webhooks for customer data exchange and journey triggers:
• Real-time APIs: REST APIs for instant user profile updates, event tracking, and campaign triggers.
• Batch Integrations: CSV/file-based bulk data uploads for user attributes and events.
• SFTP/MFT: Secure file transfer support for scheduled batch data exchange.
• Webhooks: Outbound webhooks within journeys and campaigns for real-time notifications to external systems.
• Journey API Triggers: External systems can trigger journey entry for specific users via API calls.
Documentation:
• REST API: https://docs.webengage.com/docs/rest-api-getting-started
• User Data Upload: https://knowledgebase.webengage.com/docs/upload-user-data
• Call API Block: https://knowledgebase.webengage.com/docs/journey-creation-concepts#call-api</t>
  </si>
  <si>
    <t>Marketing Cloud Advanced and Marketing Data Layer (which is the backbone of Marketing Cloud Advanced) support all stated integration methods for data ingress and egress. Marketing Data Layer also provides action trigger webhooks to external systems on profile or event changes for real-time actioning.</t>
  </si>
  <si>
    <t>Resul offers a highly versatile ingestion framework designed to handle real-time streaming, near real-time synchronization, and scheduled batch data processing. The platform allows secure exchange of audience data and trigger automated campaign journeys instantaneously utilizing comprehensive REST/SOAP APIs, webhooks, native data warehouse connectors, staging, and encrypted SFTP protocols. The recommended approach has been defined in the proposed solution architecture in the submitted Technical Proposal.</t>
  </si>
  <si>
    <t>SOAP and REST APIs, SFTP and webhooks support data exchange and event triggers.</t>
  </si>
  <si>
    <t>AEP supports real-time APIs, batch files, SFTP and webhooks for sharing data and starting journeys.</t>
  </si>
  <si>
    <t>The solution shall support integration with channel aggregators, communication service providers, analytics platforms, reporting systems and data lake environments.</t>
  </si>
  <si>
    <t>WebEngage supports integration with channel aggregators, communication service providers, analytics platforms, reporting systems, and data lake environments:
• Channel Partners: Pre-built integrations with WhatsApp BSPs (Infobip, Gupshup, ValueFirst, Kaleyra), SMS aggregators, and RCS providers.
• Analytics: Export to Amplitude, Mixpanel, and other analytics platforms.
• Data Lake: Automated data export to AWS S3, Google BigQuery, Snowflake for data lake integration.
• Reporting: Scheduled report export and API-based data extraction for external BI tools.
Documentation:
• Amplitude: https://docs.webengage.com/docs/amplitude
• Mixpanel: https://docs.webengage.com/docs/mixpanel#how-to-export-events-from-webengage-to-mixpanel
• S3: https://docs.webengage.com/docs/aws-s3#how-to-export-events-from-webengage-to-aws-s3</t>
  </si>
  <si>
    <t>Marketing Cloud Advanced provides Email, SMS, WA, Push, In-app, RCS as native channels in the platform, via partnerships with aggregators/vendors. In the campaign flow Indigo can also share the data/segment for outreach to be made available to a channel aggregator. Additionally, bring your own aggregator is in the product roadmap.
Furthermore, Marketing Data Layer (which is the backbone of Marketing Cloud Advanced) offers comprehensive source and destination connectors for data ingress and egress; and these include analytics platform, reporting systems and leading data lakes &amp; lakehouses. See the link below for additional details:
 https://developer.salesforce.com/docs/data/data-cloud-int/guide/c360-a-thirdparty-connectors.html</t>
  </si>
  <si>
    <t>Resul offers 150+ readily available connectors to provides turnkey integrations across the broader marketing and data ecosystem, seamlessly connecting with CRMs, DAMs, DSPs/DMPs, E-Commerce Engines, Analytics platforms, Social Media platforms, etc. as well as communication gateways for different channels. Furthermore, it connects natively to major enterprise data lakes and cloud storage environments like Snowflake, Google BigQuery, Amazon Redshift, and Hadoop.</t>
  </si>
  <si>
    <t>Aggregators, communication providers, analytics, reporting and data-lake environments connect through APIs and federated data access.</t>
  </si>
  <si>
    <t>AEP connects to channel aggregators, communication providers, analytics tools, reporting systems and data lakes.</t>
  </si>
  <si>
    <t>The solution shall support integration with consent, preference and suppression management systems.</t>
  </si>
  <si>
    <t>WebEngage supports integration with consent, preference, and suppression management systems. The platform can ingest opt-in/opt-out status from external consent management systems via API or batch file, store channel-level preferences as user attributes, and enforce these during campaign execution. Suppression lists can be managed natively or synchronised from external systems.
Documentation:
• System Attributes (consent): https://docs.webengage.com/docs/users#system-attributes
• GDPR Compliance: https://docs.webengage.com/docs/gdpr-compliance</t>
  </si>
  <si>
    <t>Marketing Data Layer has a dedicated Communication Subscription Consent DMO for storing opt-in/opt-out records per channel, per communication category and per regulation. Consent data is referenced in real time during every Flow send; non-consenting contacts are suppressed automatically and this cannot be overridden by business users. Integration with external Consent Management Platforms (CMPs) is supported via REST API and SFTP batch.
See the link below for additional details:
 https://help.salesforce.com/s/articleView?id=mktg.mktg_consent_tools_ref.htm&amp;type=5</t>
  </si>
  <si>
    <t>While Resul operates its own sophisticated consent management architecture, it can also integrate seamlessly with external, third-party tools for Consent, preference and suppression management. This ensures that all customer opt-ins, global opt-outs, and specific communication preferences stored in legacy systems are securely ingested and uniformly enforced across all real-time marketing activations without disrupting existing compliance measures.</t>
  </si>
  <si>
    <t>Consent, preference and suppression systems integrate through APIs and file feeds.</t>
  </si>
  <si>
    <t>AEP connects to consent, preference and suppression management systems.</t>
  </si>
  <si>
    <t>The vendor shall provide standard integration documentation, API specifications, data flow diagrams and details of native / custom connector options.</t>
  </si>
  <si>
    <t>WebEngage provides comprehensive integration documentation including:
• REST API Documentation: Full API reference with authentication, endpoints, request/response formats, rate limits, and code samples.
• SDK Documentation: Detailed integration guides for Web, Android, iOS, React Native, Flutter, and Cordova SDKs.
• Data Flow Diagrams: Architecture-level data flow documentation available as part of enterprise onboarding.
• Connector Documentation: Configuration guides for each pre-built integration partner.
• Event Schema: Custom event and attribute schema documentation with best practices.
Documentation:
• API Reference: https://docs.webengage.com/docs/rest-api-getting-started
• SDK Guides: https://docs.webengage.com/docs/web-getting-started</t>
  </si>
  <si>
    <t>Salesforce provides all the stated and necessary product related documentation including but not limited to API specification documentation (developer.salesforce.com), Marketing Data Layer connector guides (link shared above), Marketing Cloud SDK documentation, a native/custom connector catalog (AppExchange) etc.
Furthermore, a dedicated integration design session will be conducted during implementation to document IndiGo-specific data flows and produce an Integration Architecture Document.</t>
  </si>
  <si>
    <t>Resul maintains a fully comprehensive, version-controlled developer portal that can be shared at a later of evaluation during the kick-off discovery phase. This resource equips technical teams with exhaustive documentation, including REST API references, SDK implementation guides, JSON payload structures, integration playbooks, precise rate limit specifications, and detailed error code matrices to facilitate smooth, self-guided integrations.</t>
  </si>
  <si>
    <t>Product documentation, API specifications and integration guides are provided, with data-flow diagrams from implementation.</t>
  </si>
  <si>
    <t>Adobe provides product documentation, API specifications and integration guides. Data flow diagrams are produced during implementation.</t>
  </si>
  <si>
    <t>Administration &amp; Governance</t>
  </si>
  <si>
    <t>The solution shall support role-based access control for business, admin, technical and approval users, along with SSO and MFA integration.</t>
  </si>
  <si>
    <t>WebEngage supports role-based access control for business, admin, technical, and approval users, along with SSO and MFA integration:
• RBAC: Granular role-based permissions covering campaign creation, approval, publishing, segment management, data access, settings, and reporting. Custom roles can be created.
• SSO: Single Sign-On integration via SAML 2.0.
• MFA: Multi-factor authentication support for secure platform access.
Documentation:
• RBAC: https://knowledgebase.webengage.com/docs/role-based-access-control
• SSO: https://docs.webengage.com/docs/single-sign-on-integration</t>
  </si>
  <si>
    <t>Marketing Cloud Advanced supports enterprise-grade access controls including RBAC with granular permission sets, profiles, and user roles.
It also supports SSO (native SAML 2.0 and OAuth 2.0 SSO via Salesforce Identity) &amp; MFA.</t>
  </si>
  <si>
    <t>Platform security is governed by strict Role-Based Access Control (RBAC), which enforces the principle of least privilege across administrative, technical, and business users. It fully supports enterprise Single Sign-On (SSO) workflows via SAML 2.0, OAuth 2.0, and OpenID Connect (including Azure AD), and further secures the environment with Multi-Factor Authentication (MFA) utilizing authenticator apps, SMS, or email OTPs.</t>
  </si>
  <si>
    <t>Role-based access with SSO and MFA through enterprise identity providers.</t>
  </si>
  <si>
    <t>AEP supports role-based access for business, admin, technical and approval users, with SSO and MFA.</t>
  </si>
  <si>
    <t>The solution shall support user provisioning, modification, deactivation and periodic access review processes.</t>
  </si>
  <si>
    <t>Partially compliant. Limited evidence for periodic access review.</t>
  </si>
  <si>
    <t>WebEngage supports user provisioning, modification, deactivation, and periodic access review processes. Platform administrators can create new user accounts, modify roles and permissions, deactivate users, and review the current user access list. User management actions are logged in audit trails.
Documentation:
• RBAC / User Management: https://knowledgebase.webengage.com/docs/role-based-access-control</t>
  </si>
  <si>
    <t>Marketing Cloud Advanced supports full user lifecycle management: provisioning, role assignment, modification, deactivation, and access review - manageable via the Salesforce admin interface. Periodic access review is supported via configurable role reports and audit logs.</t>
  </si>
  <si>
    <t>Resul provides centralized user provisioning and de-provisioning management, supporting automation through SCIM or active directory integration (such as Microsoft Active Directory and Azure AD). This centralized control ensures the timely removal or modification of access upon staff changes or role transitions, securing the platform and supporting periodic access reviews.</t>
  </si>
  <si>
    <t>User provisioning and deactivation use the Admin Console and directory sync, with admin reports for access review.</t>
  </si>
  <si>
    <t>AEP supports adding, changing and removing users, and regular access reviews.</t>
  </si>
  <si>
    <t>The solution shall maintain audit logs for user activity, campaign changes, approvals, data exports and administrative actions.</t>
  </si>
  <si>
    <t>WebEngage maintains audit logs for user activity, campaign changes, approvals, data exports, and administrative actions. All platform actions are logged with timestamp, user identity, action type, and affected entity - covering campaign lifecycle events, journey modifications, segment changes, data exports, user management, and settings changes.
Documentation:
• RBAC &amp; Audit: https://knowledgebase.webengage.com/docs/role-based-access-control</t>
  </si>
  <si>
    <t>Marketing Cloud Advanced maintains detailed audit logs covering user activities, campaign and flow creation/modification/activation/deletion, approval actions, data exports, and administrative actions. Marketing Data Layer additionally logs all data ingestion events, segment modification, activation, and consent change records. These logs are accessible via UI and API for compliance reviews.</t>
  </si>
  <si>
    <t>The platform maintains tamper-evident, immutable audit logs that comprehensively record all user logins, activities, administrative changes, system events, and database updates &amp; access. Furthermore, all controlled data import and export activities are meticulously logged with user details, timestamps, and record counts to guarantee full traceability for compliance audits.</t>
  </si>
  <si>
    <t>Logs capture user activity and administrative changes.</t>
  </si>
  <si>
    <t>Audit logs record user activity, campaign changes, approvals, data exports and admin actions.</t>
  </si>
  <si>
    <t>The solution shall support separate environments for development, testing/UAT, production and sandbox validation.</t>
  </si>
  <si>
    <t>Partially compliant. Explicit confirmation is limited.</t>
  </si>
  <si>
    <t>WebEngage operates as a multi-tenant SaaS platform with a single production instance per account. Separate testing dashboards can be setup as sandbox/ demo accounts provisioned for development and UAT purposes.
WebEngage can provision separate sandbox/demo accounts for development and UAT use. Configuration promotion workflows between environments would require scoping as an implementation item.
Assumption: IndiGo's requirement may be addressable through a production + sandbox (UAT) model rather than four fully independent environments. This will be clarified during the pre-bid query phase.</t>
  </si>
  <si>
    <t>Marketing Cloud Advanced supports separate, isolated environments for Development, UAT/Testing, Production, and Sandbox via Salesforce Sandbox infrastructure.</t>
  </si>
  <si>
    <t>Resul provides dedicated and fully isolated non-production environments (such as UAT, Staging, or Sandbox) with separate credentials and configurations from the Production environment. All new capabilities, data ingestions, and campaign use-cases can be thoroughly tested and validated in the UAT/staging environment before being promoted to Production.</t>
  </si>
  <si>
    <t>Separate development, staging and production instances support controlled releases.</t>
  </si>
  <si>
    <t>AEP provides separate sandboxes for development, testing and production.</t>
  </si>
  <si>
    <t>The solution shall support configurable approval workflows for campaigns, templates, journeys, audience exports and other governed activities.</t>
  </si>
  <si>
    <t>WebEngage supports configurable approval workflows for campaigns, templates, journeys, audience exports, and other governed activities through RBAC maker-checker controls. Approval workflows can be configured to require review and sign-off before campaign publishing, journey activation, and data export actions. Custom role definitions control which users can create, review, approve, and publish across all platform functions.
Documentation:
• RBAC: https://knowledgebase.webengage.com/docs/role-based-access-control</t>
  </si>
  <si>
    <t>Approval workflows can be configured at CMS-level and advanced approvals can be made available via flows. Indigo can also configure RBAC to address governance and access control requirements.</t>
  </si>
  <si>
    <t>The platform features a built-in maker-checker functionality that supports multi-level approval mechanisms for marketing teams. Users can easily configure approval workflows from the UI for segments and campaigns; designated approvers receive an email with the relevant details and can formally accept, reject, or provide feedback before the activity is executed.</t>
  </si>
  <si>
    <t>Major governance gap.</t>
  </si>
  <si>
    <t>Approval workflows govern campaigns, templates and delivery launches.</t>
  </si>
  <si>
    <t>Approval workflows can be set up for campaigns, templates, journeys, audience exports and other controlled activities.</t>
  </si>
  <si>
    <t>Consent, Preference &amp; Compliance</t>
  </si>
  <si>
    <t>The solution shall support customer preference management at channel and category level.</t>
  </si>
  <si>
    <t>WebEngage supports customer preference management at channel and category level. Channel-level opt-in/opt-out status is maintained per user as system attributes (email_opt_in, sms_opt_in, push_opt_in, whatsapp_opt_in). Category-level preferences (e.g., promotional vs. transactional, marketing vs. service) can be managed through custom user attributes and enforced via segmentation and campaign targeting rules.
Documentation:
• System Attributes: https://docs.webengage.com/docs/users#system-attributes
• Channel Opt-In: https://docs.webengage.com/docs/users#system-attributes</t>
  </si>
  <si>
    <t>Marketing Data Layer's Consent and Preference Management features support granular customer preference storage at channel level and communication category level. Marketing Cloud Advanced respects these preferences automatically during every Flow execution, suppressing non-consenting contacts without manual intervention. 
See the link below for additional details:
 https://help.salesforce.com/s/articleView?id=mktg.mktg_consent_tools_ref.htm&amp;type=5</t>
  </si>
  <si>
    <t>Resul features comprehensive consent and preference management at the individual profile level. Customers can seamlessly manage their opt-in and opt-out preferences for specific channels (e.g., Email, SMS, WhatsApp, Push, RCS etc.) or opt-down to reduce messaging frequency for specific product categories rather than fully unsubscribing from all communications.</t>
  </si>
  <si>
    <t>Subscription services manage preferences at channel and category level.</t>
  </si>
  <si>
    <t>Preferences are managed by channel and by category.</t>
  </si>
  <si>
    <t>The solution shall support capture, storage and usage of opt-in / opt-out status with timestamps.</t>
  </si>
  <si>
    <t>WebEngage supports capture, storage, and usage of opt-in/opt-out status with timestamps. Each channel subscription change (opt-in or opt-out) is recorded with the timestamp of the change as a system attribute. These values are updated via SDK, API, or manual upload and are enforced during campaign execution - opted-out users are automatically excluded from campaigns on the respective channel.
Documentation:
• System Attributes: https://docs.webengage.com/docs/users#system-attributes
• GDPR: https://docs.webengage.com/docs/gdpr-compliance</t>
  </si>
  <si>
    <t>Yes, we capture opt-in/opt-out timestamps in Marketing Data Layer. Please see response F-57 for more details.</t>
  </si>
  <si>
    <t>Resul supports the capture, storage, and management of customer opt-in and opt-out preferences across supported communication channels. Consent records are maintained with timestamped audit trails, including consent status, source, channel, and consent updates where available. The platform enforces consent preferences during audience segmentation, journey orchestration, and message delivery to ensure compliant customer communications. Historical consent records can be retained for auditing, governance, and regulatory compliance purposes.</t>
  </si>
  <si>
    <t>Opt-in and opt-out status are stored with timestamps.</t>
  </si>
  <si>
    <t>Opt-in and opt-out status is saved with a timestamp.</t>
  </si>
  <si>
    <t>The solution shall support consent checks before campaign execution and integration with consent / preference management systems.</t>
  </si>
  <si>
    <t>WebEngage supports consent checks before campaign execution and integration with consent/preference management systems. The platform enforces opt-in status checks before message delivery - users who have opted out of a channel are automatically suppressed. External consent management systems can synchronise opt-in/opt-out status to WebEngage via REST API or batch file, ensuring the platform always reflects the latest consent state.
Documentation:
• GDPR Compliance: https://docs.webengage.com/docs/gdpr-compliance
• API User Attributes: https://docs.webengage.com/docs/rest-api-tracking-users</t>
  </si>
  <si>
    <t>Marketing Cloud Advanced performs automatic consent validation before every campaign send — non-consented subscribers are suppressed from delivery without manual intervention, and this suppression cannot be overridden by business users. Consent data is sourced in real time from Marketing Data Layer's Communication Subscription Consent DMO at the moment of send. Integration with IndiGo's external CMP for consent ingestion is supported via REST API (streaming) and SFTP batch.</t>
  </si>
  <si>
    <t>Consent states are enforced automatically in real time during all campaign activations, ensuring that no communications are dispatched to customers who have withdrawn their consent. Additionally, if required, Resul can seamlessly ingest and synchronize data from existing third-party Consent Management Platforms (CMPs) to ensure a unified and consistent consent experience</t>
  </si>
  <si>
    <t>Typology rules and delivery filters check consent before every send.</t>
  </si>
  <si>
    <t>AEP consent policies check consent before a campaign runs, and connect to IndiGo's consent system.</t>
  </si>
  <si>
    <t>The solution shall support frequency capping at global, channel, category and campaign level.</t>
  </si>
  <si>
    <t>WebEngage supports frequency capping at global, channel, category, and campaign level:
• Global Cap: Maximum communications per user across all channels within a time window.
• Channel Cap: Per-channel limits (e.g., max 2 emails/day, max 1 push/day).
• Category Cap: Separate caps for promotional, transactional, and service communications.
• Campaign Cap: Per-campaign frequency controls.
• Time Windows: Configurable per day, per week, and per month.
Documentation:
• Frequency Capping: https://knowledgebase.webengage.com/docs/frequency-capping
• Frequency Settings: https://knowledgebase.webengage.com/docs/frequency-capping-settings</t>
  </si>
  <si>
    <t>In Marketing Data Layer, caps on customer communications can be set to ensure compliance with regulatory requirements, enhance the customer experience, and avoid message fatigue. Campaign spend budgets across lines of business can be optimized by applying department-level thresholds; thereby staying compliant with regulatory requirements by avoiding unsolicited, unregulated communications to targeted entities.
To enable this you may use Marketing Data Layer Communication Capping feature to configure thresholds, frequencies, and capping rules.</t>
  </si>
  <si>
    <t>Resul enforces unified cross-channel contact frequency limits at the individual customer level. Marketers can configure global caps applied simultaneously across channels (Email, SMS, WhatsApp, RCS, Web/App Push) within any defined time window, and these rules strictly take precedence over individual campaign configurations or AI-generated decisions to prevent communication fatigue.</t>
  </si>
  <si>
    <t>Typology rules cap frequency at global, channel and campaign levels.</t>
  </si>
  <si>
    <t>Frequency caps can be set globally, by channel, by category and by campaign. Caps can also be set for each customer profile if needed.</t>
  </si>
  <si>
    <t>The solution shall support suppression list management, campaign typology rules and communication governance controls.</t>
  </si>
  <si>
    <t>Partially compliant. Typology governance is not specifically evidenced.</t>
  </si>
  <si>
    <t>WebEngage supports suppression list management, campaign typology rules, and communication governance controls:
• Suppression Lists: Upload and maintain suppression lists (e.g., VIP no-contact lists, regulatory exclusion lists) that automatically exclude users from all or specific campaigns.
• DND Hours: Channel-specific quiet hours enforcement.
• Frequency Capping: Multi-level caps prevent over-communication.
• Segment Exclusion: Campaigns and journeys support explicit audience exclusion rules.
• Journey Exit Conditions: Automatic suppression when goal is achieved or user state changes.
Documentation:
• DND: https://knowledgebase.webengage.com/docs/dnd-hours
• Frequency Capping: https://knowledgebase.webengage.com/docs/frequency-capping-settings
• Exclusion: https://knowledgebase.webengage.com/docs/creating-push-campaigns#select-target-segments</t>
  </si>
  <si>
    <t>Marketing Cloud Advanced provides exclusion rules as a part of segmentation feature to suppress customers from being part of a campaign. Typology rules and communication governance can also be configured. Please see above response # F-67 for more details on this.</t>
  </si>
  <si>
    <t>The platform natively provides capabilities reg suppression logic, exclusion lists, global opt-out enforcement, and contact governance controls. Marketers can define suppression rules based on time zones, DND (Do-Not-Disturb) hours, audience type, campaign type, or negative sentiment, and these governance rules are consistently applied automatically during execution.</t>
  </si>
  <si>
    <t>Suppression lists and blocklists are enforced at delivery.</t>
  </si>
  <si>
    <t>Suppression lists, consent policies and capping policies give control over which communications go out.</t>
  </si>
  <si>
    <t>The solution shall support content governance controls for promotional, regulated or sensitive communication use cases.</t>
  </si>
  <si>
    <t>Partially compliant. Limited evidence.</t>
  </si>
  <si>
    <t>WebEngage supports content governance controls for promotional, regulated, or sensitive communication use cases. RBAC maker-checker workflows ensure all campaign content is reviewed and approved before publishing. Content templates can be locked to prevent unauthorised modifications. Channel-specific content policies can be enforced through role permissions - restricting which users can create, edit, or publish content on regulated channels.
Documentation:
• RBAC: https://knowledgebase.webengage.com/docs/role-based-access-control</t>
  </si>
  <si>
    <t>Marketing Cloud Advanced supports content governance through adding legal disclaimers, creating brand specific templates &amp; configuring role based access controls.
We also support business unit isolation wherein content libraries are scoped per BU, preventing cross-brand content misuse.</t>
  </si>
  <si>
    <t>Resul allows brands to clearly define and categorize communication typologies (e.g., Transactional, Promotional, OTP, Newsletters) and map distinct sender IDs or aggregators to these specific categories to ensure regulatory compliance. Combined with the platform's multi-level maker-checker approval workflows, all sensitive or regulated content is strictly reviewed and governed prior to dispatch</t>
  </si>
  <si>
    <t>Approval workflows and governed templates support content governance.</t>
  </si>
  <si>
    <t>Approval workflows and governed templates support regulated and sensitive communications.</t>
  </si>
  <si>
    <t>The solution shall maintain consent audit trails for compliance and review purposes.</t>
  </si>
  <si>
    <t>WebEngage maintains consent audit trails for compliance and review purposes. All opt-in/opt-out changes, preference updates, data export actions, suppression list modifications, and campaign approval decisions are logged with timestamps, user identity, and action details - providing a complete audit trail for regulatory compliance review.
Documentation:
• GDPR: https://docs.webengage.com/docs/gdpr-compliance
• RBAC: https://knowledgebase.webengage.com/docs/role-based-access-control</t>
  </si>
  <si>
    <t>Yes, we capture opt-in/opt-out timestamps in Marketing Data Layer for compliance and review purposes. Please see response F-57 for more details.</t>
  </si>
  <si>
    <t>The platform provides audit-ready reports detailing all consent management activities. It maintains full, tamper-evident audit trails for the entire consent lifecycle - including preference capture, updates, and withdrawals - ensuring the brand can seamlessly support internal compliance reviews and regulatory inquiries.</t>
  </si>
  <si>
    <t>Compliance gap.</t>
  </si>
  <si>
    <t>Timestamped consent data and logs provide consent audit trails.</t>
  </si>
  <si>
    <t>Consent data is timestamped and audit logs record changes, giving a clear consent trail.</t>
  </si>
  <si>
    <t>Migration &amp; Transition</t>
  </si>
  <si>
    <t>The vendor shall support migration from the existing Adobe Campaign V7/V8 environment, including audiences, segments, suppression lists, campaign workflows, journeys, templates and personalisation logic.</t>
  </si>
  <si>
    <t>WebEngage supports migration from existing marketing automation environments. The migration approach includes recreation of audiences/ segments using WebEngage's segment builder, campaign workflow recreation using the Journey Designer, template migration (HTML email templates can be imported directly), and personalisation logic mapping to WebEngage's personalisation framework.
Migration requires systematic recreation rather than direct import, given fundamental architectural differences between the platforms.
WebEngage will provide a dedicated migration team, a detailed migration guide, and systematic recreation approach as part of the implementation scope. WebEngage has successfully executed similar migrations from legacy platforms for enterprise customers.
Assumption: Migration scope, timeline, and effort will be jointly assessed during the discovery phase. A co-existence period with parallel running of both platforms is recommended.</t>
  </si>
  <si>
    <t>Signature Success Plan Migration &amp; Transition Support Structure:
1. Dedicated Customer Success Manager (CSM) provides executive-level governance throughout the migration lifecycle, ensuring strategic alignment and proactive risk management
2. Embedded Success Architect delivers hands-on technical oversight, architecture validation, and real-time issue resolution during migration execution
Migration Governance &amp; Risk Management:
1. Pre-migration assessment conducted by Success Architect to identify technical dependencies, data integrity risks, and complexity factors specific to your Adobe Campaign configuration
2. Migration readiness reviews at defined checkpoints to validate data mapping accuracy, workflow equivalency, and personalization logic integrity
3. Issue escalation pathways providing direct access to product engineering teams for complex migration challenges</t>
  </si>
  <si>
    <t>Resul fully supports historical data migration from incumbant platforms using a structured methodology. As part of the detailed discovery kick-off, the implementation team provides comprehensive templates, tooling, and a documented migration plan to safely map, validate, and reconcile audiences, segments, campaign workflows, and design templates from existing environments into the Resul platform.</t>
  </si>
  <si>
    <t>Adobe leads the move from Campaign v7 to Campaign v8, carrying forward IndiGo's audiences, lists, suppression lists, templates, personalization logic and custom channels, and rebuilding workflows on the v8 cloud architecture, so IndiGo's data model and team know-how carry forward.</t>
  </si>
  <si>
    <t>Adobe leads the move from the existing Adobe Campaign V7/V8 setup. Audiences, segments, suppression lists, templates and personalization logic are moved across. Workflows and journeys are rebuilt on the new platform.</t>
  </si>
  <si>
    <t>The vendor shall support migration or recreation of typology rules, frequency caps, campaign governance rules and relevant historical campaign / delivery / reporting data, wherever feasible.</t>
  </si>
  <si>
    <t>Partially compliant.</t>
  </si>
  <si>
    <t xml:space="preserve">WebEngage supports recreation of typology rules (via frequency capping, DND, and suppression list configurations), frequency caps (multi-level), and campaign governance rules within the platform. Historical campaign delivery data can be shared for learnings and to inform the development of new communication strategies and governance policies.
WebEngage will support data mapping and selective historical data ingestion as part of the migration workstream.
</t>
  </si>
  <si>
    <t>During the discovery and implementation phase, the onboarding team will map out Indigo's existing governance parameters to ensure typology rules, frequency caps, and suppression lists are accurately recreated within Resul. Furthermore, relevant historical campaign and delivery data can be ingested  to ensure uninterrupted analytical continuity.</t>
  </si>
  <si>
    <t>Adobe recreates typology, frequency and governance rules in v8 and carries over relevant history for reporting.</t>
  </si>
  <si>
    <t>Adobe recreates typology, frequency and governance rules. Relevant past delivery data is loaded as datasets for reporting.</t>
  </si>
  <si>
    <t>The vendor shall provide a migration assessment, dependency mapping, implementation plan, co-existence approach and cutover strategy.</t>
  </si>
  <si>
    <t>WebEngage will provide a comprehensive migration assessment including:
• Migration Assessment: Audit of current Adobe Campaign V7/V8 environment covering campaigns, workflows, audiences, templates, typology rules, integrations, and data flows.
• Dependency Mapping: Identification of all integration points, data sources, channel partners, and downstream dependencies.
• Implementation Plan: Phase-wise migration plan with workstream breakdown, resource requirements, timeline, and milestones.
• Co-existence Approach: Parallel running strategy during transition with clear cutover criteria.
• Cutover Strategy: Go-live readiness criteria, traffic migration approach, and rollback plan.
These deliverables are standard components of WebEngage's enterprise implementation methodology.</t>
  </si>
  <si>
    <t>The Resul onboarding team conducts a comprehensive discovery session to map dependencies, specific use cases, and data requirements. Based on this assessment, the team can provide a detailed implementation plan, recommends optimized integration mechanisms, and define a structured cutover strategy to ensure a seamless transition and successful go-live.</t>
  </si>
  <si>
    <t>Adobe provides migration assessment, dependency mapping, implementation planning, co-existence approach and cutover strategy for the move to v8, building on IndiGo's established data foundation.</t>
  </si>
  <si>
    <t>Adobe provides a migration assessment, dependency mapping, implementation plan, co-existence approach and cutover strategy. This builds on IndiGo's existing data foundation.</t>
  </si>
  <si>
    <t>The vendor shall provide rollback strategy, go-live readiness checklist, hypercare support, training, documentation and knowledge transfer.</t>
  </si>
  <si>
    <t>WebEngage will provide:
• Rollback Strategy: Defined rollback plan with criteria and procedures in case of go-live issues, including the ability to revert to the existing platform during the co-existence period.
• Go-Live Readiness Checklist: Comprehensive checklist covering integration validation, data quality verification, campaign readiness, team training completion, and stakeholder sign-off.
• Hypercare Support: Dedicated post-go-live support period (typically 4-6 weeks) with enhanced monitoring, rapid issue resolution, and performance optimisation.
• Training: Role-based training for business users, campaign managers, administrators, and technical teams - covering platform operations, campaign creation, analytics, and administration.
• Documentation: Full platform documentation, integration guides, runbooks, and SOPs tailored to IndiGo's configuration.
• Knowledge Transfer: Structured KT sessions covering platform architecture, data flows, campaign operations, and troubleshooting procedures.</t>
  </si>
  <si>
    <t>Signature Success Plan delivers comprehensive go-live enablement and post-deployment support through structured Key Event Management (KEM) protocols designed to minimize risk and ensure operational readiness:
Hypercare Support:
1. Key Event Management (KEM) engagement: Dedicated support coverage during the critical go-live period with enhanced monitoring, accelerated response times, and direct Success Architect availability
2. Extended hypercare window: Typically 2-4 weeks post-go-live with daily check-ins, proactive issue identification, and real-time troubleshooting support
3. Escalation protocols: Direct pathways to product engineering teams for critical issues requiring immediate resolution
4. Incident management: Coordinated response to production issues with root cause analysis and permanent fix implementation</t>
  </si>
  <si>
    <t>Resul ensures a smooth post-go-live transition by providing comprehensive documentation, including user guides, standard operating procedures (SOPs), FAQs, and troubleshooting manuals. The transition includes tailored administrator training sessions, dedicated technical knowledge transfer, and structured hypercare support backed by formally defined SLAs to guarantee operational readiness.</t>
  </si>
  <si>
    <t>Adobe provides rollback strategy, readiness checklist, hypercare, training, documentation and knowledge transfer for the v8 move.</t>
  </si>
  <si>
    <t>Adobe provides a rollback strategy, go-live readiness checklist, hypercare support, training, documentation and knowledge transfer.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</si>
</sst>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b/>
      <sz val="16"/>
      <color theme="0"/>
      <name val="Calibri"/>
      <family val="2"/>
      <scheme val="minor"/>
    </font>
    <font>
      <b/>
      <sz val="12"/>
      <name val="Calibri"/>
      <family val="2"/>
      <scheme val="minor"/>
    </font>
    <font>
      <b/>
      <sz val="11"/>
      <name val="Calibri"/>
      <family val="2"/>
      <scheme val="minor"/>
    </font>
    <font>
      <b/>
      <sz val="12"/>
      <name val="Calibri (Body)"/>
    </font>
    <font>
      <b/>
      <sz val="11"/>
      <color rgb="FFFFFFFF"/>
      <name val="Calibri"/>
      <family val="2"/>
      <scheme val="minor"/>
    </font>
    <font>
      <sz val="12"/>
      <color rgb="FF000000"/>
      <name val="Calibri"/>
      <family val="2"/>
      <scheme val="minor"/>
    </font>
    <font>
      <sz val="11"/>
      <color rgb="FF000000"/>
      <name val="Calibri"/>
      <family val="2"/>
    </font>
    <font>
      <sz val="12"/>
      <name val="Calibri"/>
      <family val="2"/>
    </font>
    <font>
      <sz val="10"/>
      <color theme="1"/>
      <name val="Arial"/>
      <family val="2"/>
    </font>
    <font>
      <sz val="12"/>
      <name val="Calibri (Body)"/>
    </font>
    <font>
      <sz val="12"/>
      <color theme="1"/>
      <name val="Calibri"/>
      <family val="2"/>
      <scheme val="minor"/>
    </font>
    <font>
      <u/>
      <sz val="10"/>
      <color rgb="FF0000FF"/>
      <name val="Arial"/>
      <family val="2"/>
    </font>
    <font>
      <sz val="10"/>
      <name val="Arial"/>
      <family val="2"/>
    </font>
    <font>
      <u/>
      <sz val="10"/>
      <color rgb="FF1155CC"/>
      <name val="Arial"/>
      <family val="2"/>
    </font>
    <font>
      <sz val="12"/>
      <color rgb="FF000000"/>
      <name val="Calibri (Body)"/>
    </font>
  </fonts>
  <fills count="5">
    <fill>
      <patternFill patternType="none"/>
    </fill>
    <fill>
      <patternFill patternType="gray125"/>
    </fill>
    <fill>
      <patternFill patternType="solid">
        <fgColor rgb="FF00B0F0"/>
        <bgColor indexed="64"/>
      </patternFill>
    </fill>
    <fill>
      <patternFill patternType="solid">
        <fgColor theme="4" tint="0.59999389629810485"/>
        <bgColor indexed="64"/>
      </patternFill>
    </fill>
    <fill>
      <patternFill patternType="solid">
        <fgColor rgb="FF44546A"/>
        <bgColor indexed="64"/>
      </patternFill>
    </fill>
  </fills>
  <borders count="21">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bottom/>
      <diagonal/>
    </border>
    <border>
      <left style="medium">
        <color indexed="64"/>
      </left>
      <right style="thin">
        <color auto="1"/>
      </right>
      <top/>
      <bottom/>
      <diagonal/>
    </border>
    <border>
      <left style="thin">
        <color auto="1"/>
      </left>
      <right style="medium">
        <color indexed="64"/>
      </right>
      <top style="thin">
        <color auto="1"/>
      </top>
      <bottom style="thin">
        <color auto="1"/>
      </bottom>
      <diagonal/>
    </border>
    <border>
      <left style="thin">
        <color auto="1"/>
      </left>
      <right/>
      <top/>
      <bottom style="thin">
        <color auto="1"/>
      </bottom>
      <diagonal/>
    </border>
    <border>
      <left style="medium">
        <color indexed="64"/>
      </left>
      <right style="thin">
        <color auto="1"/>
      </right>
      <top/>
      <bottom style="thin">
        <color auto="1"/>
      </bottom>
      <diagonal/>
    </border>
    <border>
      <left style="thin">
        <color auto="1"/>
      </left>
      <right style="medium">
        <color indexed="64"/>
      </right>
      <top style="thin">
        <color auto="1"/>
      </top>
      <bottom/>
      <diagonal/>
    </border>
    <border>
      <left style="thin">
        <color auto="1"/>
      </left>
      <right style="thin">
        <color auto="1"/>
      </right>
      <top style="medium">
        <color indexed="64"/>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medium">
        <color indexed="64"/>
      </right>
      <top style="thin">
        <color auto="1"/>
      </top>
      <bottom style="medium">
        <color indexed="64"/>
      </bottom>
      <diagonal/>
    </border>
    <border>
      <left/>
      <right style="thin">
        <color auto="1"/>
      </right>
      <top style="thin">
        <color auto="1"/>
      </top>
      <bottom/>
      <diagonal/>
    </border>
    <border>
      <left style="thin">
        <color auto="1"/>
      </left>
      <right style="thin">
        <color auto="1"/>
      </right>
      <top style="thin">
        <color auto="1"/>
      </top>
      <bottom style="medium">
        <color indexed="64"/>
      </bottom>
      <diagonal/>
    </border>
  </borders>
  <cellStyleXfs count="2">
    <xf numFmtId="0" fontId="0" fillId="0" borderId="0"/>
    <xf numFmtId="9" fontId="1" fillId="0" borderId="0" applyFont="0" applyFill="0" applyBorder="0" applyAlignment="0" applyProtection="0"/>
  </cellStyleXfs>
  <cellXfs count="81">
    <xf numFmtId="0" fontId="0" fillId="0" borderId="0" xfId="0"/>
    <xf numFmtId="0" fontId="0" fillId="0" borderId="0" xfId="0" applyAlignment="1">
      <alignment horizontal="center" vertical="top" wrapText="1"/>
    </xf>
    <xf numFmtId="0" fontId="0" fillId="0" borderId="0" xfId="0" applyAlignment="1">
      <alignment horizontal="left" vertical="center" wrapText="1"/>
    </xf>
    <xf numFmtId="0" fontId="0" fillId="0" borderId="0" xfId="0" applyAlignment="1">
      <alignment vertical="center" wrapText="1"/>
    </xf>
    <xf numFmtId="0" fontId="0" fillId="0" borderId="0" xfId="0" applyFont="1" applyAlignment="1">
      <alignment horizontal="center" vertical="top" wrapText="1"/>
    </xf>
    <xf numFmtId="0" fontId="2" fillId="0" borderId="0" xfId="0" applyFont="1" applyAlignment="1">
      <alignment horizontal="center" vertical="top" wrapText="1"/>
    </xf>
    <xf numFmtId="0" fontId="2" fillId="0" borderId="1" xfId="0" applyFont="1" applyBorder="1" applyAlignment="1">
      <alignment horizontal="center" vertical="top" wrapText="1"/>
    </xf>
    <xf numFmtId="0" fontId="3" fillId="0" borderId="1" xfId="0" applyFont="1" applyBorder="1" applyAlignment="1">
      <alignment horizontal="center" vertical="top" wrapText="1"/>
    </xf>
    <xf numFmtId="0" fontId="2" fillId="0" borderId="0" xfId="0" applyFont="1" applyBorder="1" applyAlignment="1">
      <alignment vertical="top" wrapText="1"/>
    </xf>
    <xf numFmtId="0" fontId="3" fillId="0" borderId="1" xfId="0" applyFont="1" applyBorder="1" applyAlignment="1">
      <alignment horizontal="center" vertical="top" wrapText="1"/>
    </xf>
    <xf numFmtId="0" fontId="4" fillId="2" borderId="1" xfId="0" applyFont="1" applyFill="1" applyBorder="1" applyAlignment="1">
      <alignment horizontal="center" vertical="top" wrapText="1"/>
    </xf>
    <xf numFmtId="0" fontId="0" fillId="0" borderId="0" xfId="0" applyAlignment="1">
      <alignment vertical="top"/>
    </xf>
    <xf numFmtId="0" fontId="5" fillId="3" borderId="2" xfId="0" applyFont="1" applyFill="1" applyBorder="1" applyAlignment="1">
      <alignment horizontal="left" vertical="center" wrapText="1"/>
    </xf>
    <xf numFmtId="0" fontId="5" fillId="3" borderId="3" xfId="0" applyFont="1" applyFill="1" applyBorder="1" applyAlignment="1">
      <alignment horizontal="left" vertical="center" wrapText="1"/>
    </xf>
    <xf numFmtId="0" fontId="6" fillId="3" borderId="2" xfId="0" applyFont="1" applyFill="1" applyBorder="1" applyAlignment="1">
      <alignment vertical="center" wrapText="1"/>
    </xf>
    <xf numFmtId="0" fontId="6" fillId="3" borderId="2" xfId="0" applyFont="1" applyFill="1" applyBorder="1" applyAlignment="1">
      <alignment horizontal="center" vertical="center"/>
    </xf>
    <xf numFmtId="0" fontId="6" fillId="3" borderId="2" xfId="0" applyFont="1" applyFill="1" applyBorder="1" applyAlignment="1">
      <alignment vertical="center"/>
    </xf>
    <xf numFmtId="0" fontId="6" fillId="0" borderId="2" xfId="0" applyFont="1" applyBorder="1" applyAlignment="1">
      <alignment vertical="center" wrapText="1"/>
    </xf>
    <xf numFmtId="0" fontId="6" fillId="0" borderId="2" xfId="0" applyFont="1" applyBorder="1" applyAlignment="1">
      <alignment horizontal="center" vertical="center" wrapText="1"/>
    </xf>
    <xf numFmtId="0" fontId="7" fillId="3" borderId="2" xfId="0" applyFont="1" applyFill="1" applyBorder="1" applyAlignment="1">
      <alignment horizontal="left" vertical="center" wrapText="1"/>
    </xf>
    <xf numFmtId="0" fontId="8" fillId="4" borderId="2" xfId="0" applyFont="1" applyFill="1" applyBorder="1" applyAlignment="1">
      <alignment vertical="center" wrapText="1"/>
    </xf>
    <xf numFmtId="0" fontId="0" fillId="0" borderId="0" xfId="0" applyAlignment="1">
      <alignment horizontal="left" vertical="center"/>
    </xf>
    <xf numFmtId="0" fontId="9" fillId="0" borderId="4" xfId="0" applyFont="1" applyBorder="1" applyAlignment="1">
      <alignment horizontal="center" vertical="center" wrapText="1"/>
    </xf>
    <xf numFmtId="0" fontId="9" fillId="0" borderId="5" xfId="0" applyFont="1" applyBorder="1" applyAlignment="1">
      <alignment horizontal="left" vertical="center" wrapText="1"/>
    </xf>
    <xf numFmtId="0" fontId="9" fillId="0" borderId="6" xfId="0" applyFont="1" applyBorder="1" applyAlignment="1">
      <alignment horizontal="justify" vertical="center" wrapText="1"/>
    </xf>
    <xf numFmtId="9" fontId="10" fillId="0" borderId="2" xfId="1" applyFont="1" applyBorder="1" applyAlignment="1">
      <alignment horizontal="center" vertical="center" wrapText="1"/>
    </xf>
    <xf numFmtId="0" fontId="0" fillId="0" borderId="2" xfId="0" applyBorder="1" applyAlignment="1">
      <alignment horizontal="center" vertical="center"/>
    </xf>
    <xf numFmtId="0" fontId="11" fillId="0" borderId="2" xfId="0" applyFont="1" applyBorder="1" applyAlignment="1">
      <alignment horizontal="center" vertical="center" wrapText="1"/>
    </xf>
    <xf numFmtId="0" fontId="0" fillId="0" borderId="2" xfId="0" applyBorder="1" applyAlignment="1">
      <alignment vertical="top" wrapText="1"/>
    </xf>
    <xf numFmtId="0" fontId="12" fillId="0" borderId="7" xfId="0" applyFont="1" applyBorder="1" applyAlignment="1">
      <alignment vertical="center" wrapText="1"/>
    </xf>
    <xf numFmtId="0" fontId="13" fillId="0" borderId="2" xfId="0" applyFont="1" applyBorder="1" applyAlignment="1">
      <alignment horizontal="left" vertical="center" wrapText="1"/>
    </xf>
    <xf numFmtId="9" fontId="10" fillId="0" borderId="8" xfId="1" applyFont="1" applyBorder="1" applyAlignment="1">
      <alignment horizontal="center" vertical="center" wrapText="1"/>
    </xf>
    <xf numFmtId="0" fontId="14" fillId="0" borderId="9" xfId="0" applyFont="1" applyBorder="1"/>
    <xf numFmtId="0" fontId="14" fillId="0" borderId="10" xfId="0" applyFont="1" applyBorder="1"/>
    <xf numFmtId="0" fontId="9" fillId="0" borderId="11" xfId="0" applyFont="1" applyBorder="1" applyAlignment="1">
      <alignment horizontal="justify" vertical="center" wrapText="1"/>
    </xf>
    <xf numFmtId="0" fontId="15" fillId="0" borderId="7" xfId="0" applyFont="1" applyBorder="1" applyAlignment="1">
      <alignment vertical="center" wrapText="1"/>
    </xf>
    <xf numFmtId="0" fontId="14" fillId="0" borderId="12" xfId="0" applyFont="1" applyBorder="1"/>
    <xf numFmtId="0" fontId="14" fillId="0" borderId="13" xfId="0" applyFont="1" applyBorder="1"/>
    <xf numFmtId="0" fontId="9" fillId="0" borderId="14" xfId="0" applyFont="1" applyBorder="1" applyAlignment="1">
      <alignment horizontal="justify" vertical="center" wrapText="1"/>
    </xf>
    <xf numFmtId="0" fontId="9" fillId="0" borderId="5" xfId="0" applyFont="1" applyBorder="1" applyAlignment="1">
      <alignment horizontal="center" vertical="center" wrapText="1"/>
    </xf>
    <xf numFmtId="0" fontId="9" fillId="0" borderId="15" xfId="0" applyFont="1" applyBorder="1" applyAlignment="1">
      <alignment horizontal="left" vertical="center" wrapText="1"/>
    </xf>
    <xf numFmtId="0" fontId="14" fillId="0" borderId="16" xfId="0" applyFont="1" applyBorder="1"/>
    <xf numFmtId="0" fontId="14" fillId="0" borderId="17" xfId="0" applyFont="1" applyBorder="1"/>
    <xf numFmtId="0" fontId="9" fillId="0" borderId="18" xfId="0" applyFont="1" applyBorder="1" applyAlignment="1">
      <alignment horizontal="justify" vertical="center" wrapText="1"/>
    </xf>
    <xf numFmtId="0" fontId="18" fillId="0" borderId="6" xfId="0" applyFont="1" applyBorder="1" applyAlignment="1">
      <alignment horizontal="justify" vertical="center" wrapText="1"/>
    </xf>
    <xf numFmtId="9" fontId="10" fillId="0" borderId="8" xfId="1" applyFont="1" applyBorder="1" applyAlignment="1">
      <alignment vertical="center" wrapText="1"/>
    </xf>
    <xf numFmtId="0" fontId="18" fillId="0" borderId="11" xfId="0" applyFont="1" applyBorder="1" applyAlignment="1">
      <alignment horizontal="justify" vertical="center" wrapText="1"/>
    </xf>
    <xf numFmtId="0" fontId="0" fillId="0" borderId="3" xfId="0" applyBorder="1" applyAlignment="1">
      <alignment horizontal="left" vertical="top" wrapText="1"/>
    </xf>
    <xf numFmtId="0" fontId="0" fillId="0" borderId="16" xfId="0" applyBorder="1" applyAlignment="1">
      <alignment horizontal="left" vertical="top" wrapText="1"/>
    </xf>
    <xf numFmtId="0" fontId="0" fillId="0" borderId="3" xfId="0" applyBorder="1" applyAlignment="1">
      <alignment horizontal="center" vertical="center"/>
    </xf>
    <xf numFmtId="0" fontId="0" fillId="0" borderId="17" xfId="0" applyBorder="1" applyAlignment="1">
      <alignment horizontal="left" vertical="top" wrapText="1"/>
    </xf>
    <xf numFmtId="9" fontId="10" fillId="0" borderId="19" xfId="1" applyFont="1" applyBorder="1" applyAlignment="1">
      <alignment horizontal="center" vertical="center" wrapText="1"/>
    </xf>
    <xf numFmtId="0" fontId="9" fillId="0" borderId="5" xfId="0" applyFont="1" applyBorder="1" applyAlignment="1">
      <alignment horizontal="center" vertical="center"/>
    </xf>
    <xf numFmtId="0" fontId="9" fillId="0" borderId="15" xfId="0" applyFont="1" applyBorder="1" applyAlignment="1">
      <alignment horizontal="left" vertical="center"/>
    </xf>
    <xf numFmtId="0" fontId="9" fillId="0" borderId="15" xfId="0" applyFont="1" applyBorder="1" applyAlignment="1">
      <alignment horizontal="justify" vertical="center" wrapText="1"/>
    </xf>
    <xf numFmtId="9" fontId="10" fillId="0" borderId="2" xfId="1" applyFont="1" applyBorder="1" applyAlignment="1">
      <alignment horizontal="center" vertical="center"/>
    </xf>
    <xf numFmtId="0" fontId="0" fillId="0" borderId="15" xfId="0" applyBorder="1" applyAlignment="1">
      <alignment horizontal="center" vertical="center"/>
    </xf>
    <xf numFmtId="0" fontId="13" fillId="0" borderId="8" xfId="0" applyFont="1" applyBorder="1" applyAlignment="1">
      <alignment horizontal="left" vertical="center" wrapText="1"/>
    </xf>
    <xf numFmtId="9" fontId="10" fillId="0" borderId="15" xfId="1" applyFont="1" applyBorder="1" applyAlignment="1">
      <alignment horizontal="center" vertical="center"/>
    </xf>
    <xf numFmtId="0" fontId="9" fillId="0" borderId="2" xfId="0" applyFont="1" applyBorder="1" applyAlignment="1">
      <alignment horizontal="justify" vertical="center" wrapText="1"/>
    </xf>
    <xf numFmtId="0" fontId="18" fillId="0" borderId="2" xfId="0" applyFont="1" applyBorder="1" applyAlignment="1">
      <alignment horizontal="justify" vertical="center" wrapText="1"/>
    </xf>
    <xf numFmtId="0" fontId="9" fillId="0" borderId="20" xfId="0" applyFont="1" applyBorder="1" applyAlignment="1">
      <alignment horizontal="justify" vertical="center" wrapText="1"/>
    </xf>
    <xf numFmtId="0" fontId="0" fillId="0" borderId="20" xfId="0" applyBorder="1" applyAlignment="1">
      <alignment horizontal="center" vertical="center"/>
    </xf>
    <xf numFmtId="9" fontId="10" fillId="0" borderId="20" xfId="1" applyFont="1" applyBorder="1" applyAlignment="1">
      <alignment horizontal="center" vertical="center"/>
    </xf>
    <xf numFmtId="9" fontId="10" fillId="0" borderId="15" xfId="1" applyFont="1" applyBorder="1" applyAlignment="1">
      <alignment horizontal="center" vertical="center" wrapText="1"/>
    </xf>
    <xf numFmtId="9" fontId="10" fillId="0" borderId="20" xfId="1" applyFont="1" applyBorder="1" applyAlignment="1">
      <alignment horizontal="center" vertical="center" wrapText="1"/>
    </xf>
    <xf numFmtId="0" fontId="9" fillId="0" borderId="17" xfId="0" applyFont="1" applyBorder="1" applyAlignment="1">
      <alignment horizontal="center" vertical="center" wrapText="1"/>
    </xf>
    <xf numFmtId="0" fontId="9" fillId="0" borderId="17" xfId="0" applyFont="1" applyBorder="1" applyAlignment="1">
      <alignment horizontal="left" vertical="center" wrapText="1"/>
    </xf>
    <xf numFmtId="0" fontId="9" fillId="0" borderId="17" xfId="0" applyFont="1" applyBorder="1" applyAlignment="1">
      <alignment horizontal="justify" vertical="center" wrapText="1"/>
    </xf>
    <xf numFmtId="0" fontId="0" fillId="0" borderId="17" xfId="0" applyBorder="1" applyAlignment="1">
      <alignment horizontal="center" vertical="center"/>
    </xf>
    <xf numFmtId="0" fontId="18" fillId="0" borderId="17" xfId="0" applyFont="1" applyBorder="1" applyAlignment="1">
      <alignment horizontal="justify" vertical="center" wrapText="1"/>
    </xf>
    <xf numFmtId="9" fontId="10" fillId="0" borderId="17" xfId="1" applyFont="1" applyBorder="1" applyAlignment="1">
      <alignment horizontal="center" vertical="center" wrapText="1"/>
    </xf>
    <xf numFmtId="0" fontId="9" fillId="0" borderId="3" xfId="0" applyFont="1" applyBorder="1" applyAlignment="1">
      <alignment horizontal="justify" vertical="center" wrapText="1"/>
    </xf>
    <xf numFmtId="0" fontId="18" fillId="0" borderId="3" xfId="0" applyFont="1" applyBorder="1" applyAlignment="1">
      <alignment horizontal="justify" vertical="center" wrapText="1"/>
    </xf>
    <xf numFmtId="9" fontId="10" fillId="0" borderId="3" xfId="1" applyFont="1" applyBorder="1" applyAlignment="1">
      <alignment horizontal="center" vertical="center" wrapText="1"/>
    </xf>
    <xf numFmtId="0" fontId="0" fillId="0" borderId="0" xfId="0" applyAlignment="1">
      <alignment horizontal="center" vertical="top"/>
    </xf>
    <xf numFmtId="0" fontId="0" fillId="0" borderId="0" xfId="0" applyAlignment="1">
      <alignment vertical="center"/>
    </xf>
    <xf numFmtId="9" fontId="2" fillId="0" borderId="0" xfId="0" applyNumberFormat="1" applyFont="1" applyAlignment="1">
      <alignment horizontal="center" vertical="top"/>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knowledgebase.webengage.com/docs/creating-web-push-campaig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31A95-77B9-4A01-A0C8-700DE93C534F}">
  <dimension ref="A1:AF77"/>
  <sheetViews>
    <sheetView showGridLines="0" tabSelected="1" topLeftCell="C1" zoomScale="70" zoomScaleNormal="70" workbookViewId="0">
      <pane ySplit="2" topLeftCell="A76" activePane="bottomLeft" state="frozen"/>
      <selection activeCell="C1" sqref="C1"/>
      <selection pane="bottomLeft" activeCell="L4" sqref="L4"/>
    </sheetView>
  </sheetViews>
  <sheetFormatPr defaultColWidth="8.77734375" defaultRowHeight="14.4"/>
  <cols>
    <col min="1" max="1" width="6" style="75" bestFit="1" customWidth="1"/>
    <col min="2" max="2" width="19.109375" style="21" customWidth="1"/>
    <col min="3" max="3" width="79.109375" style="76" customWidth="1"/>
    <col min="4" max="4" width="19.109375" style="11" customWidth="1"/>
    <col min="5" max="5" width="9.77734375" style="78" bestFit="1" customWidth="1"/>
    <col min="6" max="6" width="11.6640625" style="11" bestFit="1" customWidth="1"/>
    <col min="7" max="7" width="9.77734375" style="76" bestFit="1" customWidth="1"/>
    <col min="8" max="8" width="8.77734375" style="11"/>
    <col min="9" max="9" width="9.77734375" style="78" bestFit="1" customWidth="1"/>
    <col min="10" max="10" width="8.77734375" style="11" customWidth="1"/>
    <col min="11" max="11" width="9.77734375" style="78" bestFit="1" customWidth="1"/>
    <col min="12" max="12" width="11.6640625" style="11" bestFit="1" customWidth="1"/>
    <col min="13" max="13" width="9.77734375" style="78" bestFit="1" customWidth="1"/>
    <col min="14" max="14" width="8.77734375" style="11"/>
    <col min="15" max="15" width="13.33203125" style="75" customWidth="1"/>
    <col min="16" max="16" width="11.5546875" style="75" customWidth="1"/>
    <col min="17" max="17" width="15.77734375" style="79" customWidth="1"/>
    <col min="18" max="18" width="16.109375" style="79" customWidth="1"/>
    <col min="19" max="19" width="37.109375" style="80" customWidth="1"/>
    <col min="20" max="20" width="65.109375" style="11" customWidth="1"/>
    <col min="21" max="21" width="53" style="80" customWidth="1"/>
    <col min="22" max="22" width="48" style="80" customWidth="1"/>
    <col min="23" max="23" width="62.33203125" style="80" customWidth="1"/>
    <col min="24" max="24" width="62" style="80" customWidth="1"/>
    <col min="25" max="25" width="72.21875" customWidth="1"/>
    <col min="26" max="26" width="19.109375" style="11" customWidth="1"/>
    <col min="27" max="27" width="14.88671875" style="11" customWidth="1"/>
    <col min="28" max="28" width="19.21875" style="11" customWidth="1"/>
    <col min="29" max="29" width="13.44140625" style="11" customWidth="1"/>
    <col min="30" max="30" width="20.109375" style="11" customWidth="1"/>
    <col min="31" max="31" width="18" style="11" customWidth="1"/>
    <col min="32" max="32" width="20" style="11" customWidth="1"/>
    <col min="33" max="16384" width="8.77734375" style="11"/>
  </cols>
  <sheetData>
    <row r="1" spans="1:32" ht="21" customHeight="1">
      <c r="A1" s="1"/>
      <c r="B1" s="2"/>
      <c r="C1" s="3"/>
      <c r="D1" s="4"/>
      <c r="E1" s="5" t="s">
        <v>0</v>
      </c>
      <c r="F1" s="5"/>
      <c r="G1" s="5" t="s">
        <v>1</v>
      </c>
      <c r="H1" s="5"/>
      <c r="I1" s="5" t="s">
        <v>2</v>
      </c>
      <c r="J1" s="5"/>
      <c r="K1" s="5" t="s">
        <v>3</v>
      </c>
      <c r="L1" s="5"/>
      <c r="M1" s="5" t="s">
        <v>4</v>
      </c>
      <c r="N1" s="5"/>
      <c r="O1" s="6" t="s">
        <v>5</v>
      </c>
      <c r="P1" s="6"/>
      <c r="Q1" s="6" t="s">
        <v>6</v>
      </c>
      <c r="R1" s="6"/>
      <c r="S1" s="7" t="s">
        <v>7</v>
      </c>
      <c r="T1" s="7"/>
      <c r="U1" s="7"/>
      <c r="V1" s="7"/>
      <c r="W1" s="7"/>
      <c r="X1" s="8"/>
      <c r="Y1" s="9"/>
      <c r="Z1" s="10" t="s">
        <v>8</v>
      </c>
      <c r="AA1" s="10"/>
      <c r="AB1" s="10"/>
      <c r="AC1" s="10"/>
      <c r="AD1" s="10"/>
      <c r="AE1" s="10"/>
      <c r="AF1" s="10"/>
    </row>
    <row r="2" spans="1:32" s="21" customFormat="1" ht="31.8" thickBot="1">
      <c r="A2" s="12" t="s">
        <v>9</v>
      </c>
      <c r="B2" s="13" t="s">
        <v>10</v>
      </c>
      <c r="C2" s="13" t="s">
        <v>11</v>
      </c>
      <c r="D2" s="14" t="s">
        <v>12</v>
      </c>
      <c r="E2" s="15" t="s">
        <v>13</v>
      </c>
      <c r="F2" s="16" t="s">
        <v>14</v>
      </c>
      <c r="G2" s="16" t="s">
        <v>13</v>
      </c>
      <c r="H2" s="16" t="s">
        <v>14</v>
      </c>
      <c r="I2" s="15" t="s">
        <v>13</v>
      </c>
      <c r="J2" s="16" t="s">
        <v>14</v>
      </c>
      <c r="K2" s="15" t="s">
        <v>13</v>
      </c>
      <c r="L2" s="16" t="s">
        <v>14</v>
      </c>
      <c r="M2" s="15" t="s">
        <v>13</v>
      </c>
      <c r="N2" s="16" t="s">
        <v>14</v>
      </c>
      <c r="O2" s="15" t="s">
        <v>13</v>
      </c>
      <c r="P2" s="16" t="s">
        <v>14</v>
      </c>
      <c r="Q2" s="15" t="s">
        <v>13</v>
      </c>
      <c r="R2" s="16" t="s">
        <v>14</v>
      </c>
      <c r="S2" s="17" t="s">
        <v>15</v>
      </c>
      <c r="T2" s="18" t="s">
        <v>16</v>
      </c>
      <c r="U2" s="18" t="s">
        <v>17</v>
      </c>
      <c r="V2" s="18" t="s">
        <v>18</v>
      </c>
      <c r="W2" s="18" t="s">
        <v>19</v>
      </c>
      <c r="X2" s="19" t="s">
        <v>20</v>
      </c>
      <c r="Y2" s="19" t="s">
        <v>21</v>
      </c>
      <c r="Z2" s="20" t="s">
        <v>0</v>
      </c>
      <c r="AA2" s="20" t="s">
        <v>1</v>
      </c>
      <c r="AB2" s="20" t="s">
        <v>2</v>
      </c>
      <c r="AC2" s="20" t="s">
        <v>3</v>
      </c>
      <c r="AD2" s="20" t="s">
        <v>4</v>
      </c>
      <c r="AE2" s="20" t="s">
        <v>22</v>
      </c>
      <c r="AF2" s="20" t="s">
        <v>23</v>
      </c>
    </row>
    <row r="3" spans="1:32" ht="224.4">
      <c r="A3" s="22">
        <v>1</v>
      </c>
      <c r="B3" s="23" t="s">
        <v>24</v>
      </c>
      <c r="C3" s="24" t="s">
        <v>25</v>
      </c>
      <c r="D3" s="25">
        <v>0.15</v>
      </c>
      <c r="E3" s="26" t="s">
        <v>26</v>
      </c>
      <c r="F3" s="26">
        <f>IF(E3="C",3,IF(E3="PC",1,IF(E3="NC",0,"")))</f>
        <v>3</v>
      </c>
      <c r="G3" s="26" t="s">
        <v>26</v>
      </c>
      <c r="H3" s="26">
        <f>IF(G3="C",3,IF(G3="PC",1,IF(G3="NC",0,"")))</f>
        <v>3</v>
      </c>
      <c r="I3" s="26" t="s">
        <v>27</v>
      </c>
      <c r="J3" s="26">
        <f>IF(I3="C",3,IF(I3="PC",1,IF(I3="NC",0,"")))</f>
        <v>1</v>
      </c>
      <c r="K3" s="26" t="s">
        <v>26</v>
      </c>
      <c r="L3" s="26">
        <f>IF(K3="C",3,IF(K3="PC",1,IF(K3="NC",0,"")))</f>
        <v>3</v>
      </c>
      <c r="M3" s="26" t="s">
        <v>27</v>
      </c>
      <c r="N3" s="26">
        <f>IF(M3="C",3,IF(M3="PC",1,IF(M3="NC",0,"")))</f>
        <v>1</v>
      </c>
      <c r="O3" s="27" t="s">
        <v>27</v>
      </c>
      <c r="P3" s="26">
        <f>IF(O3="C",3,IF(O3="PC",1,IF(O3="NC",0,"")))</f>
        <v>1</v>
      </c>
      <c r="Q3" s="27" t="s">
        <v>26</v>
      </c>
      <c r="R3" s="26">
        <f>IF(Q3="C",3,IF(Q3="PC",1,IF(Q3="NC",0,"")))</f>
        <v>3</v>
      </c>
      <c r="S3" s="28" t="s">
        <v>28</v>
      </c>
      <c r="T3" s="29" t="s">
        <v>29</v>
      </c>
      <c r="U3" s="28" t="s">
        <v>30</v>
      </c>
      <c r="V3" s="28" t="s">
        <v>31</v>
      </c>
      <c r="W3" s="28" t="s">
        <v>32</v>
      </c>
      <c r="X3" s="30" t="s">
        <v>33</v>
      </c>
      <c r="Y3" s="30" t="s">
        <v>34</v>
      </c>
      <c r="Z3" s="31">
        <f>AVERAGE(F3:F12)*$D3/3</f>
        <v>0.15</v>
      </c>
      <c r="AA3" s="31">
        <f>AVERAGE(H3:H12)*$D3/3</f>
        <v>6.9999999999999993E-2</v>
      </c>
      <c r="AB3" s="31">
        <f>AVERAGE(J3:J12)*$D3/3</f>
        <v>9.0000000000000011E-2</v>
      </c>
      <c r="AC3" s="31">
        <f>AVERAGE(L3:L12)*$D3/3</f>
        <v>0.15</v>
      </c>
      <c r="AD3" s="31">
        <f>AVERAGE(N3:N12)*$D3/3</f>
        <v>9.0000000000000011E-2</v>
      </c>
      <c r="AE3" s="31">
        <f>AVERAGE(P3:P12)*$D3/3</f>
        <v>0.13</v>
      </c>
      <c r="AF3" s="31">
        <f>AVERAGE(R3:R12)*$D3/3</f>
        <v>0.15</v>
      </c>
    </row>
    <row r="4" spans="1:32" ht="211.2">
      <c r="A4" s="32"/>
      <c r="B4" s="33"/>
      <c r="C4" s="34" t="s">
        <v>35</v>
      </c>
      <c r="D4" s="25"/>
      <c r="E4" s="26" t="s">
        <v>26</v>
      </c>
      <c r="F4" s="26">
        <f t="shared" ref="F4:F67" si="0">IF(E4="C",3,IF(E4="PC",1,IF(E4="NC",0,"")))</f>
        <v>3</v>
      </c>
      <c r="G4" s="26" t="s">
        <v>26</v>
      </c>
      <c r="H4" s="26">
        <f t="shared" ref="H4:H67" si="1">IF(G4="C",3,IF(G4="PC",1,IF(G4="NC",0,"")))</f>
        <v>3</v>
      </c>
      <c r="I4" s="26" t="s">
        <v>26</v>
      </c>
      <c r="J4" s="26">
        <f t="shared" ref="J4:J67" si="2">IF(I4="C",3,IF(I4="PC",1,IF(I4="NC",0,"")))</f>
        <v>3</v>
      </c>
      <c r="K4" s="26" t="s">
        <v>26</v>
      </c>
      <c r="L4" s="26">
        <f t="shared" ref="L4:L67" si="3">IF(K4="C",3,IF(K4="PC",1,IF(K4="NC",0,"")))</f>
        <v>3</v>
      </c>
      <c r="M4" s="26" t="s">
        <v>26</v>
      </c>
      <c r="N4" s="26">
        <f t="shared" ref="N4:N67" si="4">IF(M4="C",3,IF(M4="PC",1,IF(M4="NC",0,"")))</f>
        <v>3</v>
      </c>
      <c r="O4" s="27" t="s">
        <v>27</v>
      </c>
      <c r="P4" s="26">
        <f t="shared" ref="P4:P67" si="5">IF(O4="C",3,IF(O4="PC",1,IF(O4="NC",0,"")))</f>
        <v>1</v>
      </c>
      <c r="Q4" s="27" t="s">
        <v>26</v>
      </c>
      <c r="R4" s="26">
        <f t="shared" ref="R4:R67" si="6">IF(Q4="C",3,IF(Q4="PC",1,IF(Q4="NC",0,"")))</f>
        <v>3</v>
      </c>
      <c r="S4" s="28" t="s">
        <v>36</v>
      </c>
      <c r="T4" s="29" t="s">
        <v>37</v>
      </c>
      <c r="U4" s="28" t="s">
        <v>38</v>
      </c>
      <c r="V4" s="28" t="s">
        <v>39</v>
      </c>
      <c r="W4" s="28" t="s">
        <v>40</v>
      </c>
      <c r="X4" s="30" t="s">
        <v>41</v>
      </c>
      <c r="Y4" s="30" t="s">
        <v>42</v>
      </c>
      <c r="Z4" s="31">
        <v>3</v>
      </c>
      <c r="AA4" s="31">
        <v>3</v>
      </c>
      <c r="AB4" s="31">
        <v>3</v>
      </c>
      <c r="AC4" s="31">
        <v>3</v>
      </c>
      <c r="AD4" s="31">
        <v>3</v>
      </c>
      <c r="AE4" s="31">
        <v>3</v>
      </c>
      <c r="AF4" s="31">
        <v>3</v>
      </c>
    </row>
    <row r="5" spans="1:32" ht="158.4">
      <c r="A5" s="32"/>
      <c r="B5" s="33"/>
      <c r="C5" s="34" t="s">
        <v>43</v>
      </c>
      <c r="D5" s="25"/>
      <c r="E5" s="26" t="s">
        <v>26</v>
      </c>
      <c r="F5" s="26">
        <f t="shared" si="0"/>
        <v>3</v>
      </c>
      <c r="G5" s="26" t="s">
        <v>27</v>
      </c>
      <c r="H5" s="26">
        <f t="shared" si="1"/>
        <v>1</v>
      </c>
      <c r="I5" s="26" t="s">
        <v>26</v>
      </c>
      <c r="J5" s="26">
        <f t="shared" si="2"/>
        <v>3</v>
      </c>
      <c r="K5" s="26" t="s">
        <v>26</v>
      </c>
      <c r="L5" s="26">
        <f t="shared" si="3"/>
        <v>3</v>
      </c>
      <c r="M5" s="26" t="s">
        <v>26</v>
      </c>
      <c r="N5" s="26">
        <f t="shared" si="4"/>
        <v>3</v>
      </c>
      <c r="O5" s="27" t="s">
        <v>26</v>
      </c>
      <c r="P5" s="26">
        <f t="shared" si="5"/>
        <v>3</v>
      </c>
      <c r="Q5" s="27" t="s">
        <v>26</v>
      </c>
      <c r="R5" s="26">
        <f t="shared" si="6"/>
        <v>3</v>
      </c>
      <c r="S5" s="28" t="s">
        <v>44</v>
      </c>
      <c r="T5" s="29" t="s">
        <v>45</v>
      </c>
      <c r="U5" s="28" t="s">
        <v>46</v>
      </c>
      <c r="V5" s="28" t="s">
        <v>47</v>
      </c>
      <c r="W5" s="28" t="s">
        <v>44</v>
      </c>
      <c r="X5" s="30" t="s">
        <v>48</v>
      </c>
      <c r="Y5" s="30" t="s">
        <v>49</v>
      </c>
      <c r="Z5" s="31">
        <v>3</v>
      </c>
      <c r="AA5" s="31">
        <v>3</v>
      </c>
      <c r="AB5" s="31">
        <v>3</v>
      </c>
      <c r="AC5" s="31">
        <v>3</v>
      </c>
      <c r="AD5" s="31">
        <v>3</v>
      </c>
      <c r="AE5" s="31">
        <v>3</v>
      </c>
      <c r="AF5" s="31">
        <v>3</v>
      </c>
    </row>
    <row r="6" spans="1:32" ht="158.4">
      <c r="A6" s="32"/>
      <c r="B6" s="33"/>
      <c r="C6" s="34" t="s">
        <v>50</v>
      </c>
      <c r="D6" s="25"/>
      <c r="E6" s="26" t="s">
        <v>26</v>
      </c>
      <c r="F6" s="26">
        <f t="shared" si="0"/>
        <v>3</v>
      </c>
      <c r="G6" s="26" t="s">
        <v>27</v>
      </c>
      <c r="H6" s="26">
        <f t="shared" si="1"/>
        <v>1</v>
      </c>
      <c r="I6" s="26" t="s">
        <v>26</v>
      </c>
      <c r="J6" s="26">
        <f t="shared" si="2"/>
        <v>3</v>
      </c>
      <c r="K6" s="26" t="s">
        <v>26</v>
      </c>
      <c r="L6" s="26">
        <f t="shared" si="3"/>
        <v>3</v>
      </c>
      <c r="M6" s="26" t="s">
        <v>26</v>
      </c>
      <c r="N6" s="26">
        <f t="shared" si="4"/>
        <v>3</v>
      </c>
      <c r="O6" s="27" t="s">
        <v>26</v>
      </c>
      <c r="P6" s="26">
        <f t="shared" si="5"/>
        <v>3</v>
      </c>
      <c r="Q6" s="27" t="s">
        <v>26</v>
      </c>
      <c r="R6" s="26">
        <f t="shared" si="6"/>
        <v>3</v>
      </c>
      <c r="S6" s="28" t="s">
        <v>44</v>
      </c>
      <c r="T6" s="35" t="s">
        <v>51</v>
      </c>
      <c r="U6" s="28" t="s">
        <v>52</v>
      </c>
      <c r="V6" s="28" t="s">
        <v>53</v>
      </c>
      <c r="W6" s="28" t="s">
        <v>44</v>
      </c>
      <c r="X6" s="30" t="s">
        <v>54</v>
      </c>
      <c r="Y6" s="30" t="s">
        <v>55</v>
      </c>
      <c r="Z6" s="31">
        <v>3</v>
      </c>
      <c r="AA6" s="31">
        <v>3</v>
      </c>
      <c r="AB6" s="31">
        <v>3</v>
      </c>
      <c r="AC6" s="31">
        <v>3</v>
      </c>
      <c r="AD6" s="31">
        <v>3</v>
      </c>
      <c r="AE6" s="31">
        <v>3</v>
      </c>
      <c r="AF6" s="31">
        <v>3</v>
      </c>
    </row>
    <row r="7" spans="1:32" ht="198">
      <c r="A7" s="32"/>
      <c r="B7" s="33"/>
      <c r="C7" s="34" t="s">
        <v>56</v>
      </c>
      <c r="D7" s="25"/>
      <c r="E7" s="26" t="s">
        <v>26</v>
      </c>
      <c r="F7" s="26">
        <f t="shared" si="0"/>
        <v>3</v>
      </c>
      <c r="G7" s="26" t="s">
        <v>27</v>
      </c>
      <c r="H7" s="26">
        <f t="shared" si="1"/>
        <v>1</v>
      </c>
      <c r="I7" s="26" t="s">
        <v>27</v>
      </c>
      <c r="J7" s="26">
        <f t="shared" si="2"/>
        <v>1</v>
      </c>
      <c r="K7" s="26" t="s">
        <v>26</v>
      </c>
      <c r="L7" s="26">
        <f t="shared" si="3"/>
        <v>3</v>
      </c>
      <c r="M7" s="26" t="s">
        <v>27</v>
      </c>
      <c r="N7" s="26">
        <f t="shared" si="4"/>
        <v>1</v>
      </c>
      <c r="O7" s="27" t="s">
        <v>26</v>
      </c>
      <c r="P7" s="26">
        <f t="shared" si="5"/>
        <v>3</v>
      </c>
      <c r="Q7" s="27" t="s">
        <v>26</v>
      </c>
      <c r="R7" s="26">
        <f t="shared" si="6"/>
        <v>3</v>
      </c>
      <c r="S7" s="28" t="s">
        <v>44</v>
      </c>
      <c r="T7" s="29" t="s">
        <v>57</v>
      </c>
      <c r="U7" s="28" t="s">
        <v>58</v>
      </c>
      <c r="V7" s="28" t="s">
        <v>59</v>
      </c>
      <c r="W7" s="28" t="s">
        <v>60</v>
      </c>
      <c r="X7" s="30" t="s">
        <v>61</v>
      </c>
      <c r="Y7" s="30" t="s">
        <v>62</v>
      </c>
      <c r="Z7" s="31">
        <v>3</v>
      </c>
      <c r="AA7" s="31">
        <v>3</v>
      </c>
      <c r="AB7" s="31">
        <v>3</v>
      </c>
      <c r="AC7" s="31">
        <v>3</v>
      </c>
      <c r="AD7" s="31">
        <v>3</v>
      </c>
      <c r="AE7" s="31">
        <v>3</v>
      </c>
      <c r="AF7" s="31">
        <v>3</v>
      </c>
    </row>
    <row r="8" spans="1:32" ht="237.6">
      <c r="A8" s="32"/>
      <c r="B8" s="33"/>
      <c r="C8" s="34" t="s">
        <v>63</v>
      </c>
      <c r="D8" s="25"/>
      <c r="E8" s="26" t="s">
        <v>26</v>
      </c>
      <c r="F8" s="26">
        <f t="shared" si="0"/>
        <v>3</v>
      </c>
      <c r="G8" s="26" t="s">
        <v>27</v>
      </c>
      <c r="H8" s="26">
        <f t="shared" si="1"/>
        <v>1</v>
      </c>
      <c r="I8" s="26" t="s">
        <v>26</v>
      </c>
      <c r="J8" s="26">
        <f t="shared" si="2"/>
        <v>3</v>
      </c>
      <c r="K8" s="26" t="s">
        <v>26</v>
      </c>
      <c r="L8" s="26">
        <f t="shared" si="3"/>
        <v>3</v>
      </c>
      <c r="M8" s="26" t="s">
        <v>26</v>
      </c>
      <c r="N8" s="26">
        <f t="shared" si="4"/>
        <v>3</v>
      </c>
      <c r="O8" s="27" t="s">
        <v>26</v>
      </c>
      <c r="P8" s="26">
        <f t="shared" si="5"/>
        <v>3</v>
      </c>
      <c r="Q8" s="27" t="s">
        <v>26</v>
      </c>
      <c r="R8" s="26">
        <f t="shared" si="6"/>
        <v>3</v>
      </c>
      <c r="S8" s="28" t="s">
        <v>44</v>
      </c>
      <c r="T8" s="29" t="s">
        <v>64</v>
      </c>
      <c r="U8" s="28" t="s">
        <v>65</v>
      </c>
      <c r="V8" s="28" t="s">
        <v>66</v>
      </c>
      <c r="W8" s="28" t="s">
        <v>44</v>
      </c>
      <c r="X8" s="30" t="s">
        <v>67</v>
      </c>
      <c r="Y8" s="30" t="s">
        <v>68</v>
      </c>
      <c r="Z8" s="31">
        <v>3</v>
      </c>
      <c r="AA8" s="31">
        <v>3</v>
      </c>
      <c r="AB8" s="31">
        <v>3</v>
      </c>
      <c r="AC8" s="31">
        <v>3</v>
      </c>
      <c r="AD8" s="31">
        <v>3</v>
      </c>
      <c r="AE8" s="31">
        <v>3</v>
      </c>
      <c r="AF8" s="31">
        <v>3</v>
      </c>
    </row>
    <row r="9" spans="1:32" ht="132">
      <c r="A9" s="32"/>
      <c r="B9" s="33"/>
      <c r="C9" s="34" t="s">
        <v>69</v>
      </c>
      <c r="D9" s="25"/>
      <c r="E9" s="26" t="s">
        <v>26</v>
      </c>
      <c r="F9" s="26">
        <f t="shared" si="0"/>
        <v>3</v>
      </c>
      <c r="G9" s="26" t="s">
        <v>70</v>
      </c>
      <c r="H9" s="26">
        <f t="shared" si="1"/>
        <v>0</v>
      </c>
      <c r="I9" s="26" t="s">
        <v>27</v>
      </c>
      <c r="J9" s="26">
        <f t="shared" si="2"/>
        <v>1</v>
      </c>
      <c r="K9" s="26" t="s">
        <v>26</v>
      </c>
      <c r="L9" s="26">
        <f t="shared" si="3"/>
        <v>3</v>
      </c>
      <c r="M9" s="26" t="s">
        <v>27</v>
      </c>
      <c r="N9" s="26">
        <f t="shared" si="4"/>
        <v>1</v>
      </c>
      <c r="O9" s="27" t="s">
        <v>26</v>
      </c>
      <c r="P9" s="26">
        <f t="shared" si="5"/>
        <v>3</v>
      </c>
      <c r="Q9" s="27" t="s">
        <v>26</v>
      </c>
      <c r="R9" s="26">
        <f t="shared" si="6"/>
        <v>3</v>
      </c>
      <c r="S9" s="28" t="s">
        <v>44</v>
      </c>
      <c r="T9" s="29" t="s">
        <v>71</v>
      </c>
      <c r="U9" s="28" t="s">
        <v>72</v>
      </c>
      <c r="V9" s="28" t="s">
        <v>73</v>
      </c>
      <c r="W9" s="28" t="s">
        <v>74</v>
      </c>
      <c r="X9" s="30" t="s">
        <v>75</v>
      </c>
      <c r="Y9" s="30" t="s">
        <v>76</v>
      </c>
      <c r="Z9" s="31">
        <v>3</v>
      </c>
      <c r="AA9" s="31">
        <v>3</v>
      </c>
      <c r="AB9" s="31">
        <v>3</v>
      </c>
      <c r="AC9" s="31">
        <v>3</v>
      </c>
      <c r="AD9" s="31">
        <v>3</v>
      </c>
      <c r="AE9" s="31">
        <v>3</v>
      </c>
      <c r="AF9" s="31">
        <v>3</v>
      </c>
    </row>
    <row r="10" spans="1:32" ht="171.6">
      <c r="A10" s="32"/>
      <c r="B10" s="33"/>
      <c r="C10" s="34" t="s">
        <v>77</v>
      </c>
      <c r="D10" s="25"/>
      <c r="E10" s="26" t="s">
        <v>26</v>
      </c>
      <c r="F10" s="26">
        <f t="shared" si="0"/>
        <v>3</v>
      </c>
      <c r="G10" s="26" t="s">
        <v>70</v>
      </c>
      <c r="H10" s="26">
        <f t="shared" si="1"/>
        <v>0</v>
      </c>
      <c r="I10" s="26" t="s">
        <v>27</v>
      </c>
      <c r="J10" s="26">
        <f t="shared" si="2"/>
        <v>1</v>
      </c>
      <c r="K10" s="26" t="s">
        <v>26</v>
      </c>
      <c r="L10" s="26">
        <f t="shared" si="3"/>
        <v>3</v>
      </c>
      <c r="M10" s="26" t="s">
        <v>27</v>
      </c>
      <c r="N10" s="26">
        <f t="shared" si="4"/>
        <v>1</v>
      </c>
      <c r="O10" s="27" t="s">
        <v>26</v>
      </c>
      <c r="P10" s="26">
        <f t="shared" si="5"/>
        <v>3</v>
      </c>
      <c r="Q10" s="27" t="s">
        <v>26</v>
      </c>
      <c r="R10" s="26">
        <f t="shared" si="6"/>
        <v>3</v>
      </c>
      <c r="S10" s="28" t="s">
        <v>44</v>
      </c>
      <c r="T10" s="29" t="s">
        <v>78</v>
      </c>
      <c r="U10" s="28" t="s">
        <v>79</v>
      </c>
      <c r="V10" s="28" t="s">
        <v>80</v>
      </c>
      <c r="W10" s="28" t="s">
        <v>81</v>
      </c>
      <c r="X10" s="30" t="s">
        <v>82</v>
      </c>
      <c r="Y10" s="30" t="s">
        <v>83</v>
      </c>
      <c r="Z10" s="31">
        <v>3</v>
      </c>
      <c r="AA10" s="31">
        <v>3</v>
      </c>
      <c r="AB10" s="31">
        <v>3</v>
      </c>
      <c r="AC10" s="31">
        <v>3</v>
      </c>
      <c r="AD10" s="31">
        <v>3</v>
      </c>
      <c r="AE10" s="31">
        <v>3</v>
      </c>
      <c r="AF10" s="31">
        <v>3</v>
      </c>
    </row>
    <row r="11" spans="1:32" ht="118.8">
      <c r="A11" s="32"/>
      <c r="B11" s="33"/>
      <c r="C11" s="34" t="s">
        <v>84</v>
      </c>
      <c r="D11" s="25"/>
      <c r="E11" s="26" t="s">
        <v>26</v>
      </c>
      <c r="F11" s="26">
        <f t="shared" si="0"/>
        <v>3</v>
      </c>
      <c r="G11" s="26" t="s">
        <v>27</v>
      </c>
      <c r="H11" s="26">
        <f t="shared" si="1"/>
        <v>1</v>
      </c>
      <c r="I11" s="26" t="s">
        <v>27</v>
      </c>
      <c r="J11" s="26">
        <f t="shared" si="2"/>
        <v>1</v>
      </c>
      <c r="K11" s="26" t="s">
        <v>26</v>
      </c>
      <c r="L11" s="26">
        <f t="shared" si="3"/>
        <v>3</v>
      </c>
      <c r="M11" s="26" t="s">
        <v>27</v>
      </c>
      <c r="N11" s="26">
        <f t="shared" si="4"/>
        <v>1</v>
      </c>
      <c r="O11" s="27" t="s">
        <v>26</v>
      </c>
      <c r="P11" s="26">
        <f t="shared" si="5"/>
        <v>3</v>
      </c>
      <c r="Q11" s="27" t="s">
        <v>26</v>
      </c>
      <c r="R11" s="26">
        <f t="shared" si="6"/>
        <v>3</v>
      </c>
      <c r="S11" s="28" t="s">
        <v>44</v>
      </c>
      <c r="T11" s="29" t="s">
        <v>85</v>
      </c>
      <c r="U11" s="28" t="s">
        <v>86</v>
      </c>
      <c r="V11" s="28" t="s">
        <v>87</v>
      </c>
      <c r="W11" s="28" t="s">
        <v>88</v>
      </c>
      <c r="X11" s="30" t="s">
        <v>89</v>
      </c>
      <c r="Y11" s="30" t="s">
        <v>90</v>
      </c>
      <c r="Z11" s="31">
        <v>3</v>
      </c>
      <c r="AA11" s="31">
        <v>3</v>
      </c>
      <c r="AB11" s="31">
        <v>3</v>
      </c>
      <c r="AC11" s="31">
        <v>3</v>
      </c>
      <c r="AD11" s="31">
        <v>3</v>
      </c>
      <c r="AE11" s="31">
        <v>3</v>
      </c>
      <c r="AF11" s="31">
        <v>3</v>
      </c>
    </row>
    <row r="12" spans="1:32" ht="264.60000000000002" thickBot="1">
      <c r="A12" s="36"/>
      <c r="B12" s="37"/>
      <c r="C12" s="38" t="s">
        <v>91</v>
      </c>
      <c r="D12" s="25"/>
      <c r="E12" s="26" t="s">
        <v>26</v>
      </c>
      <c r="F12" s="26">
        <f t="shared" si="0"/>
        <v>3</v>
      </c>
      <c r="G12" s="26" t="s">
        <v>26</v>
      </c>
      <c r="H12" s="26">
        <f t="shared" si="1"/>
        <v>3</v>
      </c>
      <c r="I12" s="26" t="s">
        <v>27</v>
      </c>
      <c r="J12" s="26">
        <f t="shared" si="2"/>
        <v>1</v>
      </c>
      <c r="K12" s="26" t="s">
        <v>26</v>
      </c>
      <c r="L12" s="26">
        <f t="shared" si="3"/>
        <v>3</v>
      </c>
      <c r="M12" s="26" t="s">
        <v>27</v>
      </c>
      <c r="N12" s="26">
        <f t="shared" si="4"/>
        <v>1</v>
      </c>
      <c r="O12" s="27" t="s">
        <v>26</v>
      </c>
      <c r="P12" s="26">
        <f t="shared" si="5"/>
        <v>3</v>
      </c>
      <c r="Q12" s="27" t="s">
        <v>26</v>
      </c>
      <c r="R12" s="26">
        <f t="shared" si="6"/>
        <v>3</v>
      </c>
      <c r="S12" s="28" t="s">
        <v>44</v>
      </c>
      <c r="T12" s="29" t="s">
        <v>92</v>
      </c>
      <c r="U12" s="28" t="s">
        <v>93</v>
      </c>
      <c r="V12" s="28" t="s">
        <v>94</v>
      </c>
      <c r="W12" s="28" t="s">
        <v>95</v>
      </c>
      <c r="X12" s="30" t="s">
        <v>96</v>
      </c>
      <c r="Y12" s="30" t="s">
        <v>97</v>
      </c>
      <c r="Z12" s="31">
        <v>3</v>
      </c>
      <c r="AA12" s="31">
        <v>3</v>
      </c>
      <c r="AB12" s="31">
        <v>3</v>
      </c>
      <c r="AC12" s="31">
        <v>3</v>
      </c>
      <c r="AD12" s="31">
        <v>3</v>
      </c>
      <c r="AE12" s="31">
        <v>3</v>
      </c>
      <c r="AF12" s="31">
        <v>3</v>
      </c>
    </row>
    <row r="13" spans="1:32" ht="187.2">
      <c r="A13" s="39">
        <v>2</v>
      </c>
      <c r="B13" s="40" t="s">
        <v>98</v>
      </c>
      <c r="C13" s="24" t="s">
        <v>99</v>
      </c>
      <c r="D13" s="25">
        <v>0.15</v>
      </c>
      <c r="E13" s="26" t="s">
        <v>26</v>
      </c>
      <c r="F13" s="26">
        <f t="shared" si="0"/>
        <v>3</v>
      </c>
      <c r="G13" s="26" t="s">
        <v>26</v>
      </c>
      <c r="H13" s="26">
        <f t="shared" si="1"/>
        <v>3</v>
      </c>
      <c r="I13" s="26" t="s">
        <v>26</v>
      </c>
      <c r="J13" s="26">
        <f t="shared" si="2"/>
        <v>3</v>
      </c>
      <c r="K13" s="26" t="s">
        <v>26</v>
      </c>
      <c r="L13" s="26">
        <f t="shared" si="3"/>
        <v>3</v>
      </c>
      <c r="M13" s="26" t="s">
        <v>26</v>
      </c>
      <c r="N13" s="26">
        <f t="shared" si="4"/>
        <v>3</v>
      </c>
      <c r="O13" s="27" t="s">
        <v>26</v>
      </c>
      <c r="P13" s="26">
        <f t="shared" si="5"/>
        <v>3</v>
      </c>
      <c r="Q13" s="27" t="s">
        <v>26</v>
      </c>
      <c r="R13" s="26">
        <f t="shared" si="6"/>
        <v>3</v>
      </c>
      <c r="S13" s="28" t="s">
        <v>44</v>
      </c>
      <c r="T13" s="28" t="s">
        <v>100</v>
      </c>
      <c r="U13" s="28" t="s">
        <v>101</v>
      </c>
      <c r="V13" s="28" t="s">
        <v>102</v>
      </c>
      <c r="W13" s="28" t="s">
        <v>103</v>
      </c>
      <c r="X13" s="30" t="s">
        <v>104</v>
      </c>
      <c r="Y13" s="30" t="s">
        <v>105</v>
      </c>
      <c r="Z13" s="31">
        <f>AVERAGE(F13:F21)*$D13/3</f>
        <v>0.15</v>
      </c>
      <c r="AA13" s="31">
        <f>AVERAGE(H13:H21)*$D13/3</f>
        <v>0.10555555555555556</v>
      </c>
      <c r="AB13" s="31">
        <f>AVERAGE(J13:J21)*$D13/3</f>
        <v>8.3333333333333329E-2</v>
      </c>
      <c r="AC13" s="31">
        <f>AVERAGE(L13:L21)*$D13/3</f>
        <v>8.8888888888888892E-2</v>
      </c>
      <c r="AD13" s="31">
        <f>AVERAGE(N13:N21)*$D13/3</f>
        <v>8.3333333333333329E-2</v>
      </c>
      <c r="AE13" s="31">
        <f>AVERAGE(P13:P21)*$D13/3</f>
        <v>0.15</v>
      </c>
      <c r="AF13" s="31">
        <f>AVERAGE(R13:R21)*$D13/3</f>
        <v>0.15</v>
      </c>
    </row>
    <row r="14" spans="1:32" ht="187.2">
      <c r="A14" s="33"/>
      <c r="B14" s="41"/>
      <c r="C14" s="34" t="s">
        <v>106</v>
      </c>
      <c r="D14" s="25"/>
      <c r="E14" s="26" t="s">
        <v>26</v>
      </c>
      <c r="F14" s="26">
        <f t="shared" si="0"/>
        <v>3</v>
      </c>
      <c r="G14" s="26" t="s">
        <v>26</v>
      </c>
      <c r="H14" s="26">
        <f t="shared" si="1"/>
        <v>3</v>
      </c>
      <c r="I14" s="26" t="s">
        <v>26</v>
      </c>
      <c r="J14" s="26">
        <f t="shared" si="2"/>
        <v>3</v>
      </c>
      <c r="K14" s="26" t="s">
        <v>107</v>
      </c>
      <c r="L14" s="26">
        <f t="shared" si="3"/>
        <v>3</v>
      </c>
      <c r="M14" s="26" t="s">
        <v>26</v>
      </c>
      <c r="N14" s="26">
        <f t="shared" si="4"/>
        <v>3</v>
      </c>
      <c r="O14" s="27" t="s">
        <v>26</v>
      </c>
      <c r="P14" s="26">
        <f t="shared" si="5"/>
        <v>3</v>
      </c>
      <c r="Q14" s="27" t="s">
        <v>26</v>
      </c>
      <c r="R14" s="26">
        <f t="shared" si="6"/>
        <v>3</v>
      </c>
      <c r="S14" s="28" t="s">
        <v>44</v>
      </c>
      <c r="T14" s="28" t="s">
        <v>108</v>
      </c>
      <c r="U14" s="28" t="s">
        <v>109</v>
      </c>
      <c r="V14" s="28" t="s">
        <v>110</v>
      </c>
      <c r="W14" s="28" t="s">
        <v>44</v>
      </c>
      <c r="X14" s="30" t="s">
        <v>111</v>
      </c>
      <c r="Y14" s="30" t="s">
        <v>112</v>
      </c>
      <c r="Z14" s="31">
        <v>3</v>
      </c>
      <c r="AA14" s="31">
        <v>3</v>
      </c>
      <c r="AB14" s="31">
        <v>3</v>
      </c>
      <c r="AC14" s="31">
        <v>3</v>
      </c>
      <c r="AD14" s="31">
        <v>3</v>
      </c>
      <c r="AE14" s="31">
        <v>3</v>
      </c>
      <c r="AF14" s="31">
        <v>3</v>
      </c>
    </row>
    <row r="15" spans="1:32" ht="187.2">
      <c r="A15" s="33"/>
      <c r="B15" s="41"/>
      <c r="C15" s="34" t="s">
        <v>113</v>
      </c>
      <c r="D15" s="25"/>
      <c r="E15" s="26" t="s">
        <v>26</v>
      </c>
      <c r="F15" s="26">
        <f t="shared" si="0"/>
        <v>3</v>
      </c>
      <c r="G15" s="26" t="s">
        <v>27</v>
      </c>
      <c r="H15" s="26">
        <f t="shared" si="1"/>
        <v>1</v>
      </c>
      <c r="I15" s="26" t="s">
        <v>27</v>
      </c>
      <c r="J15" s="26">
        <f t="shared" si="2"/>
        <v>1</v>
      </c>
      <c r="K15" s="26" t="s">
        <v>27</v>
      </c>
      <c r="L15" s="26">
        <f t="shared" si="3"/>
        <v>1</v>
      </c>
      <c r="M15" s="26" t="s">
        <v>27</v>
      </c>
      <c r="N15" s="26">
        <f t="shared" si="4"/>
        <v>1</v>
      </c>
      <c r="O15" s="27" t="s">
        <v>26</v>
      </c>
      <c r="P15" s="26">
        <f t="shared" si="5"/>
        <v>3</v>
      </c>
      <c r="Q15" s="27" t="s">
        <v>26</v>
      </c>
      <c r="R15" s="26">
        <f t="shared" si="6"/>
        <v>3</v>
      </c>
      <c r="S15" s="28" t="s">
        <v>44</v>
      </c>
      <c r="T15" s="28" t="s">
        <v>114</v>
      </c>
      <c r="U15" s="28" t="s">
        <v>115</v>
      </c>
      <c r="V15" s="28" t="s">
        <v>116</v>
      </c>
      <c r="W15" s="28" t="s">
        <v>117</v>
      </c>
      <c r="X15" s="30" t="s">
        <v>118</v>
      </c>
      <c r="Y15" s="30" t="s">
        <v>119</v>
      </c>
      <c r="Z15" s="31">
        <v>3</v>
      </c>
      <c r="AA15" s="31">
        <v>3</v>
      </c>
      <c r="AB15" s="31">
        <v>3</v>
      </c>
      <c r="AC15" s="31">
        <v>3</v>
      </c>
      <c r="AD15" s="31">
        <v>3</v>
      </c>
      <c r="AE15" s="31">
        <v>3</v>
      </c>
      <c r="AF15" s="31">
        <v>3</v>
      </c>
    </row>
    <row r="16" spans="1:32" ht="316.8">
      <c r="A16" s="33"/>
      <c r="B16" s="41"/>
      <c r="C16" s="34" t="s">
        <v>120</v>
      </c>
      <c r="D16" s="25"/>
      <c r="E16" s="26" t="s">
        <v>26</v>
      </c>
      <c r="F16" s="26">
        <f t="shared" si="0"/>
        <v>3</v>
      </c>
      <c r="G16" s="26" t="s">
        <v>26</v>
      </c>
      <c r="H16" s="26">
        <f t="shared" si="1"/>
        <v>3</v>
      </c>
      <c r="I16" s="26" t="s">
        <v>26</v>
      </c>
      <c r="J16" s="26">
        <f t="shared" si="2"/>
        <v>3</v>
      </c>
      <c r="K16" s="26" t="s">
        <v>26</v>
      </c>
      <c r="L16" s="26">
        <f t="shared" si="3"/>
        <v>3</v>
      </c>
      <c r="M16" s="26" t="s">
        <v>26</v>
      </c>
      <c r="N16" s="26">
        <f t="shared" si="4"/>
        <v>3</v>
      </c>
      <c r="O16" s="27" t="s">
        <v>26</v>
      </c>
      <c r="P16" s="26">
        <f t="shared" si="5"/>
        <v>3</v>
      </c>
      <c r="Q16" s="27" t="s">
        <v>26</v>
      </c>
      <c r="R16" s="26">
        <f t="shared" si="6"/>
        <v>3</v>
      </c>
      <c r="S16" s="28" t="s">
        <v>44</v>
      </c>
      <c r="T16" s="28" t="s">
        <v>121</v>
      </c>
      <c r="U16" s="28" t="s">
        <v>122</v>
      </c>
      <c r="V16" s="28" t="s">
        <v>123</v>
      </c>
      <c r="W16" s="28" t="s">
        <v>44</v>
      </c>
      <c r="X16" s="30" t="s">
        <v>124</v>
      </c>
      <c r="Y16" s="30" t="s">
        <v>125</v>
      </c>
      <c r="Z16" s="31">
        <v>3</v>
      </c>
      <c r="AA16" s="31">
        <v>3</v>
      </c>
      <c r="AB16" s="31">
        <v>3</v>
      </c>
      <c r="AC16" s="31">
        <v>3</v>
      </c>
      <c r="AD16" s="31">
        <v>3</v>
      </c>
      <c r="AE16" s="31">
        <v>3</v>
      </c>
      <c r="AF16" s="31">
        <v>3</v>
      </c>
    </row>
    <row r="17" spans="1:32" ht="144">
      <c r="A17" s="33"/>
      <c r="B17" s="41"/>
      <c r="C17" s="34" t="s">
        <v>126</v>
      </c>
      <c r="D17" s="25"/>
      <c r="E17" s="26" t="s">
        <v>26</v>
      </c>
      <c r="F17" s="26">
        <f t="shared" si="0"/>
        <v>3</v>
      </c>
      <c r="G17" s="26" t="s">
        <v>70</v>
      </c>
      <c r="H17" s="26">
        <f t="shared" si="1"/>
        <v>0</v>
      </c>
      <c r="I17" s="26" t="s">
        <v>70</v>
      </c>
      <c r="J17" s="26">
        <f t="shared" si="2"/>
        <v>0</v>
      </c>
      <c r="K17" s="26" t="s">
        <v>70</v>
      </c>
      <c r="L17" s="26">
        <f t="shared" si="3"/>
        <v>0</v>
      </c>
      <c r="M17" s="26" t="s">
        <v>70</v>
      </c>
      <c r="N17" s="26">
        <f t="shared" si="4"/>
        <v>0</v>
      </c>
      <c r="O17" s="27" t="s">
        <v>26</v>
      </c>
      <c r="P17" s="26">
        <f t="shared" si="5"/>
        <v>3</v>
      </c>
      <c r="Q17" s="27" t="s">
        <v>26</v>
      </c>
      <c r="R17" s="26">
        <f t="shared" si="6"/>
        <v>3</v>
      </c>
      <c r="S17" s="28" t="s">
        <v>44</v>
      </c>
      <c r="T17" s="28" t="s">
        <v>127</v>
      </c>
      <c r="U17" s="28" t="s">
        <v>128</v>
      </c>
      <c r="V17" s="28" t="s">
        <v>129</v>
      </c>
      <c r="W17" s="28" t="s">
        <v>130</v>
      </c>
      <c r="X17" s="30" t="s">
        <v>131</v>
      </c>
      <c r="Y17" s="30" t="s">
        <v>132</v>
      </c>
      <c r="Z17" s="31">
        <v>3</v>
      </c>
      <c r="AA17" s="31">
        <v>3</v>
      </c>
      <c r="AB17" s="31">
        <v>3</v>
      </c>
      <c r="AC17" s="31">
        <v>3</v>
      </c>
      <c r="AD17" s="31">
        <v>3</v>
      </c>
      <c r="AE17" s="31">
        <v>3</v>
      </c>
      <c r="AF17" s="31">
        <v>3</v>
      </c>
    </row>
    <row r="18" spans="1:32" ht="244.8">
      <c r="A18" s="33"/>
      <c r="B18" s="41"/>
      <c r="C18" s="34" t="s">
        <v>133</v>
      </c>
      <c r="D18" s="25"/>
      <c r="E18" s="26" t="s">
        <v>26</v>
      </c>
      <c r="F18" s="26">
        <f t="shared" si="0"/>
        <v>3</v>
      </c>
      <c r="G18" s="26" t="s">
        <v>70</v>
      </c>
      <c r="H18" s="26">
        <f t="shared" si="1"/>
        <v>0</v>
      </c>
      <c r="I18" s="26" t="s">
        <v>27</v>
      </c>
      <c r="J18" s="26">
        <f t="shared" si="2"/>
        <v>1</v>
      </c>
      <c r="K18" s="26" t="s">
        <v>70</v>
      </c>
      <c r="L18" s="26">
        <f t="shared" si="3"/>
        <v>0</v>
      </c>
      <c r="M18" s="26" t="s">
        <v>27</v>
      </c>
      <c r="N18" s="26">
        <f t="shared" si="4"/>
        <v>1</v>
      </c>
      <c r="O18" s="27" t="s">
        <v>26</v>
      </c>
      <c r="P18" s="26">
        <f t="shared" si="5"/>
        <v>3</v>
      </c>
      <c r="Q18" s="27" t="s">
        <v>26</v>
      </c>
      <c r="R18" s="26">
        <f t="shared" si="6"/>
        <v>3</v>
      </c>
      <c r="S18" s="28" t="s">
        <v>44</v>
      </c>
      <c r="T18" s="28" t="s">
        <v>134</v>
      </c>
      <c r="U18" s="28" t="s">
        <v>135</v>
      </c>
      <c r="V18" s="28" t="s">
        <v>136</v>
      </c>
      <c r="W18" s="28" t="s">
        <v>117</v>
      </c>
      <c r="X18" s="30" t="s">
        <v>137</v>
      </c>
      <c r="Y18" s="30" t="s">
        <v>138</v>
      </c>
      <c r="Z18" s="31">
        <v>3</v>
      </c>
      <c r="AA18" s="31">
        <v>3</v>
      </c>
      <c r="AB18" s="31">
        <v>3</v>
      </c>
      <c r="AC18" s="31">
        <v>3</v>
      </c>
      <c r="AD18" s="31">
        <v>3</v>
      </c>
      <c r="AE18" s="31">
        <v>3</v>
      </c>
      <c r="AF18" s="31">
        <v>3</v>
      </c>
    </row>
    <row r="19" spans="1:32" ht="273.60000000000002">
      <c r="A19" s="33"/>
      <c r="B19" s="41"/>
      <c r="C19" s="34" t="s">
        <v>139</v>
      </c>
      <c r="D19" s="25"/>
      <c r="E19" s="26" t="s">
        <v>26</v>
      </c>
      <c r="F19" s="26">
        <f t="shared" si="0"/>
        <v>3</v>
      </c>
      <c r="G19" s="26" t="s">
        <v>26</v>
      </c>
      <c r="H19" s="26">
        <f t="shared" si="1"/>
        <v>3</v>
      </c>
      <c r="I19" s="26" t="s">
        <v>27</v>
      </c>
      <c r="J19" s="26">
        <f t="shared" si="2"/>
        <v>1</v>
      </c>
      <c r="K19" s="26" t="s">
        <v>26</v>
      </c>
      <c r="L19" s="26">
        <f t="shared" si="3"/>
        <v>3</v>
      </c>
      <c r="M19" s="26" t="s">
        <v>27</v>
      </c>
      <c r="N19" s="26">
        <f t="shared" si="4"/>
        <v>1</v>
      </c>
      <c r="O19" s="27" t="s">
        <v>26</v>
      </c>
      <c r="P19" s="26">
        <f t="shared" si="5"/>
        <v>3</v>
      </c>
      <c r="Q19" s="27" t="s">
        <v>26</v>
      </c>
      <c r="R19" s="26">
        <f t="shared" si="6"/>
        <v>3</v>
      </c>
      <c r="S19" s="28" t="s">
        <v>44</v>
      </c>
      <c r="T19" s="28" t="s">
        <v>140</v>
      </c>
      <c r="U19" s="28" t="s">
        <v>141</v>
      </c>
      <c r="V19" s="28" t="s">
        <v>142</v>
      </c>
      <c r="W19" s="28" t="s">
        <v>143</v>
      </c>
      <c r="X19" s="30" t="s">
        <v>144</v>
      </c>
      <c r="Y19" s="30" t="s">
        <v>145</v>
      </c>
      <c r="Z19" s="31">
        <v>3</v>
      </c>
      <c r="AA19" s="31">
        <v>3</v>
      </c>
      <c r="AB19" s="31">
        <v>3</v>
      </c>
      <c r="AC19" s="31">
        <v>3</v>
      </c>
      <c r="AD19" s="31">
        <v>3</v>
      </c>
      <c r="AE19" s="31">
        <v>3</v>
      </c>
      <c r="AF19" s="31">
        <v>3</v>
      </c>
    </row>
    <row r="20" spans="1:32" ht="230.4">
      <c r="A20" s="33"/>
      <c r="B20" s="41"/>
      <c r="C20" s="34" t="s">
        <v>146</v>
      </c>
      <c r="D20" s="25"/>
      <c r="E20" s="26" t="s">
        <v>26</v>
      </c>
      <c r="F20" s="26">
        <f t="shared" si="0"/>
        <v>3</v>
      </c>
      <c r="G20" s="26" t="s">
        <v>26</v>
      </c>
      <c r="H20" s="26">
        <f t="shared" si="1"/>
        <v>3</v>
      </c>
      <c r="I20" s="26" t="s">
        <v>26</v>
      </c>
      <c r="J20" s="26">
        <f t="shared" si="2"/>
        <v>3</v>
      </c>
      <c r="K20" s="26" t="s">
        <v>26</v>
      </c>
      <c r="L20" s="26">
        <f t="shared" si="3"/>
        <v>3</v>
      </c>
      <c r="M20" s="26" t="s">
        <v>26</v>
      </c>
      <c r="N20" s="26">
        <f t="shared" si="4"/>
        <v>3</v>
      </c>
      <c r="O20" s="27" t="s">
        <v>26</v>
      </c>
      <c r="P20" s="26">
        <f t="shared" si="5"/>
        <v>3</v>
      </c>
      <c r="Q20" s="27" t="s">
        <v>26</v>
      </c>
      <c r="R20" s="26">
        <f t="shared" si="6"/>
        <v>3</v>
      </c>
      <c r="S20" s="28" t="s">
        <v>44</v>
      </c>
      <c r="T20" s="28" t="s">
        <v>147</v>
      </c>
      <c r="U20" s="28" t="s">
        <v>148</v>
      </c>
      <c r="V20" s="28" t="s">
        <v>149</v>
      </c>
      <c r="W20" s="28" t="s">
        <v>44</v>
      </c>
      <c r="X20" s="30" t="s">
        <v>150</v>
      </c>
      <c r="Y20" s="30" t="s">
        <v>150</v>
      </c>
      <c r="Z20" s="31">
        <v>3</v>
      </c>
      <c r="AA20" s="31">
        <v>3</v>
      </c>
      <c r="AB20" s="31">
        <v>3</v>
      </c>
      <c r="AC20" s="31">
        <v>3</v>
      </c>
      <c r="AD20" s="31">
        <v>3</v>
      </c>
      <c r="AE20" s="31">
        <v>3</v>
      </c>
      <c r="AF20" s="31">
        <v>3</v>
      </c>
    </row>
    <row r="21" spans="1:32" ht="259.8" thickBot="1">
      <c r="A21" s="37"/>
      <c r="B21" s="42"/>
      <c r="C21" s="43" t="s">
        <v>151</v>
      </c>
      <c r="D21" s="25"/>
      <c r="E21" s="26" t="s">
        <v>26</v>
      </c>
      <c r="F21" s="26">
        <f t="shared" si="0"/>
        <v>3</v>
      </c>
      <c r="G21" s="26" t="s">
        <v>26</v>
      </c>
      <c r="H21" s="26">
        <f t="shared" si="1"/>
        <v>3</v>
      </c>
      <c r="I21" s="26" t="s">
        <v>70</v>
      </c>
      <c r="J21" s="26">
        <f t="shared" si="2"/>
        <v>0</v>
      </c>
      <c r="K21" s="26" t="s">
        <v>70</v>
      </c>
      <c r="L21" s="26">
        <f t="shared" si="3"/>
        <v>0</v>
      </c>
      <c r="M21" s="26" t="s">
        <v>70</v>
      </c>
      <c r="N21" s="26">
        <f t="shared" si="4"/>
        <v>0</v>
      </c>
      <c r="O21" s="27" t="s">
        <v>26</v>
      </c>
      <c r="P21" s="26">
        <f t="shared" si="5"/>
        <v>3</v>
      </c>
      <c r="Q21" s="27" t="s">
        <v>26</v>
      </c>
      <c r="R21" s="26">
        <f t="shared" si="6"/>
        <v>3</v>
      </c>
      <c r="S21" s="28" t="s">
        <v>152</v>
      </c>
      <c r="T21" s="28" t="s">
        <v>153</v>
      </c>
      <c r="U21" s="28" t="s">
        <v>154</v>
      </c>
      <c r="V21" s="28" t="s">
        <v>155</v>
      </c>
      <c r="W21" s="28" t="s">
        <v>156</v>
      </c>
      <c r="X21" s="30" t="s">
        <v>157</v>
      </c>
      <c r="Y21" s="30" t="s">
        <v>158</v>
      </c>
      <c r="Z21" s="31">
        <v>3</v>
      </c>
      <c r="AA21" s="31">
        <v>3</v>
      </c>
      <c r="AB21" s="31">
        <v>3</v>
      </c>
      <c r="AC21" s="31">
        <v>3</v>
      </c>
      <c r="AD21" s="31">
        <v>3</v>
      </c>
      <c r="AE21" s="31">
        <v>3</v>
      </c>
      <c r="AF21" s="31">
        <v>3</v>
      </c>
    </row>
    <row r="22" spans="1:32" ht="201.6">
      <c r="A22" s="39">
        <v>3</v>
      </c>
      <c r="B22" s="40" t="s">
        <v>159</v>
      </c>
      <c r="C22" s="24" t="s">
        <v>160</v>
      </c>
      <c r="D22" s="25">
        <v>0.15</v>
      </c>
      <c r="E22" s="26" t="s">
        <v>26</v>
      </c>
      <c r="F22" s="26">
        <f t="shared" si="0"/>
        <v>3</v>
      </c>
      <c r="G22" s="26" t="s">
        <v>26</v>
      </c>
      <c r="H22" s="26">
        <f t="shared" si="1"/>
        <v>3</v>
      </c>
      <c r="I22" s="26" t="s">
        <v>26</v>
      </c>
      <c r="J22" s="26">
        <f t="shared" si="2"/>
        <v>3</v>
      </c>
      <c r="K22" s="26" t="s">
        <v>26</v>
      </c>
      <c r="L22" s="26">
        <f t="shared" si="3"/>
        <v>3</v>
      </c>
      <c r="M22" s="26" t="s">
        <v>26</v>
      </c>
      <c r="N22" s="26">
        <f t="shared" si="4"/>
        <v>3</v>
      </c>
      <c r="O22" s="27" t="s">
        <v>26</v>
      </c>
      <c r="P22" s="26">
        <f t="shared" si="5"/>
        <v>3</v>
      </c>
      <c r="Q22" s="27" t="s">
        <v>26</v>
      </c>
      <c r="R22" s="26">
        <f t="shared" si="6"/>
        <v>3</v>
      </c>
      <c r="S22" s="28" t="s">
        <v>161</v>
      </c>
      <c r="T22" s="28" t="s">
        <v>162</v>
      </c>
      <c r="U22" s="28" t="s">
        <v>163</v>
      </c>
      <c r="V22" s="28" t="s">
        <v>164</v>
      </c>
      <c r="W22" s="28" t="s">
        <v>44</v>
      </c>
      <c r="X22" s="30" t="s">
        <v>165</v>
      </c>
      <c r="Y22" s="44" t="s">
        <v>166</v>
      </c>
      <c r="Z22" s="31">
        <f>AVERAGE(F22:F29)*$D22/3</f>
        <v>0.15</v>
      </c>
      <c r="AA22" s="31">
        <f>AVERAGE(H22:H29)*$D22/3</f>
        <v>0.15</v>
      </c>
      <c r="AB22" s="31">
        <f>AVERAGE(J22:J29)*$D22/3</f>
        <v>0.11875000000000001</v>
      </c>
      <c r="AC22" s="31">
        <f>AVERAGE(L22:L29)*$D22/3</f>
        <v>8.1250000000000003E-2</v>
      </c>
      <c r="AD22" s="31">
        <f>AVERAGE(N22:N29)*$D22/3</f>
        <v>0.11875000000000001</v>
      </c>
      <c r="AE22" s="31">
        <f>AVERAGE(P22:P29)*$D22/3</f>
        <v>0.15</v>
      </c>
      <c r="AF22" s="31">
        <f>AVERAGE(R22:R29)*$D22/3</f>
        <v>0.15</v>
      </c>
    </row>
    <row r="23" spans="1:32" ht="244.8">
      <c r="A23" s="33"/>
      <c r="B23" s="41"/>
      <c r="C23" s="34" t="s">
        <v>167</v>
      </c>
      <c r="D23" s="25"/>
      <c r="E23" s="26" t="s">
        <v>26</v>
      </c>
      <c r="F23" s="26">
        <f t="shared" si="0"/>
        <v>3</v>
      </c>
      <c r="G23" s="26" t="s">
        <v>26</v>
      </c>
      <c r="H23" s="26">
        <f t="shared" si="1"/>
        <v>3</v>
      </c>
      <c r="I23" s="26" t="s">
        <v>26</v>
      </c>
      <c r="J23" s="26">
        <f t="shared" si="2"/>
        <v>3</v>
      </c>
      <c r="K23" s="26" t="s">
        <v>26</v>
      </c>
      <c r="L23" s="26">
        <f t="shared" si="3"/>
        <v>3</v>
      </c>
      <c r="M23" s="26" t="s">
        <v>26</v>
      </c>
      <c r="N23" s="26">
        <f t="shared" si="4"/>
        <v>3</v>
      </c>
      <c r="O23" s="27" t="s">
        <v>26</v>
      </c>
      <c r="P23" s="26">
        <f t="shared" si="5"/>
        <v>3</v>
      </c>
      <c r="Q23" s="27" t="s">
        <v>26</v>
      </c>
      <c r="R23" s="26">
        <f t="shared" si="6"/>
        <v>3</v>
      </c>
      <c r="S23" s="28" t="s">
        <v>44</v>
      </c>
      <c r="T23" s="28" t="s">
        <v>168</v>
      </c>
      <c r="U23" s="28" t="s">
        <v>169</v>
      </c>
      <c r="V23" s="28" t="s">
        <v>170</v>
      </c>
      <c r="W23" s="28" t="s">
        <v>44</v>
      </c>
      <c r="X23" s="30" t="s">
        <v>171</v>
      </c>
      <c r="Y23" s="30" t="s">
        <v>172</v>
      </c>
      <c r="Z23" s="31">
        <v>3</v>
      </c>
      <c r="AA23" s="31">
        <v>3</v>
      </c>
      <c r="AB23" s="31">
        <v>3</v>
      </c>
      <c r="AC23" s="31">
        <v>3</v>
      </c>
      <c r="AD23" s="31">
        <v>3</v>
      </c>
      <c r="AE23" s="31">
        <v>3</v>
      </c>
      <c r="AF23" s="31">
        <v>3</v>
      </c>
    </row>
    <row r="24" spans="1:32" ht="273.60000000000002">
      <c r="A24" s="33"/>
      <c r="B24" s="41"/>
      <c r="C24" s="34" t="s">
        <v>173</v>
      </c>
      <c r="D24" s="25"/>
      <c r="E24" s="26" t="s">
        <v>26</v>
      </c>
      <c r="F24" s="26">
        <f t="shared" si="0"/>
        <v>3</v>
      </c>
      <c r="G24" s="26" t="s">
        <v>26</v>
      </c>
      <c r="H24" s="26">
        <f t="shared" si="1"/>
        <v>3</v>
      </c>
      <c r="I24" s="26" t="s">
        <v>26</v>
      </c>
      <c r="J24" s="26">
        <f t="shared" si="2"/>
        <v>3</v>
      </c>
      <c r="K24" s="26" t="s">
        <v>27</v>
      </c>
      <c r="L24" s="26">
        <f t="shared" si="3"/>
        <v>1</v>
      </c>
      <c r="M24" s="26" t="s">
        <v>26</v>
      </c>
      <c r="N24" s="26">
        <f t="shared" si="4"/>
        <v>3</v>
      </c>
      <c r="O24" s="27" t="s">
        <v>26</v>
      </c>
      <c r="P24" s="26">
        <f t="shared" si="5"/>
        <v>3</v>
      </c>
      <c r="Q24" s="27" t="s">
        <v>26</v>
      </c>
      <c r="R24" s="26">
        <f t="shared" si="6"/>
        <v>3</v>
      </c>
      <c r="S24" s="28" t="s">
        <v>174</v>
      </c>
      <c r="T24" s="28" t="s">
        <v>175</v>
      </c>
      <c r="U24" s="28" t="s">
        <v>176</v>
      </c>
      <c r="V24" s="28" t="s">
        <v>177</v>
      </c>
      <c r="W24" s="28" t="s">
        <v>44</v>
      </c>
      <c r="X24" s="30" t="s">
        <v>178</v>
      </c>
      <c r="Y24" s="30" t="s">
        <v>179</v>
      </c>
      <c r="Z24" s="31">
        <v>3</v>
      </c>
      <c r="AA24" s="31">
        <v>3</v>
      </c>
      <c r="AB24" s="31">
        <v>3</v>
      </c>
      <c r="AC24" s="31">
        <v>3</v>
      </c>
      <c r="AD24" s="31">
        <v>3</v>
      </c>
      <c r="AE24" s="31">
        <v>3</v>
      </c>
      <c r="AF24" s="31">
        <v>3</v>
      </c>
    </row>
    <row r="25" spans="1:32" ht="288">
      <c r="A25" s="33"/>
      <c r="B25" s="41"/>
      <c r="C25" s="34" t="s">
        <v>180</v>
      </c>
      <c r="D25" s="25"/>
      <c r="E25" s="26" t="s">
        <v>26</v>
      </c>
      <c r="F25" s="26">
        <f t="shared" si="0"/>
        <v>3</v>
      </c>
      <c r="G25" s="26" t="s">
        <v>26</v>
      </c>
      <c r="H25" s="26">
        <f t="shared" si="1"/>
        <v>3</v>
      </c>
      <c r="I25" s="26" t="s">
        <v>26</v>
      </c>
      <c r="J25" s="26">
        <f t="shared" si="2"/>
        <v>3</v>
      </c>
      <c r="K25" s="26" t="s">
        <v>26</v>
      </c>
      <c r="L25" s="26">
        <f t="shared" si="3"/>
        <v>3</v>
      </c>
      <c r="M25" s="26" t="s">
        <v>26</v>
      </c>
      <c r="N25" s="26">
        <f t="shared" si="4"/>
        <v>3</v>
      </c>
      <c r="O25" s="27" t="s">
        <v>26</v>
      </c>
      <c r="P25" s="26">
        <f t="shared" si="5"/>
        <v>3</v>
      </c>
      <c r="Q25" s="27" t="s">
        <v>26</v>
      </c>
      <c r="R25" s="26">
        <f t="shared" si="6"/>
        <v>3</v>
      </c>
      <c r="S25" s="28" t="s">
        <v>181</v>
      </c>
      <c r="T25" s="28" t="s">
        <v>182</v>
      </c>
      <c r="U25" s="28" t="s">
        <v>183</v>
      </c>
      <c r="V25" s="28" t="s">
        <v>184</v>
      </c>
      <c r="W25" s="28" t="s">
        <v>44</v>
      </c>
      <c r="X25" s="30" t="s">
        <v>185</v>
      </c>
      <c r="Y25" s="30" t="s">
        <v>186</v>
      </c>
      <c r="Z25" s="31">
        <v>3</v>
      </c>
      <c r="AA25" s="31">
        <v>3</v>
      </c>
      <c r="AB25" s="31">
        <v>3</v>
      </c>
      <c r="AC25" s="31">
        <v>3</v>
      </c>
      <c r="AD25" s="31">
        <v>3</v>
      </c>
      <c r="AE25" s="31">
        <v>3</v>
      </c>
      <c r="AF25" s="31">
        <v>3</v>
      </c>
    </row>
    <row r="26" spans="1:32" ht="244.8">
      <c r="A26" s="33"/>
      <c r="B26" s="41"/>
      <c r="C26" s="34" t="s">
        <v>187</v>
      </c>
      <c r="D26" s="25"/>
      <c r="E26" s="26" t="s">
        <v>26</v>
      </c>
      <c r="F26" s="26">
        <f t="shared" si="0"/>
        <v>3</v>
      </c>
      <c r="G26" s="26" t="s">
        <v>26</v>
      </c>
      <c r="H26" s="26">
        <f t="shared" si="1"/>
        <v>3</v>
      </c>
      <c r="I26" s="26" t="s">
        <v>27</v>
      </c>
      <c r="J26" s="26">
        <f t="shared" si="2"/>
        <v>1</v>
      </c>
      <c r="K26" s="26" t="s">
        <v>27</v>
      </c>
      <c r="L26" s="26">
        <f t="shared" si="3"/>
        <v>1</v>
      </c>
      <c r="M26" s="26" t="s">
        <v>27</v>
      </c>
      <c r="N26" s="26">
        <f t="shared" si="4"/>
        <v>1</v>
      </c>
      <c r="O26" s="27" t="s">
        <v>26</v>
      </c>
      <c r="P26" s="26">
        <f t="shared" si="5"/>
        <v>3</v>
      </c>
      <c r="Q26" s="27" t="s">
        <v>26</v>
      </c>
      <c r="R26" s="26">
        <f t="shared" si="6"/>
        <v>3</v>
      </c>
      <c r="S26" s="28" t="s">
        <v>44</v>
      </c>
      <c r="T26" s="28" t="s">
        <v>188</v>
      </c>
      <c r="U26" s="28" t="s">
        <v>189</v>
      </c>
      <c r="V26" s="28" t="s">
        <v>190</v>
      </c>
      <c r="W26" s="28" t="s">
        <v>191</v>
      </c>
      <c r="X26" s="30" t="s">
        <v>192</v>
      </c>
      <c r="Y26" s="30" t="s">
        <v>193</v>
      </c>
      <c r="Z26" s="31">
        <v>3</v>
      </c>
      <c r="AA26" s="31">
        <v>3</v>
      </c>
      <c r="AB26" s="31">
        <v>3</v>
      </c>
      <c r="AC26" s="31">
        <v>3</v>
      </c>
      <c r="AD26" s="31">
        <v>3</v>
      </c>
      <c r="AE26" s="31">
        <v>3</v>
      </c>
      <c r="AF26" s="31">
        <v>3</v>
      </c>
    </row>
    <row r="27" spans="1:32" ht="172.8">
      <c r="A27" s="33"/>
      <c r="B27" s="41"/>
      <c r="C27" s="34" t="s">
        <v>194</v>
      </c>
      <c r="D27" s="25"/>
      <c r="E27" s="26" t="s">
        <v>26</v>
      </c>
      <c r="F27" s="26">
        <f t="shared" si="0"/>
        <v>3</v>
      </c>
      <c r="G27" s="26" t="s">
        <v>26</v>
      </c>
      <c r="H27" s="26">
        <f t="shared" si="1"/>
        <v>3</v>
      </c>
      <c r="I27" s="26" t="s">
        <v>70</v>
      </c>
      <c r="J27" s="26">
        <f t="shared" si="2"/>
        <v>0</v>
      </c>
      <c r="K27" s="26" t="s">
        <v>27</v>
      </c>
      <c r="L27" s="26">
        <f t="shared" si="3"/>
        <v>1</v>
      </c>
      <c r="M27" s="26" t="s">
        <v>70</v>
      </c>
      <c r="N27" s="26">
        <f t="shared" si="4"/>
        <v>0</v>
      </c>
      <c r="O27" s="27" t="s">
        <v>26</v>
      </c>
      <c r="P27" s="26">
        <f t="shared" si="5"/>
        <v>3</v>
      </c>
      <c r="Q27" s="27" t="s">
        <v>26</v>
      </c>
      <c r="R27" s="26">
        <f t="shared" si="6"/>
        <v>3</v>
      </c>
      <c r="S27" s="28" t="s">
        <v>44</v>
      </c>
      <c r="T27" s="28" t="s">
        <v>195</v>
      </c>
      <c r="U27" s="28" t="s">
        <v>196</v>
      </c>
      <c r="V27" s="28" t="s">
        <v>197</v>
      </c>
      <c r="W27" s="28" t="s">
        <v>198</v>
      </c>
      <c r="X27" s="30" t="s">
        <v>199</v>
      </c>
      <c r="Y27" s="30" t="s">
        <v>200</v>
      </c>
      <c r="Z27" s="31">
        <v>3</v>
      </c>
      <c r="AA27" s="31">
        <v>3</v>
      </c>
      <c r="AB27" s="31">
        <v>3</v>
      </c>
      <c r="AC27" s="31">
        <v>3</v>
      </c>
      <c r="AD27" s="31">
        <v>3</v>
      </c>
      <c r="AE27" s="31">
        <v>3</v>
      </c>
      <c r="AF27" s="31">
        <v>3</v>
      </c>
    </row>
    <row r="28" spans="1:32" ht="273.60000000000002">
      <c r="A28" s="33"/>
      <c r="B28" s="41"/>
      <c r="C28" s="34" t="s">
        <v>201</v>
      </c>
      <c r="D28" s="25"/>
      <c r="E28" s="26" t="s">
        <v>26</v>
      </c>
      <c r="F28" s="26">
        <f t="shared" si="0"/>
        <v>3</v>
      </c>
      <c r="G28" s="26" t="s">
        <v>26</v>
      </c>
      <c r="H28" s="26">
        <f t="shared" si="1"/>
        <v>3</v>
      </c>
      <c r="I28" s="26" t="s">
        <v>26</v>
      </c>
      <c r="J28" s="26">
        <f t="shared" si="2"/>
        <v>3</v>
      </c>
      <c r="K28" s="26" t="s">
        <v>70</v>
      </c>
      <c r="L28" s="26">
        <f t="shared" si="3"/>
        <v>0</v>
      </c>
      <c r="M28" s="26" t="s">
        <v>26</v>
      </c>
      <c r="N28" s="26">
        <f t="shared" si="4"/>
        <v>3</v>
      </c>
      <c r="O28" s="27" t="s">
        <v>26</v>
      </c>
      <c r="P28" s="26">
        <f t="shared" si="5"/>
        <v>3</v>
      </c>
      <c r="Q28" s="27" t="s">
        <v>26</v>
      </c>
      <c r="R28" s="26">
        <f t="shared" si="6"/>
        <v>3</v>
      </c>
      <c r="S28" s="28" t="s">
        <v>44</v>
      </c>
      <c r="T28" s="28" t="s">
        <v>202</v>
      </c>
      <c r="U28" s="28" t="s">
        <v>203</v>
      </c>
      <c r="V28" s="28" t="s">
        <v>204</v>
      </c>
      <c r="W28" s="28" t="s">
        <v>44</v>
      </c>
      <c r="X28" s="30" t="s">
        <v>205</v>
      </c>
      <c r="Y28" s="30" t="s">
        <v>206</v>
      </c>
      <c r="Z28" s="31">
        <v>3</v>
      </c>
      <c r="AA28" s="31">
        <v>3</v>
      </c>
      <c r="AB28" s="31">
        <v>3</v>
      </c>
      <c r="AC28" s="31">
        <v>3</v>
      </c>
      <c r="AD28" s="31">
        <v>3</v>
      </c>
      <c r="AE28" s="31">
        <v>3</v>
      </c>
      <c r="AF28" s="31">
        <v>3</v>
      </c>
    </row>
    <row r="29" spans="1:32" ht="303" thickBot="1">
      <c r="A29" s="37"/>
      <c r="B29" s="42"/>
      <c r="C29" s="43" t="s">
        <v>207</v>
      </c>
      <c r="D29" s="25"/>
      <c r="E29" s="26" t="s">
        <v>26</v>
      </c>
      <c r="F29" s="26">
        <f t="shared" si="0"/>
        <v>3</v>
      </c>
      <c r="G29" s="26" t="s">
        <v>26</v>
      </c>
      <c r="H29" s="26">
        <f t="shared" si="1"/>
        <v>3</v>
      </c>
      <c r="I29" s="26" t="s">
        <v>26</v>
      </c>
      <c r="J29" s="26">
        <f t="shared" si="2"/>
        <v>3</v>
      </c>
      <c r="K29" s="26" t="s">
        <v>27</v>
      </c>
      <c r="L29" s="26">
        <f t="shared" si="3"/>
        <v>1</v>
      </c>
      <c r="M29" s="26" t="s">
        <v>26</v>
      </c>
      <c r="N29" s="26">
        <f t="shared" si="4"/>
        <v>3</v>
      </c>
      <c r="O29" s="27" t="s">
        <v>26</v>
      </c>
      <c r="P29" s="26">
        <f t="shared" si="5"/>
        <v>3</v>
      </c>
      <c r="Q29" s="27" t="s">
        <v>26</v>
      </c>
      <c r="R29" s="26">
        <f t="shared" si="6"/>
        <v>3</v>
      </c>
      <c r="S29" s="28" t="s">
        <v>44</v>
      </c>
      <c r="T29" s="28" t="s">
        <v>208</v>
      </c>
      <c r="U29" s="28" t="s">
        <v>209</v>
      </c>
      <c r="V29" s="28" t="s">
        <v>210</v>
      </c>
      <c r="W29" s="28" t="s">
        <v>44</v>
      </c>
      <c r="X29" s="30" t="s">
        <v>211</v>
      </c>
      <c r="Y29" s="30" t="s">
        <v>212</v>
      </c>
      <c r="Z29" s="31">
        <v>3</v>
      </c>
      <c r="AA29" s="31">
        <v>3</v>
      </c>
      <c r="AB29" s="31">
        <v>3</v>
      </c>
      <c r="AC29" s="31">
        <v>3</v>
      </c>
      <c r="AD29" s="31">
        <v>3</v>
      </c>
      <c r="AE29" s="31">
        <v>3</v>
      </c>
      <c r="AF29" s="31">
        <v>3</v>
      </c>
    </row>
    <row r="30" spans="1:32" ht="374.4">
      <c r="A30" s="39">
        <v>4</v>
      </c>
      <c r="B30" s="40" t="s">
        <v>213</v>
      </c>
      <c r="C30" s="24" t="s">
        <v>214</v>
      </c>
      <c r="D30" s="25">
        <v>0.12</v>
      </c>
      <c r="E30" s="26" t="s">
        <v>26</v>
      </c>
      <c r="F30" s="26">
        <f t="shared" si="0"/>
        <v>3</v>
      </c>
      <c r="G30" s="26" t="s">
        <v>26</v>
      </c>
      <c r="H30" s="26">
        <f t="shared" si="1"/>
        <v>3</v>
      </c>
      <c r="I30" s="26" t="s">
        <v>26</v>
      </c>
      <c r="J30" s="26">
        <f t="shared" si="2"/>
        <v>3</v>
      </c>
      <c r="K30" s="26" t="s">
        <v>26</v>
      </c>
      <c r="L30" s="26">
        <f t="shared" si="3"/>
        <v>3</v>
      </c>
      <c r="M30" s="26" t="s">
        <v>26</v>
      </c>
      <c r="N30" s="26">
        <f t="shared" si="4"/>
        <v>3</v>
      </c>
      <c r="O30" s="27" t="s">
        <v>26</v>
      </c>
      <c r="P30" s="26">
        <f t="shared" si="5"/>
        <v>3</v>
      </c>
      <c r="Q30" s="27" t="s">
        <v>26</v>
      </c>
      <c r="R30" s="26">
        <f t="shared" si="6"/>
        <v>3</v>
      </c>
      <c r="S30" s="28" t="s">
        <v>44</v>
      </c>
      <c r="T30" s="28" t="s">
        <v>215</v>
      </c>
      <c r="U30" s="28" t="s">
        <v>216</v>
      </c>
      <c r="V30" s="28" t="s">
        <v>217</v>
      </c>
      <c r="W30" s="28" t="s">
        <v>44</v>
      </c>
      <c r="X30" s="30" t="s">
        <v>218</v>
      </c>
      <c r="Y30" s="30" t="s">
        <v>219</v>
      </c>
      <c r="Z30" s="31">
        <f>AVERAGE(F30:F37)*$D30/3</f>
        <v>0.10999999999999999</v>
      </c>
      <c r="AA30" s="31">
        <f>AVERAGE(H30:H37)*$D30/3</f>
        <v>4.9999999999999996E-2</v>
      </c>
      <c r="AB30" s="31">
        <f>AVERAGE(J30:J37)*$D30/3</f>
        <v>0.06</v>
      </c>
      <c r="AC30" s="31">
        <f>AVERAGE(L30:L37)*$D30/3</f>
        <v>9.4999999999999987E-2</v>
      </c>
      <c r="AD30" s="31">
        <f>AVERAGE(N30:N37)*$D30/3</f>
        <v>0.06</v>
      </c>
      <c r="AE30" s="31">
        <f>AVERAGE(P30:P37)*$D30/3</f>
        <v>0.12</v>
      </c>
      <c r="AF30" s="31">
        <f>AVERAGE(R30:R37)*$D30/3</f>
        <v>0.12</v>
      </c>
    </row>
    <row r="31" spans="1:32" ht="259.2">
      <c r="A31" s="33"/>
      <c r="B31" s="41"/>
      <c r="C31" s="34" t="s">
        <v>220</v>
      </c>
      <c r="D31" s="25"/>
      <c r="E31" s="26" t="s">
        <v>26</v>
      </c>
      <c r="F31" s="26">
        <f t="shared" si="0"/>
        <v>3</v>
      </c>
      <c r="G31" s="26" t="s">
        <v>27</v>
      </c>
      <c r="H31" s="26">
        <f t="shared" si="1"/>
        <v>1</v>
      </c>
      <c r="I31" s="26" t="s">
        <v>26</v>
      </c>
      <c r="J31" s="26">
        <f t="shared" si="2"/>
        <v>3</v>
      </c>
      <c r="K31" s="26" t="s">
        <v>26</v>
      </c>
      <c r="L31" s="26">
        <f t="shared" si="3"/>
        <v>3</v>
      </c>
      <c r="M31" s="26" t="s">
        <v>26</v>
      </c>
      <c r="N31" s="26">
        <f t="shared" si="4"/>
        <v>3</v>
      </c>
      <c r="O31" s="27" t="s">
        <v>26</v>
      </c>
      <c r="P31" s="26">
        <f t="shared" si="5"/>
        <v>3</v>
      </c>
      <c r="Q31" s="27" t="s">
        <v>26</v>
      </c>
      <c r="R31" s="26">
        <f t="shared" si="6"/>
        <v>3</v>
      </c>
      <c r="S31" s="28" t="s">
        <v>44</v>
      </c>
      <c r="T31" s="28" t="s">
        <v>221</v>
      </c>
      <c r="U31" s="28" t="s">
        <v>222</v>
      </c>
      <c r="V31" s="28" t="s">
        <v>223</v>
      </c>
      <c r="W31" s="28" t="s">
        <v>44</v>
      </c>
      <c r="X31" s="30" t="s">
        <v>224</v>
      </c>
      <c r="Y31" s="30" t="s">
        <v>225</v>
      </c>
      <c r="Z31" s="31">
        <v>3</v>
      </c>
      <c r="AA31" s="31">
        <v>3</v>
      </c>
      <c r="AB31" s="31">
        <v>3</v>
      </c>
      <c r="AC31" s="31">
        <v>3</v>
      </c>
      <c r="AD31" s="31">
        <v>3</v>
      </c>
      <c r="AE31" s="31">
        <v>3</v>
      </c>
      <c r="AF31" s="31">
        <v>3</v>
      </c>
    </row>
    <row r="32" spans="1:32" ht="230.4">
      <c r="A32" s="33"/>
      <c r="B32" s="41"/>
      <c r="C32" s="34" t="s">
        <v>226</v>
      </c>
      <c r="D32" s="25"/>
      <c r="E32" s="26" t="s">
        <v>26</v>
      </c>
      <c r="F32" s="26">
        <f t="shared" si="0"/>
        <v>3</v>
      </c>
      <c r="G32" s="26" t="s">
        <v>27</v>
      </c>
      <c r="H32" s="26">
        <f t="shared" si="1"/>
        <v>1</v>
      </c>
      <c r="I32" s="26" t="s">
        <v>26</v>
      </c>
      <c r="J32" s="26">
        <f t="shared" si="2"/>
        <v>3</v>
      </c>
      <c r="K32" s="26" t="s">
        <v>26</v>
      </c>
      <c r="L32" s="26">
        <f t="shared" si="3"/>
        <v>3</v>
      </c>
      <c r="M32" s="26" t="s">
        <v>26</v>
      </c>
      <c r="N32" s="26">
        <f t="shared" si="4"/>
        <v>3</v>
      </c>
      <c r="O32" s="27" t="s">
        <v>26</v>
      </c>
      <c r="P32" s="26">
        <f t="shared" si="5"/>
        <v>3</v>
      </c>
      <c r="Q32" s="27" t="s">
        <v>26</v>
      </c>
      <c r="R32" s="26">
        <f t="shared" si="6"/>
        <v>3</v>
      </c>
      <c r="S32" s="28" t="s">
        <v>44</v>
      </c>
      <c r="T32" s="28" t="s">
        <v>227</v>
      </c>
      <c r="U32" s="28" t="s">
        <v>228</v>
      </c>
      <c r="V32" s="28" t="s">
        <v>229</v>
      </c>
      <c r="W32" s="28" t="s">
        <v>44</v>
      </c>
      <c r="X32" s="30" t="s">
        <v>230</v>
      </c>
      <c r="Y32" s="30" t="s">
        <v>231</v>
      </c>
      <c r="Z32" s="31">
        <v>3</v>
      </c>
      <c r="AA32" s="31">
        <v>3</v>
      </c>
      <c r="AB32" s="31">
        <v>3</v>
      </c>
      <c r="AC32" s="31">
        <v>3</v>
      </c>
      <c r="AD32" s="31">
        <v>3</v>
      </c>
      <c r="AE32" s="31">
        <v>3</v>
      </c>
      <c r="AF32" s="31">
        <v>3</v>
      </c>
    </row>
    <row r="33" spans="1:32" ht="302.39999999999998">
      <c r="A33" s="33"/>
      <c r="B33" s="41"/>
      <c r="C33" s="34" t="s">
        <v>232</v>
      </c>
      <c r="D33" s="25"/>
      <c r="E33" s="26" t="s">
        <v>26</v>
      </c>
      <c r="F33" s="26">
        <f t="shared" si="0"/>
        <v>3</v>
      </c>
      <c r="G33" s="26" t="s">
        <v>70</v>
      </c>
      <c r="H33" s="26">
        <f t="shared" si="1"/>
        <v>0</v>
      </c>
      <c r="I33" s="26" t="s">
        <v>27</v>
      </c>
      <c r="J33" s="26">
        <f t="shared" si="2"/>
        <v>1</v>
      </c>
      <c r="K33" s="26" t="s">
        <v>27</v>
      </c>
      <c r="L33" s="26">
        <f t="shared" si="3"/>
        <v>1</v>
      </c>
      <c r="M33" s="26" t="s">
        <v>27</v>
      </c>
      <c r="N33" s="26">
        <f t="shared" si="4"/>
        <v>1</v>
      </c>
      <c r="O33" s="27" t="s">
        <v>26</v>
      </c>
      <c r="P33" s="26">
        <f t="shared" si="5"/>
        <v>3</v>
      </c>
      <c r="Q33" s="27" t="s">
        <v>26</v>
      </c>
      <c r="R33" s="26">
        <f t="shared" si="6"/>
        <v>3</v>
      </c>
      <c r="S33" s="28" t="s">
        <v>44</v>
      </c>
      <c r="T33" s="28" t="s">
        <v>233</v>
      </c>
      <c r="U33" s="28" t="s">
        <v>234</v>
      </c>
      <c r="V33" s="28" t="s">
        <v>235</v>
      </c>
      <c r="W33" s="28" t="s">
        <v>143</v>
      </c>
      <c r="X33" s="30" t="s">
        <v>236</v>
      </c>
      <c r="Y33" s="30" t="s">
        <v>237</v>
      </c>
      <c r="Z33" s="31">
        <v>3</v>
      </c>
      <c r="AA33" s="31">
        <v>3</v>
      </c>
      <c r="AB33" s="31">
        <v>3</v>
      </c>
      <c r="AC33" s="31">
        <v>3</v>
      </c>
      <c r="AD33" s="31">
        <v>3</v>
      </c>
      <c r="AE33" s="31">
        <v>3</v>
      </c>
      <c r="AF33" s="31">
        <v>3</v>
      </c>
    </row>
    <row r="34" spans="1:32" ht="230.4">
      <c r="A34" s="33"/>
      <c r="B34" s="41"/>
      <c r="C34" s="34" t="s">
        <v>238</v>
      </c>
      <c r="D34" s="25"/>
      <c r="E34" s="26" t="s">
        <v>26</v>
      </c>
      <c r="F34" s="26">
        <f t="shared" si="0"/>
        <v>3</v>
      </c>
      <c r="G34" s="26" t="s">
        <v>27</v>
      </c>
      <c r="H34" s="26">
        <f t="shared" si="1"/>
        <v>1</v>
      </c>
      <c r="I34" s="26" t="s">
        <v>70</v>
      </c>
      <c r="J34" s="26">
        <f t="shared" si="2"/>
        <v>0</v>
      </c>
      <c r="K34" s="26" t="s">
        <v>26</v>
      </c>
      <c r="L34" s="26">
        <f t="shared" si="3"/>
        <v>3</v>
      </c>
      <c r="M34" s="26" t="s">
        <v>70</v>
      </c>
      <c r="N34" s="26">
        <f t="shared" si="4"/>
        <v>0</v>
      </c>
      <c r="O34" s="27" t="s">
        <v>26</v>
      </c>
      <c r="P34" s="26">
        <f t="shared" si="5"/>
        <v>3</v>
      </c>
      <c r="Q34" s="27" t="s">
        <v>26</v>
      </c>
      <c r="R34" s="26">
        <f t="shared" si="6"/>
        <v>3</v>
      </c>
      <c r="S34" s="28" t="s">
        <v>44</v>
      </c>
      <c r="T34" s="28" t="s">
        <v>239</v>
      </c>
      <c r="U34" s="28" t="s">
        <v>240</v>
      </c>
      <c r="V34" s="28" t="s">
        <v>241</v>
      </c>
      <c r="W34" s="28" t="s">
        <v>198</v>
      </c>
      <c r="X34" s="30" t="s">
        <v>242</v>
      </c>
      <c r="Y34" s="30" t="s">
        <v>243</v>
      </c>
      <c r="Z34" s="31">
        <v>3</v>
      </c>
      <c r="AA34" s="31">
        <v>3</v>
      </c>
      <c r="AB34" s="31">
        <v>3</v>
      </c>
      <c r="AC34" s="31">
        <v>3</v>
      </c>
      <c r="AD34" s="31">
        <v>3</v>
      </c>
      <c r="AE34" s="31">
        <v>3</v>
      </c>
      <c r="AF34" s="31">
        <v>3</v>
      </c>
    </row>
    <row r="35" spans="1:32" ht="288">
      <c r="A35" s="33"/>
      <c r="B35" s="41"/>
      <c r="C35" s="34" t="s">
        <v>244</v>
      </c>
      <c r="D35" s="25"/>
      <c r="E35" s="26" t="s">
        <v>26</v>
      </c>
      <c r="F35" s="26">
        <f t="shared" si="0"/>
        <v>3</v>
      </c>
      <c r="G35" s="26" t="s">
        <v>70</v>
      </c>
      <c r="H35" s="26">
        <f t="shared" si="1"/>
        <v>0</v>
      </c>
      <c r="I35" s="26" t="s">
        <v>27</v>
      </c>
      <c r="J35" s="26">
        <f t="shared" si="2"/>
        <v>1</v>
      </c>
      <c r="K35" s="26" t="s">
        <v>26</v>
      </c>
      <c r="L35" s="26">
        <f t="shared" si="3"/>
        <v>3</v>
      </c>
      <c r="M35" s="26" t="s">
        <v>27</v>
      </c>
      <c r="N35" s="26">
        <f t="shared" si="4"/>
        <v>1</v>
      </c>
      <c r="O35" s="27" t="s">
        <v>26</v>
      </c>
      <c r="P35" s="26">
        <f t="shared" si="5"/>
        <v>3</v>
      </c>
      <c r="Q35" s="27" t="s">
        <v>26</v>
      </c>
      <c r="R35" s="26">
        <f t="shared" si="6"/>
        <v>3</v>
      </c>
      <c r="S35" s="28" t="s">
        <v>44</v>
      </c>
      <c r="T35" s="28" t="s">
        <v>245</v>
      </c>
      <c r="U35" s="28" t="s">
        <v>246</v>
      </c>
      <c r="V35" s="28" t="s">
        <v>247</v>
      </c>
      <c r="W35" s="28" t="s">
        <v>143</v>
      </c>
      <c r="X35" s="30" t="s">
        <v>248</v>
      </c>
      <c r="Y35" s="30" t="s">
        <v>249</v>
      </c>
      <c r="Z35" s="31">
        <v>3</v>
      </c>
      <c r="AA35" s="31">
        <v>3</v>
      </c>
      <c r="AB35" s="31">
        <v>3</v>
      </c>
      <c r="AC35" s="31">
        <v>3</v>
      </c>
      <c r="AD35" s="31">
        <v>3</v>
      </c>
      <c r="AE35" s="31">
        <v>3</v>
      </c>
      <c r="AF35" s="31">
        <v>3</v>
      </c>
    </row>
    <row r="36" spans="1:32" ht="273.60000000000002">
      <c r="A36" s="33"/>
      <c r="B36" s="41"/>
      <c r="C36" s="34" t="s">
        <v>250</v>
      </c>
      <c r="D36" s="25"/>
      <c r="E36" s="26" t="s">
        <v>27</v>
      </c>
      <c r="F36" s="26">
        <f t="shared" si="0"/>
        <v>1</v>
      </c>
      <c r="G36" s="26" t="s">
        <v>27</v>
      </c>
      <c r="H36" s="26">
        <f t="shared" si="1"/>
        <v>1</v>
      </c>
      <c r="I36" s="26" t="s">
        <v>70</v>
      </c>
      <c r="J36" s="26">
        <f t="shared" si="2"/>
        <v>0</v>
      </c>
      <c r="K36" s="26" t="s">
        <v>70</v>
      </c>
      <c r="L36" s="26">
        <f t="shared" si="3"/>
        <v>0</v>
      </c>
      <c r="M36" s="26" t="s">
        <v>70</v>
      </c>
      <c r="N36" s="26">
        <f t="shared" si="4"/>
        <v>0</v>
      </c>
      <c r="O36" s="27" t="s">
        <v>26</v>
      </c>
      <c r="P36" s="26">
        <f t="shared" si="5"/>
        <v>3</v>
      </c>
      <c r="Q36" s="27" t="s">
        <v>26</v>
      </c>
      <c r="R36" s="26">
        <f t="shared" si="6"/>
        <v>3</v>
      </c>
      <c r="S36" s="28" t="s">
        <v>251</v>
      </c>
      <c r="T36" s="28" t="s">
        <v>252</v>
      </c>
      <c r="U36" s="28" t="s">
        <v>253</v>
      </c>
      <c r="V36" s="28" t="s">
        <v>254</v>
      </c>
      <c r="W36" s="28" t="s">
        <v>255</v>
      </c>
      <c r="X36" s="30" t="s">
        <v>256</v>
      </c>
      <c r="Y36" s="30" t="s">
        <v>257</v>
      </c>
      <c r="Z36" s="31">
        <v>3</v>
      </c>
      <c r="AA36" s="31">
        <v>3</v>
      </c>
      <c r="AB36" s="31">
        <v>3</v>
      </c>
      <c r="AC36" s="31">
        <v>3</v>
      </c>
      <c r="AD36" s="31">
        <v>3</v>
      </c>
      <c r="AE36" s="31">
        <v>3</v>
      </c>
      <c r="AF36" s="31">
        <v>3</v>
      </c>
    </row>
    <row r="37" spans="1:32" ht="202.2" thickBot="1">
      <c r="A37" s="37"/>
      <c r="B37" s="42"/>
      <c r="C37" s="43" t="s">
        <v>258</v>
      </c>
      <c r="D37" s="25"/>
      <c r="E37" s="26" t="s">
        <v>26</v>
      </c>
      <c r="F37" s="26">
        <f t="shared" si="0"/>
        <v>3</v>
      </c>
      <c r="G37" s="26" t="s">
        <v>26</v>
      </c>
      <c r="H37" s="26">
        <f t="shared" si="1"/>
        <v>3</v>
      </c>
      <c r="I37" s="26" t="s">
        <v>27</v>
      </c>
      <c r="J37" s="26">
        <f t="shared" si="2"/>
        <v>1</v>
      </c>
      <c r="K37" s="26" t="s">
        <v>26</v>
      </c>
      <c r="L37" s="26">
        <f t="shared" si="3"/>
        <v>3</v>
      </c>
      <c r="M37" s="26" t="s">
        <v>27</v>
      </c>
      <c r="N37" s="26">
        <f t="shared" si="4"/>
        <v>1</v>
      </c>
      <c r="O37" s="27" t="s">
        <v>26</v>
      </c>
      <c r="P37" s="26">
        <f t="shared" si="5"/>
        <v>3</v>
      </c>
      <c r="Q37" s="27" t="s">
        <v>26</v>
      </c>
      <c r="R37" s="26">
        <f t="shared" si="6"/>
        <v>3</v>
      </c>
      <c r="S37" s="28" t="s">
        <v>44</v>
      </c>
      <c r="T37" s="28" t="s">
        <v>259</v>
      </c>
      <c r="U37" s="28" t="s">
        <v>260</v>
      </c>
      <c r="V37" s="28" t="s">
        <v>261</v>
      </c>
      <c r="W37" s="28" t="s">
        <v>117</v>
      </c>
      <c r="X37" s="30" t="s">
        <v>262</v>
      </c>
      <c r="Y37" s="30" t="s">
        <v>263</v>
      </c>
      <c r="Z37" s="31">
        <v>1</v>
      </c>
      <c r="AA37" s="31">
        <v>1</v>
      </c>
      <c r="AB37" s="31">
        <v>1</v>
      </c>
      <c r="AC37" s="31">
        <v>1</v>
      </c>
      <c r="AD37" s="31">
        <v>1</v>
      </c>
      <c r="AE37" s="31">
        <v>1</v>
      </c>
      <c r="AF37" s="31">
        <v>1</v>
      </c>
    </row>
    <row r="38" spans="1:32" ht="230.4">
      <c r="A38" s="39">
        <v>5</v>
      </c>
      <c r="B38" s="40" t="s">
        <v>264</v>
      </c>
      <c r="C38" s="24" t="s">
        <v>265</v>
      </c>
      <c r="D38" s="25">
        <v>0.12</v>
      </c>
      <c r="E38" s="26" t="s">
        <v>26</v>
      </c>
      <c r="F38" s="26">
        <f t="shared" si="0"/>
        <v>3</v>
      </c>
      <c r="G38" s="26" t="s">
        <v>26</v>
      </c>
      <c r="H38" s="26">
        <f t="shared" si="1"/>
        <v>3</v>
      </c>
      <c r="I38" s="45" t="s">
        <v>26</v>
      </c>
      <c r="J38" s="26">
        <f t="shared" si="2"/>
        <v>3</v>
      </c>
      <c r="K38" s="26" t="s">
        <v>26</v>
      </c>
      <c r="L38" s="26">
        <f t="shared" si="3"/>
        <v>3</v>
      </c>
      <c r="M38" s="26" t="s">
        <v>26</v>
      </c>
      <c r="N38" s="26">
        <f t="shared" si="4"/>
        <v>3</v>
      </c>
      <c r="O38" s="27" t="s">
        <v>26</v>
      </c>
      <c r="P38" s="26">
        <f t="shared" si="5"/>
        <v>3</v>
      </c>
      <c r="Q38" s="27" t="s">
        <v>26</v>
      </c>
      <c r="R38" s="26">
        <f t="shared" si="6"/>
        <v>3</v>
      </c>
      <c r="S38" s="28" t="s">
        <v>44</v>
      </c>
      <c r="T38" s="28" t="s">
        <v>266</v>
      </c>
      <c r="U38" s="28" t="s">
        <v>267</v>
      </c>
      <c r="V38" s="28" t="s">
        <v>268</v>
      </c>
      <c r="W38" s="28" t="s">
        <v>44</v>
      </c>
      <c r="X38" s="30" t="s">
        <v>269</v>
      </c>
      <c r="Y38" s="30" t="s">
        <v>270</v>
      </c>
      <c r="Z38" s="31">
        <f>AVERAGE(F38:F44)*$D38/3</f>
        <v>0.12</v>
      </c>
      <c r="AA38" s="31">
        <f>AVERAGE(H38:H44)*$D38/3</f>
        <v>0.12</v>
      </c>
      <c r="AB38" s="31">
        <f>AVERAGE(J38:J44)*$D38/3</f>
        <v>0.10857142857142858</v>
      </c>
      <c r="AC38" s="31">
        <f>AVERAGE(L38:L44)*$D38/3</f>
        <v>9.7142857142857128E-2</v>
      </c>
      <c r="AD38" s="31">
        <f>AVERAGE(N38:N44)*$D38/3</f>
        <v>0.10857142857142858</v>
      </c>
      <c r="AE38" s="31">
        <f>AVERAGE(P38:P44)*$D38/3</f>
        <v>0.10857142857142858</v>
      </c>
      <c r="AF38" s="31">
        <f>AVERAGE(R38:R44)*$D38/3</f>
        <v>0.12</v>
      </c>
    </row>
    <row r="39" spans="1:32" ht="201.6">
      <c r="A39" s="33"/>
      <c r="B39" s="41"/>
      <c r="C39" s="34" t="s">
        <v>271</v>
      </c>
      <c r="D39" s="25"/>
      <c r="E39" s="26" t="s">
        <v>26</v>
      </c>
      <c r="F39" s="26">
        <f t="shared" si="0"/>
        <v>3</v>
      </c>
      <c r="G39" s="26" t="s">
        <v>26</v>
      </c>
      <c r="H39" s="26">
        <f t="shared" si="1"/>
        <v>3</v>
      </c>
      <c r="I39" s="45" t="s">
        <v>26</v>
      </c>
      <c r="J39" s="26">
        <f t="shared" si="2"/>
        <v>3</v>
      </c>
      <c r="K39" s="26" t="s">
        <v>26</v>
      </c>
      <c r="L39" s="26">
        <f t="shared" si="3"/>
        <v>3</v>
      </c>
      <c r="M39" s="26" t="s">
        <v>26</v>
      </c>
      <c r="N39" s="26">
        <f t="shared" si="4"/>
        <v>3</v>
      </c>
      <c r="O39" s="27" t="s">
        <v>26</v>
      </c>
      <c r="P39" s="26">
        <f t="shared" si="5"/>
        <v>3</v>
      </c>
      <c r="Q39" s="27" t="s">
        <v>26</v>
      </c>
      <c r="R39" s="26">
        <f t="shared" si="6"/>
        <v>3</v>
      </c>
      <c r="S39" s="28" t="s">
        <v>44</v>
      </c>
      <c r="T39" s="28" t="s">
        <v>272</v>
      </c>
      <c r="U39" s="28" t="s">
        <v>273</v>
      </c>
      <c r="V39" s="28" t="s">
        <v>274</v>
      </c>
      <c r="W39" s="28" t="s">
        <v>44</v>
      </c>
      <c r="X39" s="30" t="s">
        <v>275</v>
      </c>
      <c r="Y39" s="30" t="s">
        <v>276</v>
      </c>
      <c r="Z39" s="31">
        <v>3</v>
      </c>
      <c r="AA39" s="31">
        <v>3</v>
      </c>
      <c r="AB39" s="31">
        <v>3</v>
      </c>
      <c r="AC39" s="31">
        <v>3</v>
      </c>
      <c r="AD39" s="31">
        <v>3</v>
      </c>
      <c r="AE39" s="31">
        <v>3</v>
      </c>
      <c r="AF39" s="31">
        <v>3</v>
      </c>
    </row>
    <row r="40" spans="1:32" ht="201.6">
      <c r="A40" s="33"/>
      <c r="B40" s="41"/>
      <c r="C40" s="34" t="s">
        <v>277</v>
      </c>
      <c r="D40" s="25"/>
      <c r="E40" s="26" t="s">
        <v>26</v>
      </c>
      <c r="F40" s="26">
        <f t="shared" si="0"/>
        <v>3</v>
      </c>
      <c r="G40" s="26" t="s">
        <v>26</v>
      </c>
      <c r="H40" s="26">
        <f t="shared" si="1"/>
        <v>3</v>
      </c>
      <c r="I40" s="45" t="s">
        <v>26</v>
      </c>
      <c r="J40" s="26">
        <f t="shared" si="2"/>
        <v>3</v>
      </c>
      <c r="K40" s="26" t="s">
        <v>26</v>
      </c>
      <c r="L40" s="26">
        <f t="shared" si="3"/>
        <v>3</v>
      </c>
      <c r="M40" s="26" t="s">
        <v>26</v>
      </c>
      <c r="N40" s="26">
        <f t="shared" si="4"/>
        <v>3</v>
      </c>
      <c r="O40" s="27" t="s">
        <v>27</v>
      </c>
      <c r="P40" s="26">
        <f t="shared" si="5"/>
        <v>1</v>
      </c>
      <c r="Q40" s="27" t="s">
        <v>26</v>
      </c>
      <c r="R40" s="26">
        <f t="shared" si="6"/>
        <v>3</v>
      </c>
      <c r="S40" s="28" t="s">
        <v>44</v>
      </c>
      <c r="T40" s="28" t="s">
        <v>278</v>
      </c>
      <c r="U40" s="28" t="s">
        <v>279</v>
      </c>
      <c r="V40" s="28" t="s">
        <v>280</v>
      </c>
      <c r="W40" s="28" t="s">
        <v>44</v>
      </c>
      <c r="X40" s="30" t="s">
        <v>281</v>
      </c>
      <c r="Y40" s="30" t="s">
        <v>282</v>
      </c>
      <c r="Z40" s="31">
        <v>3</v>
      </c>
      <c r="AA40" s="31">
        <v>3</v>
      </c>
      <c r="AB40" s="31">
        <v>3</v>
      </c>
      <c r="AC40" s="31">
        <v>3</v>
      </c>
      <c r="AD40" s="31">
        <v>3</v>
      </c>
      <c r="AE40" s="31">
        <v>3</v>
      </c>
      <c r="AF40" s="31">
        <v>3</v>
      </c>
    </row>
    <row r="41" spans="1:32" ht="244.8">
      <c r="A41" s="33"/>
      <c r="B41" s="41"/>
      <c r="C41" s="34" t="s">
        <v>283</v>
      </c>
      <c r="D41" s="25"/>
      <c r="E41" s="26" t="s">
        <v>26</v>
      </c>
      <c r="F41" s="26">
        <f t="shared" si="0"/>
        <v>3</v>
      </c>
      <c r="G41" s="26" t="s">
        <v>26</v>
      </c>
      <c r="H41" s="26">
        <f t="shared" si="1"/>
        <v>3</v>
      </c>
      <c r="I41" s="45" t="s">
        <v>27</v>
      </c>
      <c r="J41" s="26">
        <f t="shared" si="2"/>
        <v>1</v>
      </c>
      <c r="K41" s="26" t="s">
        <v>26</v>
      </c>
      <c r="L41" s="26">
        <f t="shared" si="3"/>
        <v>3</v>
      </c>
      <c r="M41" s="26" t="s">
        <v>27</v>
      </c>
      <c r="N41" s="26">
        <f t="shared" si="4"/>
        <v>1</v>
      </c>
      <c r="O41" s="27" t="s">
        <v>26</v>
      </c>
      <c r="P41" s="26">
        <f t="shared" si="5"/>
        <v>3</v>
      </c>
      <c r="Q41" s="27" t="s">
        <v>26</v>
      </c>
      <c r="R41" s="26">
        <f t="shared" si="6"/>
        <v>3</v>
      </c>
      <c r="S41" s="28" t="s">
        <v>44</v>
      </c>
      <c r="T41" s="28" t="s">
        <v>284</v>
      </c>
      <c r="U41" s="28" t="s">
        <v>285</v>
      </c>
      <c r="V41" s="28" t="s">
        <v>286</v>
      </c>
      <c r="W41" s="28" t="s">
        <v>143</v>
      </c>
      <c r="X41" s="30" t="s">
        <v>287</v>
      </c>
      <c r="Y41" s="46" t="s">
        <v>288</v>
      </c>
      <c r="Z41" s="31">
        <v>3</v>
      </c>
      <c r="AA41" s="31">
        <v>3</v>
      </c>
      <c r="AB41" s="31">
        <v>3</v>
      </c>
      <c r="AC41" s="31">
        <v>3</v>
      </c>
      <c r="AD41" s="31">
        <v>3</v>
      </c>
      <c r="AE41" s="31">
        <v>3</v>
      </c>
      <c r="AF41" s="31">
        <v>3</v>
      </c>
    </row>
    <row r="42" spans="1:32" ht="259.2">
      <c r="A42" s="33"/>
      <c r="B42" s="41"/>
      <c r="C42" s="34" t="s">
        <v>289</v>
      </c>
      <c r="D42" s="25"/>
      <c r="E42" s="26" t="s">
        <v>26</v>
      </c>
      <c r="F42" s="26">
        <f t="shared" si="0"/>
        <v>3</v>
      </c>
      <c r="G42" s="26" t="s">
        <v>26</v>
      </c>
      <c r="H42" s="26">
        <f t="shared" si="1"/>
        <v>3</v>
      </c>
      <c r="I42" s="45" t="s">
        <v>26</v>
      </c>
      <c r="J42" s="26">
        <f t="shared" si="2"/>
        <v>3</v>
      </c>
      <c r="K42" s="26" t="s">
        <v>26</v>
      </c>
      <c r="L42" s="26">
        <f t="shared" si="3"/>
        <v>3</v>
      </c>
      <c r="M42" s="26" t="s">
        <v>26</v>
      </c>
      <c r="N42" s="26">
        <f t="shared" si="4"/>
        <v>3</v>
      </c>
      <c r="O42" s="27" t="s">
        <v>26</v>
      </c>
      <c r="P42" s="26">
        <f t="shared" si="5"/>
        <v>3</v>
      </c>
      <c r="Q42" s="27" t="s">
        <v>26</v>
      </c>
      <c r="R42" s="26">
        <f t="shared" si="6"/>
        <v>3</v>
      </c>
      <c r="S42" s="28" t="s">
        <v>44</v>
      </c>
      <c r="T42" s="28" t="s">
        <v>290</v>
      </c>
      <c r="U42" s="28" t="s">
        <v>291</v>
      </c>
      <c r="V42" s="28" t="s">
        <v>292</v>
      </c>
      <c r="W42" s="28" t="s">
        <v>44</v>
      </c>
      <c r="X42" s="30" t="s">
        <v>293</v>
      </c>
      <c r="Y42" s="46" t="s">
        <v>294</v>
      </c>
      <c r="Z42" s="31">
        <v>3</v>
      </c>
      <c r="AA42" s="31">
        <v>3</v>
      </c>
      <c r="AB42" s="31">
        <v>3</v>
      </c>
      <c r="AC42" s="31">
        <v>3</v>
      </c>
      <c r="AD42" s="31">
        <v>3</v>
      </c>
      <c r="AE42" s="31">
        <v>3</v>
      </c>
      <c r="AF42" s="31">
        <v>3</v>
      </c>
    </row>
    <row r="43" spans="1:32" ht="273.60000000000002">
      <c r="A43" s="33"/>
      <c r="B43" s="41"/>
      <c r="C43" s="34" t="s">
        <v>295</v>
      </c>
      <c r="D43" s="25"/>
      <c r="E43" s="26" t="s">
        <v>26</v>
      </c>
      <c r="F43" s="26">
        <f t="shared" si="0"/>
        <v>3</v>
      </c>
      <c r="G43" s="26" t="s">
        <v>26</v>
      </c>
      <c r="H43" s="26">
        <f t="shared" si="1"/>
        <v>3</v>
      </c>
      <c r="I43" s="45" t="s">
        <v>26</v>
      </c>
      <c r="J43" s="26">
        <f t="shared" si="2"/>
        <v>3</v>
      </c>
      <c r="K43" s="26" t="s">
        <v>27</v>
      </c>
      <c r="L43" s="26">
        <f t="shared" si="3"/>
        <v>1</v>
      </c>
      <c r="M43" s="26" t="s">
        <v>26</v>
      </c>
      <c r="N43" s="26">
        <f t="shared" si="4"/>
        <v>3</v>
      </c>
      <c r="O43" s="27" t="s">
        <v>26</v>
      </c>
      <c r="P43" s="26">
        <f t="shared" si="5"/>
        <v>3</v>
      </c>
      <c r="Q43" s="27" t="s">
        <v>26</v>
      </c>
      <c r="R43" s="26">
        <f t="shared" si="6"/>
        <v>3</v>
      </c>
      <c r="S43" s="28" t="s">
        <v>44</v>
      </c>
      <c r="T43" s="28" t="s">
        <v>296</v>
      </c>
      <c r="U43" s="28" t="s">
        <v>297</v>
      </c>
      <c r="V43" s="28" t="s">
        <v>298</v>
      </c>
      <c r="W43" s="28" t="s">
        <v>44</v>
      </c>
      <c r="X43" s="30" t="s">
        <v>299</v>
      </c>
      <c r="Y43" s="30" t="s">
        <v>300</v>
      </c>
      <c r="Z43" s="31">
        <v>3</v>
      </c>
      <c r="AA43" s="31">
        <v>3</v>
      </c>
      <c r="AB43" s="31">
        <v>3</v>
      </c>
      <c r="AC43" s="31">
        <v>3</v>
      </c>
      <c r="AD43" s="31">
        <v>3</v>
      </c>
      <c r="AE43" s="31">
        <v>3</v>
      </c>
      <c r="AF43" s="31">
        <v>3</v>
      </c>
    </row>
    <row r="44" spans="1:32" ht="274.2" thickBot="1">
      <c r="A44" s="37"/>
      <c r="B44" s="42"/>
      <c r="C44" s="43" t="s">
        <v>301</v>
      </c>
      <c r="D44" s="25"/>
      <c r="E44" s="26" t="s">
        <v>26</v>
      </c>
      <c r="F44" s="26">
        <f t="shared" si="0"/>
        <v>3</v>
      </c>
      <c r="G44" s="26" t="s">
        <v>26</v>
      </c>
      <c r="H44" s="26">
        <f t="shared" si="1"/>
        <v>3</v>
      </c>
      <c r="I44" s="45" t="s">
        <v>26</v>
      </c>
      <c r="J44" s="26">
        <f t="shared" si="2"/>
        <v>3</v>
      </c>
      <c r="K44" s="26" t="s">
        <v>27</v>
      </c>
      <c r="L44" s="26">
        <f t="shared" si="3"/>
        <v>1</v>
      </c>
      <c r="M44" s="26" t="s">
        <v>26</v>
      </c>
      <c r="N44" s="26">
        <f t="shared" si="4"/>
        <v>3</v>
      </c>
      <c r="O44" s="27" t="s">
        <v>26</v>
      </c>
      <c r="P44" s="26">
        <f t="shared" si="5"/>
        <v>3</v>
      </c>
      <c r="Q44" s="27" t="s">
        <v>26</v>
      </c>
      <c r="R44" s="26">
        <f t="shared" si="6"/>
        <v>3</v>
      </c>
      <c r="S44" s="28" t="s">
        <v>44</v>
      </c>
      <c r="T44" s="28" t="s">
        <v>302</v>
      </c>
      <c r="U44" s="28" t="s">
        <v>303</v>
      </c>
      <c r="V44" s="28" t="s">
        <v>304</v>
      </c>
      <c r="W44" s="28" t="s">
        <v>44</v>
      </c>
      <c r="X44" s="30" t="s">
        <v>305</v>
      </c>
      <c r="Y44" s="30" t="s">
        <v>306</v>
      </c>
      <c r="Z44" s="31">
        <v>3</v>
      </c>
      <c r="AA44" s="31">
        <v>3</v>
      </c>
      <c r="AB44" s="31">
        <v>3</v>
      </c>
      <c r="AC44" s="31">
        <v>3</v>
      </c>
      <c r="AD44" s="31">
        <v>3</v>
      </c>
      <c r="AE44" s="31">
        <v>3</v>
      </c>
      <c r="AF44" s="31">
        <v>3</v>
      </c>
    </row>
    <row r="45" spans="1:32" ht="100.8">
      <c r="A45" s="39">
        <v>6</v>
      </c>
      <c r="B45" s="40" t="s">
        <v>307</v>
      </c>
      <c r="C45" s="24" t="s">
        <v>308</v>
      </c>
      <c r="D45" s="25">
        <v>0.1</v>
      </c>
      <c r="E45" s="26" t="s">
        <v>26</v>
      </c>
      <c r="F45" s="26">
        <f t="shared" si="0"/>
        <v>3</v>
      </c>
      <c r="G45" s="26" t="s">
        <v>27</v>
      </c>
      <c r="H45" s="26">
        <f t="shared" si="1"/>
        <v>1</v>
      </c>
      <c r="I45" s="26" t="s">
        <v>26</v>
      </c>
      <c r="J45" s="26">
        <f t="shared" si="2"/>
        <v>3</v>
      </c>
      <c r="K45" s="26" t="s">
        <v>26</v>
      </c>
      <c r="L45" s="26">
        <f t="shared" si="3"/>
        <v>3</v>
      </c>
      <c r="M45" s="26" t="s">
        <v>26</v>
      </c>
      <c r="N45" s="26">
        <f t="shared" si="4"/>
        <v>3</v>
      </c>
      <c r="O45" s="27" t="s">
        <v>26</v>
      </c>
      <c r="P45" s="26">
        <f t="shared" si="5"/>
        <v>3</v>
      </c>
      <c r="Q45" s="27" t="s">
        <v>26</v>
      </c>
      <c r="R45" s="26">
        <f t="shared" si="6"/>
        <v>3</v>
      </c>
      <c r="S45" s="28" t="s">
        <v>44</v>
      </c>
      <c r="T45" s="47" t="s">
        <v>309</v>
      </c>
      <c r="U45" s="28" t="s">
        <v>310</v>
      </c>
      <c r="V45" s="28" t="s">
        <v>311</v>
      </c>
      <c r="W45" s="28" t="s">
        <v>44</v>
      </c>
      <c r="X45" s="30" t="s">
        <v>312</v>
      </c>
      <c r="Y45" s="30" t="s">
        <v>313</v>
      </c>
      <c r="Z45" s="31">
        <f>AVERAGE(F45:F47)*$D45/3</f>
        <v>5.5555555555555559E-2</v>
      </c>
      <c r="AA45" s="31">
        <f>AVERAGE(H45:H47)*$D45/3</f>
        <v>3.3333333333333333E-2</v>
      </c>
      <c r="AB45" s="31">
        <f>AVERAGE(J45:J47)*$D45/3</f>
        <v>4.4444444444444446E-2</v>
      </c>
      <c r="AC45" s="31">
        <f>AVERAGE(L45:L47)*$D45/3</f>
        <v>5.5555555555555559E-2</v>
      </c>
      <c r="AD45" s="31">
        <f>AVERAGE(N45:N47)*$D45/3</f>
        <v>4.4444444444444446E-2</v>
      </c>
      <c r="AE45" s="31">
        <f>AVERAGE(P45:P47)*$D45/3</f>
        <v>0.10000000000000002</v>
      </c>
      <c r="AF45" s="31">
        <f>AVERAGE(R45:R47)*$D45/3</f>
        <v>0.10000000000000002</v>
      </c>
    </row>
    <row r="46" spans="1:32" ht="100.8">
      <c r="A46" s="33"/>
      <c r="B46" s="41"/>
      <c r="C46" s="34" t="s">
        <v>314</v>
      </c>
      <c r="D46" s="25"/>
      <c r="E46" s="26" t="s">
        <v>27</v>
      </c>
      <c r="F46" s="26">
        <f t="shared" si="0"/>
        <v>1</v>
      </c>
      <c r="G46" s="26" t="s">
        <v>27</v>
      </c>
      <c r="H46" s="26">
        <f t="shared" si="1"/>
        <v>1</v>
      </c>
      <c r="I46" s="26" t="s">
        <v>70</v>
      </c>
      <c r="J46" s="26">
        <f t="shared" si="2"/>
        <v>0</v>
      </c>
      <c r="K46" s="26" t="s">
        <v>27</v>
      </c>
      <c r="L46" s="26">
        <f t="shared" si="3"/>
        <v>1</v>
      </c>
      <c r="M46" s="26" t="s">
        <v>70</v>
      </c>
      <c r="N46" s="26">
        <f t="shared" si="4"/>
        <v>0</v>
      </c>
      <c r="O46" s="27" t="s">
        <v>26</v>
      </c>
      <c r="P46" s="26">
        <f t="shared" si="5"/>
        <v>3</v>
      </c>
      <c r="Q46" s="27" t="s">
        <v>26</v>
      </c>
      <c r="R46" s="26">
        <f t="shared" si="6"/>
        <v>3</v>
      </c>
      <c r="S46" s="28" t="s">
        <v>315</v>
      </c>
      <c r="T46" s="48"/>
      <c r="U46" s="28" t="s">
        <v>316</v>
      </c>
      <c r="V46" s="28" t="s">
        <v>317</v>
      </c>
      <c r="W46" s="28" t="s">
        <v>318</v>
      </c>
      <c r="X46" s="30" t="s">
        <v>319</v>
      </c>
      <c r="Y46" s="30" t="s">
        <v>320</v>
      </c>
      <c r="Z46" s="31">
        <v>3</v>
      </c>
      <c r="AA46" s="31">
        <v>3</v>
      </c>
      <c r="AB46" s="31">
        <v>3</v>
      </c>
      <c r="AC46" s="31">
        <v>3</v>
      </c>
      <c r="AD46" s="31">
        <v>3</v>
      </c>
      <c r="AE46" s="31">
        <v>3</v>
      </c>
      <c r="AF46" s="31">
        <v>3</v>
      </c>
    </row>
    <row r="47" spans="1:32" ht="187.8" thickBot="1">
      <c r="A47" s="37"/>
      <c r="B47" s="42"/>
      <c r="C47" s="38" t="s">
        <v>321</v>
      </c>
      <c r="D47" s="25"/>
      <c r="E47" s="49" t="s">
        <v>27</v>
      </c>
      <c r="F47" s="26">
        <f t="shared" si="0"/>
        <v>1</v>
      </c>
      <c r="G47" s="49" t="s">
        <v>27</v>
      </c>
      <c r="H47" s="26">
        <f t="shared" si="1"/>
        <v>1</v>
      </c>
      <c r="I47" s="49" t="s">
        <v>27</v>
      </c>
      <c r="J47" s="26">
        <f t="shared" si="2"/>
        <v>1</v>
      </c>
      <c r="K47" s="49" t="s">
        <v>27</v>
      </c>
      <c r="L47" s="26">
        <f t="shared" si="3"/>
        <v>1</v>
      </c>
      <c r="M47" s="49" t="s">
        <v>27</v>
      </c>
      <c r="N47" s="26">
        <f t="shared" si="4"/>
        <v>1</v>
      </c>
      <c r="O47" s="27" t="s">
        <v>26</v>
      </c>
      <c r="P47" s="26">
        <f t="shared" si="5"/>
        <v>3</v>
      </c>
      <c r="Q47" s="27" t="s">
        <v>26</v>
      </c>
      <c r="R47" s="26">
        <f t="shared" si="6"/>
        <v>3</v>
      </c>
      <c r="S47" s="28" t="s">
        <v>322</v>
      </c>
      <c r="T47" s="50"/>
      <c r="U47" s="28" t="s">
        <v>323</v>
      </c>
      <c r="V47" s="28" t="s">
        <v>324</v>
      </c>
      <c r="W47" s="28" t="s">
        <v>325</v>
      </c>
      <c r="X47" s="30" t="s">
        <v>326</v>
      </c>
      <c r="Y47" s="30" t="s">
        <v>327</v>
      </c>
      <c r="Z47" s="51">
        <v>3</v>
      </c>
      <c r="AA47" s="51">
        <v>3</v>
      </c>
      <c r="AB47" s="51">
        <v>3</v>
      </c>
      <c r="AC47" s="51">
        <v>3</v>
      </c>
      <c r="AD47" s="51">
        <v>3</v>
      </c>
      <c r="AE47" s="51">
        <v>3</v>
      </c>
      <c r="AF47" s="51">
        <v>3</v>
      </c>
    </row>
    <row r="48" spans="1:32" ht="231" thickBot="1">
      <c r="A48" s="52">
        <v>7</v>
      </c>
      <c r="B48" s="53" t="s">
        <v>328</v>
      </c>
      <c r="C48" s="54" t="s">
        <v>329</v>
      </c>
      <c r="D48" s="55">
        <v>0.08</v>
      </c>
      <c r="E48" s="56" t="s">
        <v>26</v>
      </c>
      <c r="F48" s="26">
        <f t="shared" si="0"/>
        <v>3</v>
      </c>
      <c r="G48" s="56" t="s">
        <v>27</v>
      </c>
      <c r="H48" s="26">
        <f t="shared" si="1"/>
        <v>1</v>
      </c>
      <c r="I48" s="56" t="s">
        <v>26</v>
      </c>
      <c r="J48" s="26">
        <f t="shared" si="2"/>
        <v>3</v>
      </c>
      <c r="K48" s="56" t="s">
        <v>26</v>
      </c>
      <c r="L48" s="26">
        <f t="shared" si="3"/>
        <v>3</v>
      </c>
      <c r="M48" s="56" t="s">
        <v>26</v>
      </c>
      <c r="N48" s="26">
        <f t="shared" si="4"/>
        <v>3</v>
      </c>
      <c r="O48" s="27" t="s">
        <v>26</v>
      </c>
      <c r="P48" s="26">
        <f t="shared" si="5"/>
        <v>3</v>
      </c>
      <c r="Q48" s="27" t="s">
        <v>26</v>
      </c>
      <c r="R48" s="26">
        <f t="shared" si="6"/>
        <v>3</v>
      </c>
      <c r="S48" s="28" t="s">
        <v>44</v>
      </c>
      <c r="T48" s="28" t="s">
        <v>330</v>
      </c>
      <c r="U48" s="28" t="s">
        <v>331</v>
      </c>
      <c r="V48" s="28" t="s">
        <v>332</v>
      </c>
      <c r="W48" s="28" t="s">
        <v>44</v>
      </c>
      <c r="X48" s="57" t="s">
        <v>333</v>
      </c>
      <c r="Y48" s="57" t="s">
        <v>334</v>
      </c>
      <c r="Z48" s="58">
        <f>AVERAGE(F48:F55)*$D48/3</f>
        <v>0.08</v>
      </c>
      <c r="AA48" s="58">
        <f>AVERAGE(H48:H55)*$D48/3</f>
        <v>4.6666666666666669E-2</v>
      </c>
      <c r="AB48" s="58">
        <f>AVERAGE(J48:J55)*$D48/3</f>
        <v>0.06</v>
      </c>
      <c r="AC48" s="58">
        <f>AVERAGE(L48:L55)*$D48/3</f>
        <v>0.06</v>
      </c>
      <c r="AD48" s="58">
        <f>AVERAGE(N48:N55)*$D48/3</f>
        <v>0.06</v>
      </c>
      <c r="AE48" s="58">
        <f>AVERAGE(P48:P55)*$D48/3</f>
        <v>0.08</v>
      </c>
      <c r="AF48" s="58">
        <f>AVERAGE(R48:R55)*$D48/3</f>
        <v>0.08</v>
      </c>
    </row>
    <row r="49" spans="1:32" ht="202.2" thickBot="1">
      <c r="A49" s="33"/>
      <c r="B49" s="41"/>
      <c r="C49" s="59" t="s">
        <v>335</v>
      </c>
      <c r="D49" s="55"/>
      <c r="E49" s="26" t="s">
        <v>26</v>
      </c>
      <c r="F49" s="26">
        <f t="shared" si="0"/>
        <v>3</v>
      </c>
      <c r="G49" s="56" t="s">
        <v>27</v>
      </c>
      <c r="H49" s="26">
        <f t="shared" si="1"/>
        <v>1</v>
      </c>
      <c r="I49" s="26" t="s">
        <v>27</v>
      </c>
      <c r="J49" s="26">
        <f t="shared" si="2"/>
        <v>1</v>
      </c>
      <c r="K49" s="26" t="s">
        <v>26</v>
      </c>
      <c r="L49" s="26">
        <f t="shared" si="3"/>
        <v>3</v>
      </c>
      <c r="M49" s="26" t="s">
        <v>27</v>
      </c>
      <c r="N49" s="26">
        <f t="shared" si="4"/>
        <v>1</v>
      </c>
      <c r="O49" s="27" t="s">
        <v>26</v>
      </c>
      <c r="P49" s="26">
        <f t="shared" si="5"/>
        <v>3</v>
      </c>
      <c r="Q49" s="27" t="s">
        <v>26</v>
      </c>
      <c r="R49" s="26">
        <f t="shared" si="6"/>
        <v>3</v>
      </c>
      <c r="S49" s="28" t="s">
        <v>44</v>
      </c>
      <c r="T49" s="28" t="s">
        <v>336</v>
      </c>
      <c r="U49" s="28" t="s">
        <v>337</v>
      </c>
      <c r="V49" s="28" t="s">
        <v>338</v>
      </c>
      <c r="W49" s="28" t="s">
        <v>191</v>
      </c>
      <c r="X49" s="57" t="s">
        <v>339</v>
      </c>
      <c r="Y49" s="57" t="s">
        <v>340</v>
      </c>
      <c r="Z49" s="55">
        <v>3</v>
      </c>
      <c r="AA49" s="55">
        <v>3</v>
      </c>
      <c r="AB49" s="55">
        <v>3</v>
      </c>
      <c r="AC49" s="55">
        <v>3</v>
      </c>
      <c r="AD49" s="55">
        <v>3</v>
      </c>
      <c r="AE49" s="55">
        <v>3</v>
      </c>
      <c r="AF49" s="55">
        <v>3</v>
      </c>
    </row>
    <row r="50" spans="1:32" ht="230.4">
      <c r="A50" s="33"/>
      <c r="B50" s="41"/>
      <c r="C50" s="59" t="s">
        <v>341</v>
      </c>
      <c r="D50" s="55"/>
      <c r="E50" s="26" t="s">
        <v>26</v>
      </c>
      <c r="F50" s="26">
        <f t="shared" si="0"/>
        <v>3</v>
      </c>
      <c r="G50" s="56" t="s">
        <v>27</v>
      </c>
      <c r="H50" s="26">
        <f t="shared" si="1"/>
        <v>1</v>
      </c>
      <c r="I50" s="26" t="s">
        <v>26</v>
      </c>
      <c r="J50" s="26">
        <f t="shared" si="2"/>
        <v>3</v>
      </c>
      <c r="K50" s="26" t="s">
        <v>27</v>
      </c>
      <c r="L50" s="26">
        <f t="shared" si="3"/>
        <v>1</v>
      </c>
      <c r="M50" s="26" t="s">
        <v>26</v>
      </c>
      <c r="N50" s="26">
        <f t="shared" si="4"/>
        <v>3</v>
      </c>
      <c r="O50" s="27" t="s">
        <v>26</v>
      </c>
      <c r="P50" s="26">
        <f t="shared" si="5"/>
        <v>3</v>
      </c>
      <c r="Q50" s="27" t="s">
        <v>26</v>
      </c>
      <c r="R50" s="26">
        <f t="shared" si="6"/>
        <v>3</v>
      </c>
      <c r="S50" s="28" t="s">
        <v>44</v>
      </c>
      <c r="T50" s="28" t="s">
        <v>342</v>
      </c>
      <c r="U50" s="28" t="s">
        <v>343</v>
      </c>
      <c r="V50" s="28" t="s">
        <v>344</v>
      </c>
      <c r="W50" s="28" t="s">
        <v>44</v>
      </c>
      <c r="X50" s="57" t="s">
        <v>345</v>
      </c>
      <c r="Y50" s="60" t="s">
        <v>346</v>
      </c>
      <c r="Z50" s="55">
        <v>3</v>
      </c>
      <c r="AA50" s="55">
        <v>3</v>
      </c>
      <c r="AB50" s="55">
        <v>3</v>
      </c>
      <c r="AC50" s="55">
        <v>3</v>
      </c>
      <c r="AD50" s="55">
        <v>3</v>
      </c>
      <c r="AE50" s="55">
        <v>3</v>
      </c>
      <c r="AF50" s="55">
        <v>3</v>
      </c>
    </row>
    <row r="51" spans="1:32" ht="158.4">
      <c r="A51" s="33"/>
      <c r="B51" s="41"/>
      <c r="C51" s="59" t="s">
        <v>347</v>
      </c>
      <c r="D51" s="55"/>
      <c r="E51" s="26" t="s">
        <v>26</v>
      </c>
      <c r="F51" s="26">
        <f t="shared" si="0"/>
        <v>3</v>
      </c>
      <c r="G51" s="26" t="s">
        <v>27</v>
      </c>
      <c r="H51" s="26">
        <f t="shared" si="1"/>
        <v>1</v>
      </c>
      <c r="I51" s="26" t="s">
        <v>26</v>
      </c>
      <c r="J51" s="26">
        <f t="shared" si="2"/>
        <v>3</v>
      </c>
      <c r="K51" s="26" t="s">
        <v>26</v>
      </c>
      <c r="L51" s="26">
        <f t="shared" si="3"/>
        <v>3</v>
      </c>
      <c r="M51" s="26" t="s">
        <v>26</v>
      </c>
      <c r="N51" s="26">
        <f t="shared" si="4"/>
        <v>3</v>
      </c>
      <c r="O51" s="27" t="s">
        <v>26</v>
      </c>
      <c r="P51" s="26">
        <f t="shared" si="5"/>
        <v>3</v>
      </c>
      <c r="Q51" s="27" t="s">
        <v>26</v>
      </c>
      <c r="R51" s="26">
        <f t="shared" si="6"/>
        <v>3</v>
      </c>
      <c r="S51" s="28" t="s">
        <v>44</v>
      </c>
      <c r="T51" s="28" t="s">
        <v>348</v>
      </c>
      <c r="U51" s="28" t="s">
        <v>349</v>
      </c>
      <c r="V51" s="28" t="s">
        <v>350</v>
      </c>
      <c r="W51" s="28" t="s">
        <v>44</v>
      </c>
      <c r="X51" s="57" t="s">
        <v>351</v>
      </c>
      <c r="Y51" s="57" t="s">
        <v>352</v>
      </c>
      <c r="Z51" s="55">
        <v>3</v>
      </c>
      <c r="AA51" s="55">
        <v>3</v>
      </c>
      <c r="AB51" s="55">
        <v>3</v>
      </c>
      <c r="AC51" s="55">
        <v>3</v>
      </c>
      <c r="AD51" s="55">
        <v>3</v>
      </c>
      <c r="AE51" s="55">
        <v>3</v>
      </c>
      <c r="AF51" s="55">
        <v>3</v>
      </c>
    </row>
    <row r="52" spans="1:32" ht="259.2">
      <c r="A52" s="33"/>
      <c r="B52" s="41"/>
      <c r="C52" s="59" t="s">
        <v>353</v>
      </c>
      <c r="D52" s="55"/>
      <c r="E52" s="26" t="s">
        <v>26</v>
      </c>
      <c r="F52" s="26">
        <f t="shared" si="0"/>
        <v>3</v>
      </c>
      <c r="G52" s="26" t="s">
        <v>27</v>
      </c>
      <c r="H52" s="26">
        <f t="shared" si="1"/>
        <v>1</v>
      </c>
      <c r="I52" s="26" t="s">
        <v>26</v>
      </c>
      <c r="J52" s="26">
        <f t="shared" si="2"/>
        <v>3</v>
      </c>
      <c r="K52" s="26" t="s">
        <v>26</v>
      </c>
      <c r="L52" s="26">
        <f t="shared" si="3"/>
        <v>3</v>
      </c>
      <c r="M52" s="26" t="s">
        <v>26</v>
      </c>
      <c r="N52" s="26">
        <f t="shared" si="4"/>
        <v>3</v>
      </c>
      <c r="O52" s="27" t="s">
        <v>26</v>
      </c>
      <c r="P52" s="26">
        <f t="shared" si="5"/>
        <v>3</v>
      </c>
      <c r="Q52" s="27" t="s">
        <v>26</v>
      </c>
      <c r="R52" s="26">
        <f t="shared" si="6"/>
        <v>3</v>
      </c>
      <c r="S52" s="28" t="s">
        <v>44</v>
      </c>
      <c r="T52" s="28" t="s">
        <v>354</v>
      </c>
      <c r="U52" s="28" t="s">
        <v>355</v>
      </c>
      <c r="V52" s="28" t="s">
        <v>356</v>
      </c>
      <c r="W52" s="28" t="s">
        <v>44</v>
      </c>
      <c r="X52" s="57" t="s">
        <v>357</v>
      </c>
      <c r="Y52" s="57" t="s">
        <v>358</v>
      </c>
      <c r="Z52" s="55">
        <v>1</v>
      </c>
      <c r="AA52" s="55">
        <v>1</v>
      </c>
      <c r="AB52" s="55">
        <v>1</v>
      </c>
      <c r="AC52" s="55">
        <v>1</v>
      </c>
      <c r="AD52" s="55">
        <v>1</v>
      </c>
      <c r="AE52" s="55">
        <v>1</v>
      </c>
      <c r="AF52" s="55">
        <v>1</v>
      </c>
    </row>
    <row r="53" spans="1:32" ht="172.8">
      <c r="A53" s="33"/>
      <c r="B53" s="41"/>
      <c r="C53" s="59" t="s">
        <v>359</v>
      </c>
      <c r="D53" s="55"/>
      <c r="E53" s="26" t="s">
        <v>26</v>
      </c>
      <c r="F53" s="26">
        <f t="shared" si="0"/>
        <v>3</v>
      </c>
      <c r="G53" s="26" t="s">
        <v>26</v>
      </c>
      <c r="H53" s="26">
        <f t="shared" si="1"/>
        <v>3</v>
      </c>
      <c r="I53" s="26" t="s">
        <v>27</v>
      </c>
      <c r="J53" s="26">
        <f t="shared" si="2"/>
        <v>1</v>
      </c>
      <c r="K53" s="26" t="s">
        <v>27</v>
      </c>
      <c r="L53" s="26">
        <f t="shared" si="3"/>
        <v>1</v>
      </c>
      <c r="M53" s="26" t="s">
        <v>27</v>
      </c>
      <c r="N53" s="26">
        <f t="shared" si="4"/>
        <v>1</v>
      </c>
      <c r="O53" s="27" t="s">
        <v>26</v>
      </c>
      <c r="P53" s="26">
        <f t="shared" si="5"/>
        <v>3</v>
      </c>
      <c r="Q53" s="27" t="s">
        <v>26</v>
      </c>
      <c r="R53" s="26">
        <f t="shared" si="6"/>
        <v>3</v>
      </c>
      <c r="S53" s="28" t="s">
        <v>44</v>
      </c>
      <c r="T53" s="28" t="s">
        <v>360</v>
      </c>
      <c r="U53" s="28" t="s">
        <v>361</v>
      </c>
      <c r="V53" s="28" t="s">
        <v>362</v>
      </c>
      <c r="W53" s="28" t="s">
        <v>143</v>
      </c>
      <c r="X53" s="57" t="s">
        <v>363</v>
      </c>
      <c r="Y53" s="57" t="s">
        <v>364</v>
      </c>
      <c r="Z53" s="55">
        <v>3</v>
      </c>
      <c r="AA53" s="55">
        <v>3</v>
      </c>
      <c r="AB53" s="55">
        <v>3</v>
      </c>
      <c r="AC53" s="55">
        <v>3</v>
      </c>
      <c r="AD53" s="55">
        <v>3</v>
      </c>
      <c r="AE53" s="55">
        <v>3</v>
      </c>
      <c r="AF53" s="55">
        <v>3</v>
      </c>
    </row>
    <row r="54" spans="1:32" ht="273.60000000000002">
      <c r="A54" s="33"/>
      <c r="B54" s="41"/>
      <c r="C54" s="59" t="s">
        <v>365</v>
      </c>
      <c r="D54" s="55"/>
      <c r="E54" s="26" t="s">
        <v>26</v>
      </c>
      <c r="F54" s="26">
        <f t="shared" si="0"/>
        <v>3</v>
      </c>
      <c r="G54" s="26" t="s">
        <v>26</v>
      </c>
      <c r="H54" s="26">
        <f t="shared" si="1"/>
        <v>3</v>
      </c>
      <c r="I54" s="26" t="s">
        <v>27</v>
      </c>
      <c r="J54" s="26">
        <f t="shared" si="2"/>
        <v>1</v>
      </c>
      <c r="K54" s="26" t="s">
        <v>27</v>
      </c>
      <c r="L54" s="26">
        <f t="shared" si="3"/>
        <v>1</v>
      </c>
      <c r="M54" s="26" t="s">
        <v>27</v>
      </c>
      <c r="N54" s="26">
        <f t="shared" si="4"/>
        <v>1</v>
      </c>
      <c r="O54" s="27" t="s">
        <v>26</v>
      </c>
      <c r="P54" s="26">
        <f t="shared" si="5"/>
        <v>3</v>
      </c>
      <c r="Q54" s="27" t="s">
        <v>26</v>
      </c>
      <c r="R54" s="26">
        <f t="shared" si="6"/>
        <v>3</v>
      </c>
      <c r="S54" s="28" t="s">
        <v>44</v>
      </c>
      <c r="T54" s="28" t="s">
        <v>366</v>
      </c>
      <c r="U54" s="28" t="s">
        <v>367</v>
      </c>
      <c r="V54" s="28" t="s">
        <v>368</v>
      </c>
      <c r="W54" s="28" t="s">
        <v>191</v>
      </c>
      <c r="X54" s="57" t="s">
        <v>369</v>
      </c>
      <c r="Y54" s="57" t="s">
        <v>370</v>
      </c>
      <c r="Z54" s="55">
        <v>3</v>
      </c>
      <c r="AA54" s="55">
        <v>3</v>
      </c>
      <c r="AB54" s="55">
        <v>3</v>
      </c>
      <c r="AC54" s="55">
        <v>3</v>
      </c>
      <c r="AD54" s="55">
        <v>3</v>
      </c>
      <c r="AE54" s="55">
        <v>3</v>
      </c>
      <c r="AF54" s="55">
        <v>3</v>
      </c>
    </row>
    <row r="55" spans="1:32" ht="274.2" thickBot="1">
      <c r="A55" s="37"/>
      <c r="B55" s="42"/>
      <c r="C55" s="61" t="s">
        <v>371</v>
      </c>
      <c r="D55" s="55"/>
      <c r="E55" s="62" t="s">
        <v>26</v>
      </c>
      <c r="F55" s="26">
        <f t="shared" si="0"/>
        <v>3</v>
      </c>
      <c r="G55" s="62" t="s">
        <v>26</v>
      </c>
      <c r="H55" s="26">
        <f t="shared" si="1"/>
        <v>3</v>
      </c>
      <c r="I55" s="62" t="s">
        <v>26</v>
      </c>
      <c r="J55" s="26">
        <f t="shared" si="2"/>
        <v>3</v>
      </c>
      <c r="K55" s="62" t="s">
        <v>26</v>
      </c>
      <c r="L55" s="26">
        <f t="shared" si="3"/>
        <v>3</v>
      </c>
      <c r="M55" s="62" t="s">
        <v>26</v>
      </c>
      <c r="N55" s="26">
        <f t="shared" si="4"/>
        <v>3</v>
      </c>
      <c r="O55" s="27" t="s">
        <v>26</v>
      </c>
      <c r="P55" s="26">
        <f t="shared" si="5"/>
        <v>3</v>
      </c>
      <c r="Q55" s="27" t="s">
        <v>26</v>
      </c>
      <c r="R55" s="26">
        <f t="shared" si="6"/>
        <v>3</v>
      </c>
      <c r="S55" s="28" t="s">
        <v>44</v>
      </c>
      <c r="T55" s="28" t="s">
        <v>372</v>
      </c>
      <c r="U55" s="28" t="s">
        <v>373</v>
      </c>
      <c r="V55" s="28" t="s">
        <v>374</v>
      </c>
      <c r="W55" s="28" t="s">
        <v>44</v>
      </c>
      <c r="X55" s="57" t="s">
        <v>375</v>
      </c>
      <c r="Y55" s="57" t="s">
        <v>376</v>
      </c>
      <c r="Z55" s="63">
        <v>3</v>
      </c>
      <c r="AA55" s="63">
        <v>3</v>
      </c>
      <c r="AB55" s="63">
        <v>3</v>
      </c>
      <c r="AC55" s="63">
        <v>3</v>
      </c>
      <c r="AD55" s="63">
        <v>3</v>
      </c>
      <c r="AE55" s="63">
        <v>3</v>
      </c>
      <c r="AF55" s="63">
        <v>3</v>
      </c>
    </row>
    <row r="56" spans="1:32" ht="259.2">
      <c r="A56" s="39">
        <v>8</v>
      </c>
      <c r="B56" s="40" t="s">
        <v>377</v>
      </c>
      <c r="C56" s="54" t="s">
        <v>378</v>
      </c>
      <c r="D56" s="25">
        <v>0.05</v>
      </c>
      <c r="E56" s="56" t="s">
        <v>26</v>
      </c>
      <c r="F56" s="26">
        <f t="shared" si="0"/>
        <v>3</v>
      </c>
      <c r="G56" s="56" t="s">
        <v>26</v>
      </c>
      <c r="H56" s="26">
        <f t="shared" si="1"/>
        <v>3</v>
      </c>
      <c r="I56" s="56" t="s">
        <v>26</v>
      </c>
      <c r="J56" s="26">
        <f t="shared" si="2"/>
        <v>3</v>
      </c>
      <c r="K56" s="56" t="s">
        <v>26</v>
      </c>
      <c r="L56" s="26">
        <f t="shared" si="3"/>
        <v>3</v>
      </c>
      <c r="M56" s="56" t="s">
        <v>26</v>
      </c>
      <c r="N56" s="26">
        <f t="shared" si="4"/>
        <v>3</v>
      </c>
      <c r="O56" s="27" t="s">
        <v>26</v>
      </c>
      <c r="P56" s="26">
        <f t="shared" si="5"/>
        <v>3</v>
      </c>
      <c r="Q56" s="27" t="s">
        <v>26</v>
      </c>
      <c r="R56" s="26">
        <f t="shared" si="6"/>
        <v>3</v>
      </c>
      <c r="S56" s="28" t="s">
        <v>44</v>
      </c>
      <c r="T56" s="28" t="s">
        <v>379</v>
      </c>
      <c r="U56" s="28" t="s">
        <v>380</v>
      </c>
      <c r="V56" s="28" t="s">
        <v>381</v>
      </c>
      <c r="W56" s="28" t="s">
        <v>44</v>
      </c>
      <c r="X56" s="57" t="s">
        <v>382</v>
      </c>
      <c r="Y56" s="57" t="s">
        <v>383</v>
      </c>
      <c r="Z56" s="64">
        <f>AVERAGE(F56:F60)*$D56/3</f>
        <v>5.000000000000001E-2</v>
      </c>
      <c r="AA56" s="64">
        <f>AVERAGE(H56:H60)*$D56/3</f>
        <v>5.000000000000001E-2</v>
      </c>
      <c r="AB56" s="64">
        <f>AVERAGE(J56:J60)*$D56/3</f>
        <v>3.6666666666666674E-2</v>
      </c>
      <c r="AC56" s="64">
        <f>AVERAGE(L56:L60)*$D56/3</f>
        <v>3.6666666666666674E-2</v>
      </c>
      <c r="AD56" s="64">
        <f>AVERAGE(N56:N60)*$D56/3</f>
        <v>3.6666666666666674E-2</v>
      </c>
      <c r="AE56" s="64">
        <f>AVERAGE(P56:P60)*$D56/3</f>
        <v>5.000000000000001E-2</v>
      </c>
      <c r="AF56" s="64">
        <f>AVERAGE(R56:R60)*$D56/3</f>
        <v>5.000000000000001E-2</v>
      </c>
    </row>
    <row r="57" spans="1:32" ht="259.2">
      <c r="A57" s="33"/>
      <c r="B57" s="41"/>
      <c r="C57" s="59" t="s">
        <v>384</v>
      </c>
      <c r="D57" s="25"/>
      <c r="E57" s="26" t="s">
        <v>26</v>
      </c>
      <c r="F57" s="26">
        <f t="shared" si="0"/>
        <v>3</v>
      </c>
      <c r="G57" s="26" t="s">
        <v>26</v>
      </c>
      <c r="H57" s="26">
        <f t="shared" si="1"/>
        <v>3</v>
      </c>
      <c r="I57" s="26" t="s">
        <v>26</v>
      </c>
      <c r="J57" s="26">
        <f t="shared" si="2"/>
        <v>3</v>
      </c>
      <c r="K57" s="26" t="s">
        <v>26</v>
      </c>
      <c r="L57" s="26">
        <f t="shared" si="3"/>
        <v>3</v>
      </c>
      <c r="M57" s="26" t="s">
        <v>26</v>
      </c>
      <c r="N57" s="26">
        <f t="shared" si="4"/>
        <v>3</v>
      </c>
      <c r="O57" s="27" t="s">
        <v>26</v>
      </c>
      <c r="P57" s="26">
        <f t="shared" si="5"/>
        <v>3</v>
      </c>
      <c r="Q57" s="27" t="s">
        <v>26</v>
      </c>
      <c r="R57" s="26">
        <f t="shared" si="6"/>
        <v>3</v>
      </c>
      <c r="S57" s="28" t="s">
        <v>44</v>
      </c>
      <c r="T57" s="28" t="s">
        <v>385</v>
      </c>
      <c r="U57" s="28" t="s">
        <v>386</v>
      </c>
      <c r="V57" s="28" t="s">
        <v>387</v>
      </c>
      <c r="W57" s="28" t="s">
        <v>44</v>
      </c>
      <c r="X57" s="57" t="s">
        <v>388</v>
      </c>
      <c r="Y57" s="57" t="s">
        <v>389</v>
      </c>
      <c r="Z57" s="25">
        <v>3</v>
      </c>
      <c r="AA57" s="25">
        <v>3</v>
      </c>
      <c r="AB57" s="25">
        <v>3</v>
      </c>
      <c r="AC57" s="25">
        <v>3</v>
      </c>
      <c r="AD57" s="25">
        <v>3</v>
      </c>
      <c r="AE57" s="25">
        <v>3</v>
      </c>
      <c r="AF57" s="25">
        <v>3</v>
      </c>
    </row>
    <row r="58" spans="1:32" ht="244.8">
      <c r="A58" s="33"/>
      <c r="B58" s="41"/>
      <c r="C58" s="59" t="s">
        <v>390</v>
      </c>
      <c r="D58" s="25"/>
      <c r="E58" s="26" t="s">
        <v>26</v>
      </c>
      <c r="F58" s="26">
        <f t="shared" si="0"/>
        <v>3</v>
      </c>
      <c r="G58" s="26" t="s">
        <v>26</v>
      </c>
      <c r="H58" s="26">
        <f t="shared" si="1"/>
        <v>3</v>
      </c>
      <c r="I58" s="26" t="s">
        <v>26</v>
      </c>
      <c r="J58" s="26">
        <f t="shared" si="2"/>
        <v>3</v>
      </c>
      <c r="K58" s="26" t="s">
        <v>26</v>
      </c>
      <c r="L58" s="26">
        <f t="shared" si="3"/>
        <v>3</v>
      </c>
      <c r="M58" s="26" t="s">
        <v>26</v>
      </c>
      <c r="N58" s="26">
        <f t="shared" si="4"/>
        <v>3</v>
      </c>
      <c r="O58" s="27" t="s">
        <v>26</v>
      </c>
      <c r="P58" s="26">
        <f t="shared" si="5"/>
        <v>3</v>
      </c>
      <c r="Q58" s="27" t="s">
        <v>26</v>
      </c>
      <c r="R58" s="26">
        <f t="shared" si="6"/>
        <v>3</v>
      </c>
      <c r="S58" s="28" t="s">
        <v>44</v>
      </c>
      <c r="T58" s="28" t="s">
        <v>391</v>
      </c>
      <c r="U58" s="28" t="s">
        <v>392</v>
      </c>
      <c r="V58" s="28" t="s">
        <v>393</v>
      </c>
      <c r="W58" s="28" t="s">
        <v>44</v>
      </c>
      <c r="X58" s="57" t="s">
        <v>394</v>
      </c>
      <c r="Y58" s="60" t="s">
        <v>395</v>
      </c>
      <c r="Z58" s="25">
        <v>3</v>
      </c>
      <c r="AA58" s="25">
        <v>3</v>
      </c>
      <c r="AB58" s="25">
        <v>3</v>
      </c>
      <c r="AC58" s="25">
        <v>3</v>
      </c>
      <c r="AD58" s="25">
        <v>3</v>
      </c>
      <c r="AE58" s="25">
        <v>3</v>
      </c>
      <c r="AF58" s="25">
        <v>3</v>
      </c>
    </row>
    <row r="59" spans="1:32" ht="172.8">
      <c r="A59" s="33"/>
      <c r="B59" s="41"/>
      <c r="C59" s="59" t="s">
        <v>396</v>
      </c>
      <c r="D59" s="25"/>
      <c r="E59" s="26" t="s">
        <v>26</v>
      </c>
      <c r="F59" s="26">
        <f t="shared" si="0"/>
        <v>3</v>
      </c>
      <c r="G59" s="26" t="s">
        <v>26</v>
      </c>
      <c r="H59" s="26">
        <f t="shared" si="1"/>
        <v>3</v>
      </c>
      <c r="I59" s="26" t="s">
        <v>27</v>
      </c>
      <c r="J59" s="26">
        <f t="shared" si="2"/>
        <v>1</v>
      </c>
      <c r="K59" s="26" t="s">
        <v>27</v>
      </c>
      <c r="L59" s="26">
        <f t="shared" si="3"/>
        <v>1</v>
      </c>
      <c r="M59" s="26" t="s">
        <v>27</v>
      </c>
      <c r="N59" s="26">
        <f t="shared" si="4"/>
        <v>1</v>
      </c>
      <c r="O59" s="27" t="s">
        <v>26</v>
      </c>
      <c r="P59" s="26">
        <f t="shared" si="5"/>
        <v>3</v>
      </c>
      <c r="Q59" s="27" t="s">
        <v>26</v>
      </c>
      <c r="R59" s="26">
        <f t="shared" si="6"/>
        <v>3</v>
      </c>
      <c r="S59" s="28" t="s">
        <v>44</v>
      </c>
      <c r="T59" s="28" t="s">
        <v>397</v>
      </c>
      <c r="U59" s="28" t="s">
        <v>398</v>
      </c>
      <c r="V59" s="28" t="s">
        <v>399</v>
      </c>
      <c r="W59" s="28" t="s">
        <v>143</v>
      </c>
      <c r="X59" s="57" t="s">
        <v>400</v>
      </c>
      <c r="Y59" s="60" t="s">
        <v>401</v>
      </c>
      <c r="Z59" s="25">
        <v>3</v>
      </c>
      <c r="AA59" s="25">
        <v>3</v>
      </c>
      <c r="AB59" s="25">
        <v>3</v>
      </c>
      <c r="AC59" s="25">
        <v>3</v>
      </c>
      <c r="AD59" s="25">
        <v>3</v>
      </c>
      <c r="AE59" s="25">
        <v>3</v>
      </c>
      <c r="AF59" s="25">
        <v>3</v>
      </c>
    </row>
    <row r="60" spans="1:32" ht="216.6" thickBot="1">
      <c r="A60" s="37"/>
      <c r="B60" s="42"/>
      <c r="C60" s="61" t="s">
        <v>402</v>
      </c>
      <c r="D60" s="25"/>
      <c r="E60" s="62" t="s">
        <v>26</v>
      </c>
      <c r="F60" s="26">
        <f t="shared" si="0"/>
        <v>3</v>
      </c>
      <c r="G60" s="62" t="s">
        <v>26</v>
      </c>
      <c r="H60" s="26">
        <f t="shared" si="1"/>
        <v>3</v>
      </c>
      <c r="I60" s="62" t="s">
        <v>27</v>
      </c>
      <c r="J60" s="26">
        <f t="shared" si="2"/>
        <v>1</v>
      </c>
      <c r="K60" s="62" t="s">
        <v>27</v>
      </c>
      <c r="L60" s="26">
        <f t="shared" si="3"/>
        <v>1</v>
      </c>
      <c r="M60" s="62" t="s">
        <v>27</v>
      </c>
      <c r="N60" s="26">
        <f t="shared" si="4"/>
        <v>1</v>
      </c>
      <c r="O60" s="27" t="s">
        <v>26</v>
      </c>
      <c r="P60" s="26">
        <f t="shared" si="5"/>
        <v>3</v>
      </c>
      <c r="Q60" s="27" t="s">
        <v>26</v>
      </c>
      <c r="R60" s="26">
        <f t="shared" si="6"/>
        <v>3</v>
      </c>
      <c r="S60" s="28" t="s">
        <v>44</v>
      </c>
      <c r="T60" s="28" t="s">
        <v>403</v>
      </c>
      <c r="U60" s="28" t="s">
        <v>404</v>
      </c>
      <c r="V60" s="28" t="s">
        <v>405</v>
      </c>
      <c r="W60" s="28" t="s">
        <v>191</v>
      </c>
      <c r="X60" s="57" t="s">
        <v>406</v>
      </c>
      <c r="Y60" s="57" t="s">
        <v>407</v>
      </c>
      <c r="Z60" s="65">
        <v>3</v>
      </c>
      <c r="AA60" s="65">
        <v>3</v>
      </c>
      <c r="AB60" s="65">
        <v>3</v>
      </c>
      <c r="AC60" s="65">
        <v>3</v>
      </c>
      <c r="AD60" s="65">
        <v>3</v>
      </c>
      <c r="AE60" s="65">
        <v>3</v>
      </c>
      <c r="AF60" s="65">
        <v>3</v>
      </c>
    </row>
    <row r="61" spans="1:32" ht="172.8">
      <c r="A61" s="66">
        <v>9</v>
      </c>
      <c r="B61" s="67" t="s">
        <v>408</v>
      </c>
      <c r="C61" s="68" t="s">
        <v>409</v>
      </c>
      <c r="D61" s="25">
        <v>0.03</v>
      </c>
      <c r="E61" s="69" t="s">
        <v>26</v>
      </c>
      <c r="F61" s="26">
        <f t="shared" si="0"/>
        <v>3</v>
      </c>
      <c r="G61" s="69" t="s">
        <v>26</v>
      </c>
      <c r="H61" s="26">
        <f t="shared" si="1"/>
        <v>3</v>
      </c>
      <c r="I61" s="69" t="s">
        <v>27</v>
      </c>
      <c r="J61" s="26">
        <f t="shared" si="2"/>
        <v>1</v>
      </c>
      <c r="K61" s="69" t="s">
        <v>27</v>
      </c>
      <c r="L61" s="26">
        <f t="shared" si="3"/>
        <v>1</v>
      </c>
      <c r="M61" s="69" t="s">
        <v>27</v>
      </c>
      <c r="N61" s="26">
        <f t="shared" si="4"/>
        <v>1</v>
      </c>
      <c r="O61" s="27" t="s">
        <v>26</v>
      </c>
      <c r="P61" s="26">
        <f t="shared" si="5"/>
        <v>3</v>
      </c>
      <c r="Q61" s="27" t="s">
        <v>26</v>
      </c>
      <c r="R61" s="26">
        <f t="shared" si="6"/>
        <v>3</v>
      </c>
      <c r="S61" s="28" t="s">
        <v>44</v>
      </c>
      <c r="T61" s="28" t="s">
        <v>410</v>
      </c>
      <c r="U61" s="28" t="s">
        <v>411</v>
      </c>
      <c r="V61" s="28" t="s">
        <v>412</v>
      </c>
      <c r="W61" s="28" t="s">
        <v>143</v>
      </c>
      <c r="X61" s="30" t="s">
        <v>413</v>
      </c>
      <c r="Y61" s="70" t="s">
        <v>414</v>
      </c>
      <c r="Z61" s="71">
        <f>AVERAGE(F61:F65)*$D61/3</f>
        <v>2.2000000000000002E-2</v>
      </c>
      <c r="AA61" s="71">
        <f>AVERAGE(H61:H65)*$D61/3</f>
        <v>0.03</v>
      </c>
      <c r="AB61" s="71">
        <f>AVERAGE(J61:J65)*$D61/3</f>
        <v>5.9999999999999993E-3</v>
      </c>
      <c r="AC61" s="71">
        <f>AVERAGE(L61:L65)*$D61/3</f>
        <v>5.9999999999999993E-3</v>
      </c>
      <c r="AD61" s="71">
        <f>AVERAGE(N61:N65)*$D61/3</f>
        <v>5.9999999999999993E-3</v>
      </c>
      <c r="AE61" s="71">
        <f>AVERAGE(P61:P65)*$D61/3</f>
        <v>0.03</v>
      </c>
      <c r="AF61" s="71">
        <f>AVERAGE(R61:R65)*$D61/3</f>
        <v>0.03</v>
      </c>
    </row>
    <row r="62" spans="1:32" ht="115.2">
      <c r="A62" s="41"/>
      <c r="B62" s="41"/>
      <c r="C62" s="59" t="s">
        <v>415</v>
      </c>
      <c r="D62" s="25"/>
      <c r="E62" s="26" t="s">
        <v>27</v>
      </c>
      <c r="F62" s="26">
        <f t="shared" si="0"/>
        <v>1</v>
      </c>
      <c r="G62" s="26" t="s">
        <v>26</v>
      </c>
      <c r="H62" s="26">
        <f t="shared" si="1"/>
        <v>3</v>
      </c>
      <c r="I62" s="26" t="s">
        <v>70</v>
      </c>
      <c r="J62" s="26">
        <f t="shared" si="2"/>
        <v>0</v>
      </c>
      <c r="K62" s="26" t="s">
        <v>70</v>
      </c>
      <c r="L62" s="26">
        <f t="shared" si="3"/>
        <v>0</v>
      </c>
      <c r="M62" s="26" t="s">
        <v>70</v>
      </c>
      <c r="N62" s="26">
        <f t="shared" si="4"/>
        <v>0</v>
      </c>
      <c r="O62" s="27" t="s">
        <v>26</v>
      </c>
      <c r="P62" s="26">
        <f t="shared" si="5"/>
        <v>3</v>
      </c>
      <c r="Q62" s="27" t="s">
        <v>26</v>
      </c>
      <c r="R62" s="26">
        <f t="shared" si="6"/>
        <v>3</v>
      </c>
      <c r="S62" s="28" t="s">
        <v>416</v>
      </c>
      <c r="T62" s="28" t="s">
        <v>417</v>
      </c>
      <c r="U62" s="28" t="s">
        <v>418</v>
      </c>
      <c r="V62" s="28" t="s">
        <v>419</v>
      </c>
      <c r="W62" s="28" t="s">
        <v>198</v>
      </c>
      <c r="X62" s="30" t="s">
        <v>420</v>
      </c>
      <c r="Y62" s="60" t="s">
        <v>421</v>
      </c>
      <c r="Z62" s="25">
        <v>1</v>
      </c>
      <c r="AA62" s="25">
        <v>1</v>
      </c>
      <c r="AB62" s="25">
        <v>1</v>
      </c>
      <c r="AC62" s="25">
        <v>1</v>
      </c>
      <c r="AD62" s="25">
        <v>1</v>
      </c>
      <c r="AE62" s="25">
        <v>1</v>
      </c>
      <c r="AF62" s="25">
        <v>1</v>
      </c>
    </row>
    <row r="63" spans="1:32" ht="129.6">
      <c r="A63" s="41"/>
      <c r="B63" s="41"/>
      <c r="C63" s="59" t="s">
        <v>422</v>
      </c>
      <c r="D63" s="25"/>
      <c r="E63" s="26" t="s">
        <v>26</v>
      </c>
      <c r="F63" s="26">
        <f t="shared" si="0"/>
        <v>3</v>
      </c>
      <c r="G63" s="26" t="s">
        <v>26</v>
      </c>
      <c r="H63" s="26">
        <f t="shared" si="1"/>
        <v>3</v>
      </c>
      <c r="I63" s="26" t="s">
        <v>27</v>
      </c>
      <c r="J63" s="26">
        <f t="shared" si="2"/>
        <v>1</v>
      </c>
      <c r="K63" s="26" t="s">
        <v>27</v>
      </c>
      <c r="L63" s="26">
        <f t="shared" si="3"/>
        <v>1</v>
      </c>
      <c r="M63" s="26" t="s">
        <v>27</v>
      </c>
      <c r="N63" s="26">
        <f t="shared" si="4"/>
        <v>1</v>
      </c>
      <c r="O63" s="27" t="s">
        <v>26</v>
      </c>
      <c r="P63" s="26">
        <f t="shared" si="5"/>
        <v>3</v>
      </c>
      <c r="Q63" s="27" t="s">
        <v>26</v>
      </c>
      <c r="R63" s="26">
        <f t="shared" si="6"/>
        <v>3</v>
      </c>
      <c r="S63" s="28" t="s">
        <v>44</v>
      </c>
      <c r="T63" s="28" t="s">
        <v>423</v>
      </c>
      <c r="U63" s="28" t="s">
        <v>424</v>
      </c>
      <c r="V63" s="28" t="s">
        <v>425</v>
      </c>
      <c r="W63" s="28" t="s">
        <v>143</v>
      </c>
      <c r="X63" s="30" t="s">
        <v>426</v>
      </c>
      <c r="Y63" s="60" t="s">
        <v>427</v>
      </c>
      <c r="Z63" s="25">
        <v>3</v>
      </c>
      <c r="AA63" s="25">
        <v>3</v>
      </c>
      <c r="AB63" s="25">
        <v>3</v>
      </c>
      <c r="AC63" s="25">
        <v>3</v>
      </c>
      <c r="AD63" s="25">
        <v>3</v>
      </c>
      <c r="AE63" s="25">
        <v>3</v>
      </c>
      <c r="AF63" s="25">
        <v>3</v>
      </c>
    </row>
    <row r="64" spans="1:32" ht="158.4">
      <c r="A64" s="41"/>
      <c r="B64" s="41"/>
      <c r="C64" s="59" t="s">
        <v>428</v>
      </c>
      <c r="D64" s="25"/>
      <c r="E64" s="26" t="s">
        <v>27</v>
      </c>
      <c r="F64" s="26">
        <f t="shared" si="0"/>
        <v>1</v>
      </c>
      <c r="G64" s="26" t="s">
        <v>26</v>
      </c>
      <c r="H64" s="26">
        <f t="shared" si="1"/>
        <v>3</v>
      </c>
      <c r="I64" s="26" t="s">
        <v>27</v>
      </c>
      <c r="J64" s="26">
        <f t="shared" si="2"/>
        <v>1</v>
      </c>
      <c r="K64" s="26" t="s">
        <v>27</v>
      </c>
      <c r="L64" s="26">
        <f t="shared" si="3"/>
        <v>1</v>
      </c>
      <c r="M64" s="26" t="s">
        <v>27</v>
      </c>
      <c r="N64" s="26">
        <f t="shared" si="4"/>
        <v>1</v>
      </c>
      <c r="O64" s="27" t="s">
        <v>26</v>
      </c>
      <c r="P64" s="26">
        <f t="shared" si="5"/>
        <v>3</v>
      </c>
      <c r="Q64" s="27" t="s">
        <v>26</v>
      </c>
      <c r="R64" s="26">
        <f t="shared" si="6"/>
        <v>3</v>
      </c>
      <c r="S64" s="28" t="s">
        <v>429</v>
      </c>
      <c r="T64" s="28" t="s">
        <v>430</v>
      </c>
      <c r="U64" s="28" t="s">
        <v>431</v>
      </c>
      <c r="V64" s="28" t="s">
        <v>432</v>
      </c>
      <c r="W64" s="28" t="s">
        <v>191</v>
      </c>
      <c r="X64" s="30" t="s">
        <v>433</v>
      </c>
      <c r="Y64" s="30" t="s">
        <v>434</v>
      </c>
      <c r="Z64" s="25">
        <v>1</v>
      </c>
      <c r="AA64" s="25">
        <v>1</v>
      </c>
      <c r="AB64" s="25">
        <v>1</v>
      </c>
      <c r="AC64" s="25">
        <v>1</v>
      </c>
      <c r="AD64" s="25">
        <v>1</v>
      </c>
      <c r="AE64" s="25">
        <v>1</v>
      </c>
      <c r="AF64" s="25">
        <v>1</v>
      </c>
    </row>
    <row r="65" spans="1:32" ht="144.6" thickBot="1">
      <c r="A65" s="42"/>
      <c r="B65" s="42"/>
      <c r="C65" s="72" t="s">
        <v>435</v>
      </c>
      <c r="D65" s="25"/>
      <c r="E65" s="49" t="s">
        <v>26</v>
      </c>
      <c r="F65" s="26">
        <f t="shared" si="0"/>
        <v>3</v>
      </c>
      <c r="G65" s="49" t="s">
        <v>26</v>
      </c>
      <c r="H65" s="26">
        <f t="shared" si="1"/>
        <v>3</v>
      </c>
      <c r="I65" s="49" t="s">
        <v>70</v>
      </c>
      <c r="J65" s="26">
        <f t="shared" si="2"/>
        <v>0</v>
      </c>
      <c r="K65" s="49" t="s">
        <v>70</v>
      </c>
      <c r="L65" s="26">
        <f t="shared" si="3"/>
        <v>0</v>
      </c>
      <c r="M65" s="49" t="s">
        <v>70</v>
      </c>
      <c r="N65" s="26">
        <f t="shared" si="4"/>
        <v>0</v>
      </c>
      <c r="O65" s="27" t="s">
        <v>26</v>
      </c>
      <c r="P65" s="26">
        <f t="shared" si="5"/>
        <v>3</v>
      </c>
      <c r="Q65" s="27" t="s">
        <v>26</v>
      </c>
      <c r="R65" s="26">
        <f t="shared" si="6"/>
        <v>3</v>
      </c>
      <c r="S65" s="28" t="s">
        <v>44</v>
      </c>
      <c r="T65" s="28" t="s">
        <v>436</v>
      </c>
      <c r="U65" s="28" t="s">
        <v>437</v>
      </c>
      <c r="V65" s="28" t="s">
        <v>438</v>
      </c>
      <c r="W65" s="28" t="s">
        <v>439</v>
      </c>
      <c r="X65" s="30" t="s">
        <v>440</v>
      </c>
      <c r="Y65" s="73" t="s">
        <v>441</v>
      </c>
      <c r="Z65" s="74">
        <v>3</v>
      </c>
      <c r="AA65" s="74">
        <v>3</v>
      </c>
      <c r="AB65" s="74">
        <v>3</v>
      </c>
      <c r="AC65" s="74">
        <v>3</v>
      </c>
      <c r="AD65" s="74">
        <v>3</v>
      </c>
      <c r="AE65" s="74">
        <v>3</v>
      </c>
      <c r="AF65" s="74">
        <v>3</v>
      </c>
    </row>
    <row r="66" spans="1:32" ht="172.8">
      <c r="A66" s="39">
        <v>10</v>
      </c>
      <c r="B66" s="40" t="s">
        <v>442</v>
      </c>
      <c r="C66" s="54" t="s">
        <v>443</v>
      </c>
      <c r="D66" s="25">
        <v>0.03</v>
      </c>
      <c r="E66" s="56" t="s">
        <v>26</v>
      </c>
      <c r="F66" s="26">
        <f t="shared" si="0"/>
        <v>3</v>
      </c>
      <c r="G66" s="56" t="s">
        <v>26</v>
      </c>
      <c r="H66" s="26">
        <f t="shared" si="1"/>
        <v>3</v>
      </c>
      <c r="I66" s="56" t="s">
        <v>27</v>
      </c>
      <c r="J66" s="26">
        <f t="shared" si="2"/>
        <v>1</v>
      </c>
      <c r="K66" s="56" t="s">
        <v>26</v>
      </c>
      <c r="L66" s="26">
        <f t="shared" si="3"/>
        <v>3</v>
      </c>
      <c r="M66" s="56" t="s">
        <v>27</v>
      </c>
      <c r="N66" s="26">
        <f t="shared" si="4"/>
        <v>1</v>
      </c>
      <c r="O66" s="27" t="s">
        <v>26</v>
      </c>
      <c r="P66" s="26">
        <f t="shared" si="5"/>
        <v>3</v>
      </c>
      <c r="Q66" s="27" t="s">
        <v>26</v>
      </c>
      <c r="R66" s="26">
        <f t="shared" si="6"/>
        <v>3</v>
      </c>
      <c r="S66" s="28" t="s">
        <v>44</v>
      </c>
      <c r="T66" s="28" t="s">
        <v>444</v>
      </c>
      <c r="U66" s="28" t="s">
        <v>445</v>
      </c>
      <c r="V66" s="28" t="s">
        <v>446</v>
      </c>
      <c r="W66" s="28" t="s">
        <v>143</v>
      </c>
      <c r="X66" s="57" t="s">
        <v>447</v>
      </c>
      <c r="Y66" s="57" t="s">
        <v>448</v>
      </c>
      <c r="Z66" s="64">
        <f>AVERAGE(F66:F72)*$D66/3</f>
        <v>2.4285714285714282E-2</v>
      </c>
      <c r="AA66" s="64">
        <f>AVERAGE(H66:H72)*$D66/3</f>
        <v>0.03</v>
      </c>
      <c r="AB66" s="64">
        <f>AVERAGE(J66:J72)*$D66/3</f>
        <v>5.7142857142857134E-3</v>
      </c>
      <c r="AC66" s="64">
        <f>AVERAGE(L66:L72)*$D66/3</f>
        <v>2.1428571428571425E-2</v>
      </c>
      <c r="AD66" s="64">
        <f>AVERAGE(N66:N72)*$D66/3</f>
        <v>5.7142857142857134E-3</v>
      </c>
      <c r="AE66" s="64">
        <f>AVERAGE(P66:P72)*$D66/3</f>
        <v>0.03</v>
      </c>
      <c r="AF66" s="64">
        <f>AVERAGE(R66:R72)*$D66/3</f>
        <v>0.03</v>
      </c>
    </row>
    <row r="67" spans="1:32" ht="158.4">
      <c r="A67" s="33"/>
      <c r="B67" s="41"/>
      <c r="C67" s="59" t="s">
        <v>449</v>
      </c>
      <c r="D67" s="25"/>
      <c r="E67" s="26" t="s">
        <v>26</v>
      </c>
      <c r="F67" s="26">
        <f t="shared" si="0"/>
        <v>3</v>
      </c>
      <c r="G67" s="26" t="s">
        <v>26</v>
      </c>
      <c r="H67" s="26">
        <f t="shared" si="1"/>
        <v>3</v>
      </c>
      <c r="I67" s="26" t="s">
        <v>27</v>
      </c>
      <c r="J67" s="26">
        <f t="shared" si="2"/>
        <v>1</v>
      </c>
      <c r="K67" s="26" t="s">
        <v>27</v>
      </c>
      <c r="L67" s="26">
        <f t="shared" si="3"/>
        <v>1</v>
      </c>
      <c r="M67" s="26" t="s">
        <v>27</v>
      </c>
      <c r="N67" s="26">
        <f t="shared" si="4"/>
        <v>1</v>
      </c>
      <c r="O67" s="27" t="s">
        <v>26</v>
      </c>
      <c r="P67" s="26">
        <f t="shared" si="5"/>
        <v>3</v>
      </c>
      <c r="Q67" s="27" t="s">
        <v>26</v>
      </c>
      <c r="R67" s="26">
        <f t="shared" si="6"/>
        <v>3</v>
      </c>
      <c r="S67" s="28" t="s">
        <v>44</v>
      </c>
      <c r="T67" s="28" t="s">
        <v>450</v>
      </c>
      <c r="U67" s="28" t="s">
        <v>451</v>
      </c>
      <c r="V67" s="28" t="s">
        <v>452</v>
      </c>
      <c r="W67" s="28" t="s">
        <v>191</v>
      </c>
      <c r="X67" s="57" t="s">
        <v>453</v>
      </c>
      <c r="Y67" s="57" t="s">
        <v>454</v>
      </c>
      <c r="Z67" s="25">
        <v>3</v>
      </c>
      <c r="AA67" s="25">
        <v>3</v>
      </c>
      <c r="AB67" s="25">
        <v>3</v>
      </c>
      <c r="AC67" s="25">
        <v>3</v>
      </c>
      <c r="AD67" s="25">
        <v>3</v>
      </c>
      <c r="AE67" s="25">
        <v>3</v>
      </c>
      <c r="AF67" s="25">
        <v>3</v>
      </c>
    </row>
    <row r="68" spans="1:32" ht="172.8">
      <c r="A68" s="33"/>
      <c r="B68" s="41"/>
      <c r="C68" s="59" t="s">
        <v>455</v>
      </c>
      <c r="D68" s="25"/>
      <c r="E68" s="26" t="s">
        <v>26</v>
      </c>
      <c r="F68" s="26">
        <f t="shared" ref="F68:F76" si="7">IF(E68="C",3,IF(E68="PC",1,IF(E68="NC",0,"")))</f>
        <v>3</v>
      </c>
      <c r="G68" s="26" t="s">
        <v>26</v>
      </c>
      <c r="H68" s="26">
        <f t="shared" ref="H68:H76" si="8">IF(G68="C",3,IF(G68="PC",1,IF(G68="NC",0,"")))</f>
        <v>3</v>
      </c>
      <c r="I68" s="26" t="s">
        <v>70</v>
      </c>
      <c r="J68" s="26">
        <f t="shared" ref="J68:J76" si="9">IF(I68="C",3,IF(I68="PC",1,IF(I68="NC",0,"")))</f>
        <v>0</v>
      </c>
      <c r="K68" s="26" t="s">
        <v>26</v>
      </c>
      <c r="L68" s="26">
        <f t="shared" ref="L68:L76" si="10">IF(K68="C",3,IF(K68="PC",1,IF(K68="NC",0,"")))</f>
        <v>3</v>
      </c>
      <c r="M68" s="26" t="s">
        <v>70</v>
      </c>
      <c r="N68" s="26">
        <f t="shared" ref="N68:N76" si="11">IF(M68="C",3,IF(M68="PC",1,IF(M68="NC",0,"")))</f>
        <v>0</v>
      </c>
      <c r="O68" s="27" t="s">
        <v>26</v>
      </c>
      <c r="P68" s="26">
        <f t="shared" ref="P68:P76" si="12">IF(O68="C",3,IF(O68="PC",1,IF(O68="NC",0,"")))</f>
        <v>3</v>
      </c>
      <c r="Q68" s="27" t="s">
        <v>26</v>
      </c>
      <c r="R68" s="26">
        <f t="shared" ref="R68:R76" si="13">IF(Q68="C",3,IF(Q68="PC",1,IF(Q68="NC",0,"")))</f>
        <v>3</v>
      </c>
      <c r="S68" s="28" t="s">
        <v>44</v>
      </c>
      <c r="T68" s="28" t="s">
        <v>456</v>
      </c>
      <c r="U68" s="28" t="s">
        <v>457</v>
      </c>
      <c r="V68" s="28" t="s">
        <v>458</v>
      </c>
      <c r="W68" s="28" t="s">
        <v>198</v>
      </c>
      <c r="X68" s="57" t="s">
        <v>459</v>
      </c>
      <c r="Y68" s="57" t="s">
        <v>460</v>
      </c>
      <c r="Z68" s="25">
        <v>3</v>
      </c>
      <c r="AA68" s="25">
        <v>3</v>
      </c>
      <c r="AB68" s="25">
        <v>3</v>
      </c>
      <c r="AC68" s="25">
        <v>3</v>
      </c>
      <c r="AD68" s="25">
        <v>3</v>
      </c>
      <c r="AE68" s="25">
        <v>3</v>
      </c>
      <c r="AF68" s="25">
        <v>3</v>
      </c>
    </row>
    <row r="69" spans="1:32" ht="216">
      <c r="A69" s="33"/>
      <c r="B69" s="41"/>
      <c r="C69" s="59" t="s">
        <v>461</v>
      </c>
      <c r="D69" s="25"/>
      <c r="E69" s="26" t="s">
        <v>26</v>
      </c>
      <c r="F69" s="26">
        <f t="shared" si="7"/>
        <v>3</v>
      </c>
      <c r="G69" s="26" t="s">
        <v>26</v>
      </c>
      <c r="H69" s="26">
        <f t="shared" si="8"/>
        <v>3</v>
      </c>
      <c r="I69" s="26" t="s">
        <v>27</v>
      </c>
      <c r="J69" s="26">
        <f t="shared" si="9"/>
        <v>1</v>
      </c>
      <c r="K69" s="26" t="s">
        <v>26</v>
      </c>
      <c r="L69" s="26">
        <f t="shared" si="10"/>
        <v>3</v>
      </c>
      <c r="M69" s="26" t="s">
        <v>27</v>
      </c>
      <c r="N69" s="26">
        <f t="shared" si="11"/>
        <v>1</v>
      </c>
      <c r="O69" s="27" t="s">
        <v>26</v>
      </c>
      <c r="P69" s="26">
        <f t="shared" si="12"/>
        <v>3</v>
      </c>
      <c r="Q69" s="27" t="s">
        <v>26</v>
      </c>
      <c r="R69" s="26">
        <f t="shared" si="13"/>
        <v>3</v>
      </c>
      <c r="S69" s="28" t="s">
        <v>44</v>
      </c>
      <c r="T69" s="28" t="s">
        <v>462</v>
      </c>
      <c r="U69" s="28" t="s">
        <v>463</v>
      </c>
      <c r="V69" s="28" t="s">
        <v>464</v>
      </c>
      <c r="W69" s="28" t="s">
        <v>143</v>
      </c>
      <c r="X69" s="57" t="s">
        <v>465</v>
      </c>
      <c r="Y69" s="60" t="s">
        <v>466</v>
      </c>
      <c r="Z69" s="25">
        <v>3</v>
      </c>
      <c r="AA69" s="25">
        <v>3</v>
      </c>
      <c r="AB69" s="25">
        <v>3</v>
      </c>
      <c r="AC69" s="25">
        <v>3</v>
      </c>
      <c r="AD69" s="25">
        <v>3</v>
      </c>
      <c r="AE69" s="25">
        <v>3</v>
      </c>
      <c r="AF69" s="25">
        <v>3</v>
      </c>
    </row>
    <row r="70" spans="1:32" ht="259.2">
      <c r="A70" s="33"/>
      <c r="B70" s="41"/>
      <c r="C70" s="59" t="s">
        <v>467</v>
      </c>
      <c r="D70" s="25"/>
      <c r="E70" s="26" t="s">
        <v>27</v>
      </c>
      <c r="F70" s="26">
        <f t="shared" si="7"/>
        <v>1</v>
      </c>
      <c r="G70" s="26" t="s">
        <v>26</v>
      </c>
      <c r="H70" s="26">
        <f t="shared" si="8"/>
        <v>3</v>
      </c>
      <c r="I70" s="26" t="s">
        <v>27</v>
      </c>
      <c r="J70" s="26">
        <f t="shared" si="9"/>
        <v>1</v>
      </c>
      <c r="K70" s="26" t="s">
        <v>26</v>
      </c>
      <c r="L70" s="26">
        <f t="shared" si="10"/>
        <v>3</v>
      </c>
      <c r="M70" s="26" t="s">
        <v>27</v>
      </c>
      <c r="N70" s="26">
        <f t="shared" si="11"/>
        <v>1</v>
      </c>
      <c r="O70" s="27" t="s">
        <v>26</v>
      </c>
      <c r="P70" s="26">
        <f t="shared" si="12"/>
        <v>3</v>
      </c>
      <c r="Q70" s="27" t="s">
        <v>26</v>
      </c>
      <c r="R70" s="26">
        <f t="shared" si="13"/>
        <v>3</v>
      </c>
      <c r="S70" s="28" t="s">
        <v>468</v>
      </c>
      <c r="T70" s="28" t="s">
        <v>469</v>
      </c>
      <c r="U70" s="28" t="s">
        <v>470</v>
      </c>
      <c r="V70" s="28" t="s">
        <v>471</v>
      </c>
      <c r="W70" s="28" t="s">
        <v>143</v>
      </c>
      <c r="X70" s="57" t="s">
        <v>472</v>
      </c>
      <c r="Y70" s="57" t="s">
        <v>473</v>
      </c>
      <c r="Z70" s="25">
        <v>1</v>
      </c>
      <c r="AA70" s="25">
        <v>1</v>
      </c>
      <c r="AB70" s="25">
        <v>1</v>
      </c>
      <c r="AC70" s="25">
        <v>1</v>
      </c>
      <c r="AD70" s="25">
        <v>1</v>
      </c>
      <c r="AE70" s="25">
        <v>1</v>
      </c>
      <c r="AF70" s="25">
        <v>1</v>
      </c>
    </row>
    <row r="71" spans="1:32" ht="158.4">
      <c r="A71" s="33"/>
      <c r="B71" s="41"/>
      <c r="C71" s="59" t="s">
        <v>474</v>
      </c>
      <c r="D71" s="25"/>
      <c r="E71" s="26" t="s">
        <v>27</v>
      </c>
      <c r="F71" s="26">
        <f t="shared" si="7"/>
        <v>1</v>
      </c>
      <c r="G71" s="26" t="s">
        <v>26</v>
      </c>
      <c r="H71" s="26">
        <f t="shared" si="8"/>
        <v>3</v>
      </c>
      <c r="I71" s="26" t="s">
        <v>70</v>
      </c>
      <c r="J71" s="26">
        <f t="shared" si="9"/>
        <v>0</v>
      </c>
      <c r="K71" s="26" t="s">
        <v>27</v>
      </c>
      <c r="L71" s="26">
        <f t="shared" si="10"/>
        <v>1</v>
      </c>
      <c r="M71" s="26" t="s">
        <v>70</v>
      </c>
      <c r="N71" s="26">
        <f t="shared" si="11"/>
        <v>0</v>
      </c>
      <c r="O71" s="27" t="s">
        <v>26</v>
      </c>
      <c r="P71" s="26">
        <f t="shared" si="12"/>
        <v>3</v>
      </c>
      <c r="Q71" s="27" t="s">
        <v>26</v>
      </c>
      <c r="R71" s="26">
        <f t="shared" si="13"/>
        <v>3</v>
      </c>
      <c r="S71" s="28" t="s">
        <v>475</v>
      </c>
      <c r="T71" s="28" t="s">
        <v>476</v>
      </c>
      <c r="U71" s="28" t="s">
        <v>477</v>
      </c>
      <c r="V71" s="28" t="s">
        <v>478</v>
      </c>
      <c r="W71" s="28" t="s">
        <v>156</v>
      </c>
      <c r="X71" s="57" t="s">
        <v>479</v>
      </c>
      <c r="Y71" s="57" t="s">
        <v>480</v>
      </c>
      <c r="Z71" s="25">
        <v>1</v>
      </c>
      <c r="AA71" s="25">
        <v>1</v>
      </c>
      <c r="AB71" s="25">
        <v>1</v>
      </c>
      <c r="AC71" s="25">
        <v>1</v>
      </c>
      <c r="AD71" s="25">
        <v>1</v>
      </c>
      <c r="AE71" s="25">
        <v>1</v>
      </c>
      <c r="AF71" s="25">
        <v>1</v>
      </c>
    </row>
    <row r="72" spans="1:32" ht="144.6" thickBot="1">
      <c r="A72" s="37"/>
      <c r="B72" s="42"/>
      <c r="C72" s="61" t="s">
        <v>481</v>
      </c>
      <c r="D72" s="25"/>
      <c r="E72" s="62" t="s">
        <v>26</v>
      </c>
      <c r="F72" s="26">
        <f t="shared" si="7"/>
        <v>3</v>
      </c>
      <c r="G72" s="62" t="s">
        <v>26</v>
      </c>
      <c r="H72" s="26">
        <f t="shared" si="8"/>
        <v>3</v>
      </c>
      <c r="I72" s="62" t="s">
        <v>70</v>
      </c>
      <c r="J72" s="26">
        <f t="shared" si="9"/>
        <v>0</v>
      </c>
      <c r="K72" s="62" t="s">
        <v>27</v>
      </c>
      <c r="L72" s="26">
        <f t="shared" si="10"/>
        <v>1</v>
      </c>
      <c r="M72" s="62" t="s">
        <v>70</v>
      </c>
      <c r="N72" s="26">
        <f t="shared" si="11"/>
        <v>0</v>
      </c>
      <c r="O72" s="27" t="s">
        <v>26</v>
      </c>
      <c r="P72" s="26">
        <f t="shared" si="12"/>
        <v>3</v>
      </c>
      <c r="Q72" s="27" t="s">
        <v>26</v>
      </c>
      <c r="R72" s="26">
        <f t="shared" si="13"/>
        <v>3</v>
      </c>
      <c r="S72" s="28" t="s">
        <v>44</v>
      </c>
      <c r="T72" s="28" t="s">
        <v>482</v>
      </c>
      <c r="U72" s="28" t="s">
        <v>483</v>
      </c>
      <c r="V72" s="28" t="s">
        <v>484</v>
      </c>
      <c r="W72" s="28" t="s">
        <v>485</v>
      </c>
      <c r="X72" s="57" t="s">
        <v>486</v>
      </c>
      <c r="Y72" s="57" t="s">
        <v>487</v>
      </c>
      <c r="Z72" s="65">
        <v>3</v>
      </c>
      <c r="AA72" s="65">
        <v>3</v>
      </c>
      <c r="AB72" s="65">
        <v>3</v>
      </c>
      <c r="AC72" s="65">
        <v>3</v>
      </c>
      <c r="AD72" s="65">
        <v>3</v>
      </c>
      <c r="AE72" s="65">
        <v>3</v>
      </c>
      <c r="AF72" s="65">
        <v>3</v>
      </c>
    </row>
    <row r="73" spans="1:32" ht="302.39999999999998">
      <c r="A73" s="66">
        <v>11</v>
      </c>
      <c r="B73" s="67" t="s">
        <v>488</v>
      </c>
      <c r="C73" s="68" t="s">
        <v>489</v>
      </c>
      <c r="D73" s="25">
        <v>0.02</v>
      </c>
      <c r="E73" s="69" t="s">
        <v>26</v>
      </c>
      <c r="F73" s="26">
        <f t="shared" si="7"/>
        <v>3</v>
      </c>
      <c r="G73" s="69" t="s">
        <v>26</v>
      </c>
      <c r="H73" s="26">
        <f t="shared" si="8"/>
        <v>3</v>
      </c>
      <c r="I73" s="69" t="s">
        <v>27</v>
      </c>
      <c r="J73" s="26">
        <f t="shared" si="9"/>
        <v>1</v>
      </c>
      <c r="K73" s="69" t="s">
        <v>70</v>
      </c>
      <c r="L73" s="26">
        <f t="shared" si="10"/>
        <v>0</v>
      </c>
      <c r="M73" s="69" t="s">
        <v>27</v>
      </c>
      <c r="N73" s="26">
        <f t="shared" si="11"/>
        <v>1</v>
      </c>
      <c r="O73" s="27" t="s">
        <v>26</v>
      </c>
      <c r="P73" s="26">
        <f t="shared" si="12"/>
        <v>3</v>
      </c>
      <c r="Q73" s="27" t="s">
        <v>26</v>
      </c>
      <c r="R73" s="26">
        <f t="shared" si="13"/>
        <v>3</v>
      </c>
      <c r="S73" s="28" t="s">
        <v>44</v>
      </c>
      <c r="T73" s="28" t="s">
        <v>490</v>
      </c>
      <c r="U73" s="28" t="s">
        <v>491</v>
      </c>
      <c r="V73" s="28" t="s">
        <v>492</v>
      </c>
      <c r="W73" s="28" t="s">
        <v>143</v>
      </c>
      <c r="X73" s="30" t="s">
        <v>493</v>
      </c>
      <c r="Y73" s="30" t="s">
        <v>494</v>
      </c>
      <c r="Z73" s="71">
        <f>AVERAGE(F73:F76)*$D73/3</f>
        <v>1.3333333333333334E-2</v>
      </c>
      <c r="AA73" s="71">
        <f>AVERAGE(H73:H76)*$D73/3</f>
        <v>0.02</v>
      </c>
      <c r="AB73" s="71">
        <f>AVERAGE(J73:J76)*$D73/3</f>
        <v>5.0000000000000001E-3</v>
      </c>
      <c r="AC73" s="71">
        <f>AVERAGE(L73:L76)*$D73/3</f>
        <v>1.6666666666666668E-3</v>
      </c>
      <c r="AD73" s="71">
        <f>AVERAGE(N73:N76)*$D73/3</f>
        <v>5.0000000000000001E-3</v>
      </c>
      <c r="AE73" s="71">
        <f>AVERAGE(P73:P76)*$D73/3</f>
        <v>0.02</v>
      </c>
      <c r="AF73" s="71">
        <f>AVERAGE(R73:R76)*$D73/3</f>
        <v>0.02</v>
      </c>
    </row>
    <row r="74" spans="1:32" ht="144">
      <c r="A74" s="41"/>
      <c r="B74" s="41"/>
      <c r="C74" s="59" t="s">
        <v>495</v>
      </c>
      <c r="D74" s="25"/>
      <c r="E74" s="26" t="s">
        <v>27</v>
      </c>
      <c r="F74" s="26">
        <f t="shared" si="7"/>
        <v>1</v>
      </c>
      <c r="G74" s="26" t="s">
        <v>26</v>
      </c>
      <c r="H74" s="26">
        <f t="shared" si="8"/>
        <v>3</v>
      </c>
      <c r="I74" s="26" t="s">
        <v>70</v>
      </c>
      <c r="J74" s="26">
        <f t="shared" si="9"/>
        <v>0</v>
      </c>
      <c r="K74" s="26" t="s">
        <v>70</v>
      </c>
      <c r="L74" s="26">
        <f t="shared" si="10"/>
        <v>0</v>
      </c>
      <c r="M74" s="26" t="s">
        <v>70</v>
      </c>
      <c r="N74" s="26">
        <f t="shared" si="11"/>
        <v>0</v>
      </c>
      <c r="O74" s="27" t="s">
        <v>26</v>
      </c>
      <c r="P74" s="26">
        <f t="shared" si="12"/>
        <v>3</v>
      </c>
      <c r="Q74" s="27" t="s">
        <v>26</v>
      </c>
      <c r="R74" s="26">
        <f t="shared" si="13"/>
        <v>3</v>
      </c>
      <c r="S74" s="28" t="s">
        <v>496</v>
      </c>
      <c r="T74" s="28" t="s">
        <v>497</v>
      </c>
      <c r="U74" s="28"/>
      <c r="V74" s="28" t="s">
        <v>498</v>
      </c>
      <c r="W74" s="28" t="s">
        <v>198</v>
      </c>
      <c r="X74" s="30" t="s">
        <v>499</v>
      </c>
      <c r="Y74" s="30" t="s">
        <v>500</v>
      </c>
      <c r="Z74" s="25">
        <v>1</v>
      </c>
      <c r="AA74" s="25">
        <v>1</v>
      </c>
      <c r="AB74" s="25">
        <v>1</v>
      </c>
      <c r="AC74" s="25">
        <v>1</v>
      </c>
      <c r="AD74" s="25">
        <v>1</v>
      </c>
      <c r="AE74" s="25">
        <v>1</v>
      </c>
      <c r="AF74" s="25">
        <v>1</v>
      </c>
    </row>
    <row r="75" spans="1:32" ht="216">
      <c r="A75" s="41"/>
      <c r="B75" s="41"/>
      <c r="C75" s="59" t="s">
        <v>501</v>
      </c>
      <c r="D75" s="25"/>
      <c r="E75" s="26" t="s">
        <v>26</v>
      </c>
      <c r="F75" s="26">
        <f t="shared" si="7"/>
        <v>3</v>
      </c>
      <c r="G75" s="26" t="s">
        <v>26</v>
      </c>
      <c r="H75" s="26">
        <f t="shared" si="8"/>
        <v>3</v>
      </c>
      <c r="I75" s="26" t="s">
        <v>27</v>
      </c>
      <c r="J75" s="26">
        <f t="shared" si="9"/>
        <v>1</v>
      </c>
      <c r="K75" s="26" t="s">
        <v>27</v>
      </c>
      <c r="L75" s="26">
        <f t="shared" si="10"/>
        <v>1</v>
      </c>
      <c r="M75" s="26" t="s">
        <v>27</v>
      </c>
      <c r="N75" s="26">
        <f t="shared" si="11"/>
        <v>1</v>
      </c>
      <c r="O75" s="27" t="s">
        <v>26</v>
      </c>
      <c r="P75" s="26">
        <f t="shared" si="12"/>
        <v>3</v>
      </c>
      <c r="Q75" s="27" t="s">
        <v>26</v>
      </c>
      <c r="R75" s="26">
        <f t="shared" si="13"/>
        <v>3</v>
      </c>
      <c r="S75" s="28" t="s">
        <v>44</v>
      </c>
      <c r="T75" s="28" t="s">
        <v>502</v>
      </c>
      <c r="U75" s="28"/>
      <c r="V75" s="28" t="s">
        <v>503</v>
      </c>
      <c r="W75" s="28" t="s">
        <v>143</v>
      </c>
      <c r="X75" s="30" t="s">
        <v>504</v>
      </c>
      <c r="Y75" s="30" t="s">
        <v>505</v>
      </c>
      <c r="Z75" s="25">
        <v>3</v>
      </c>
      <c r="AA75" s="25">
        <v>3</v>
      </c>
      <c r="AB75" s="25">
        <v>3</v>
      </c>
      <c r="AC75" s="25">
        <v>3</v>
      </c>
      <c r="AD75" s="25">
        <v>3</v>
      </c>
      <c r="AE75" s="25">
        <v>3</v>
      </c>
      <c r="AF75" s="25">
        <v>3</v>
      </c>
    </row>
    <row r="76" spans="1:32" ht="273.60000000000002">
      <c r="A76" s="42"/>
      <c r="B76" s="42"/>
      <c r="C76" s="59" t="s">
        <v>506</v>
      </c>
      <c r="D76" s="25"/>
      <c r="E76" s="26" t="s">
        <v>27</v>
      </c>
      <c r="F76" s="26">
        <f t="shared" si="7"/>
        <v>1</v>
      </c>
      <c r="G76" s="26" t="s">
        <v>26</v>
      </c>
      <c r="H76" s="26">
        <f t="shared" si="8"/>
        <v>3</v>
      </c>
      <c r="I76" s="26" t="s">
        <v>27</v>
      </c>
      <c r="J76" s="26">
        <f t="shared" si="9"/>
        <v>1</v>
      </c>
      <c r="K76" s="26" t="s">
        <v>70</v>
      </c>
      <c r="L76" s="26">
        <f t="shared" si="10"/>
        <v>0</v>
      </c>
      <c r="M76" s="26" t="s">
        <v>27</v>
      </c>
      <c r="N76" s="26">
        <f t="shared" si="11"/>
        <v>1</v>
      </c>
      <c r="O76" s="27" t="s">
        <v>26</v>
      </c>
      <c r="P76" s="26">
        <f t="shared" si="12"/>
        <v>3</v>
      </c>
      <c r="Q76" s="27" t="s">
        <v>26</v>
      </c>
      <c r="R76" s="26">
        <f t="shared" si="13"/>
        <v>3</v>
      </c>
      <c r="S76" s="28" t="s">
        <v>496</v>
      </c>
      <c r="T76" s="28" t="s">
        <v>507</v>
      </c>
      <c r="U76" s="28" t="s">
        <v>508</v>
      </c>
      <c r="V76" s="28" t="s">
        <v>509</v>
      </c>
      <c r="W76" s="28" t="s">
        <v>143</v>
      </c>
      <c r="X76" s="30" t="s">
        <v>510</v>
      </c>
      <c r="Y76" s="30" t="s">
        <v>511</v>
      </c>
      <c r="Z76" s="25">
        <v>1</v>
      </c>
      <c r="AA76" s="25">
        <v>1</v>
      </c>
      <c r="AB76" s="25">
        <v>1</v>
      </c>
      <c r="AC76" s="25">
        <v>1</v>
      </c>
      <c r="AD76" s="25">
        <v>1</v>
      </c>
      <c r="AE76" s="25">
        <v>1</v>
      </c>
      <c r="AF76" s="25">
        <v>1</v>
      </c>
    </row>
    <row r="77" spans="1:32">
      <c r="D77" s="77">
        <f>SUM(D3:D76)</f>
        <v>1</v>
      </c>
      <c r="Z77" s="77">
        <f>Z3+Z13+Z22+Z30+Z38+Z45+Z48+Z56+Z61+Z66+Z73</f>
        <v>0.92517460317460309</v>
      </c>
      <c r="AA77" s="77">
        <f t="shared" ref="AA77:AF77" si="14">AA3+AA13+AA22+AA30+AA38+AA45+AA48+AA56+AA61+AA66+AA73</f>
        <v>0.7055555555555556</v>
      </c>
      <c r="AB77" s="77">
        <f t="shared" si="14"/>
        <v>0.61848015873015871</v>
      </c>
      <c r="AC77" s="77">
        <f t="shared" si="14"/>
        <v>0.69359920634920635</v>
      </c>
      <c r="AD77" s="77">
        <f t="shared" si="14"/>
        <v>0.61848015873015871</v>
      </c>
      <c r="AE77" s="77">
        <f t="shared" si="14"/>
        <v>0.96857142857142864</v>
      </c>
      <c r="AF77" s="77">
        <f t="shared" si="14"/>
        <v>1</v>
      </c>
    </row>
  </sheetData>
  <mergeCells count="120">
    <mergeCell ref="AC73:AC76"/>
    <mergeCell ref="AD73:AD76"/>
    <mergeCell ref="AE73:AE76"/>
    <mergeCell ref="AF73:AF76"/>
    <mergeCell ref="AC66:AC72"/>
    <mergeCell ref="AD66:AD72"/>
    <mergeCell ref="AE66:AE72"/>
    <mergeCell ref="AF66:AF72"/>
    <mergeCell ref="A73:A76"/>
    <mergeCell ref="B73:B76"/>
    <mergeCell ref="D73:D76"/>
    <mergeCell ref="Z73:Z76"/>
    <mergeCell ref="AA73:AA76"/>
    <mergeCell ref="AB73:AB76"/>
    <mergeCell ref="AC61:AC65"/>
    <mergeCell ref="AD61:AD65"/>
    <mergeCell ref="AE61:AE65"/>
    <mergeCell ref="AF61:AF65"/>
    <mergeCell ref="A66:A72"/>
    <mergeCell ref="B66:B72"/>
    <mergeCell ref="D66:D72"/>
    <mergeCell ref="Z66:Z72"/>
    <mergeCell ref="AA66:AA72"/>
    <mergeCell ref="AB66:AB72"/>
    <mergeCell ref="AC56:AC60"/>
    <mergeCell ref="AD56:AD60"/>
    <mergeCell ref="AE56:AE60"/>
    <mergeCell ref="AF56:AF60"/>
    <mergeCell ref="A61:A65"/>
    <mergeCell ref="B61:B65"/>
    <mergeCell ref="D61:D65"/>
    <mergeCell ref="Z61:Z65"/>
    <mergeCell ref="AA61:AA65"/>
    <mergeCell ref="AB61:AB65"/>
    <mergeCell ref="AC48:AC55"/>
    <mergeCell ref="AD48:AD55"/>
    <mergeCell ref="AE48:AE55"/>
    <mergeCell ref="AF48:AF55"/>
    <mergeCell ref="A56:A60"/>
    <mergeCell ref="B56:B60"/>
    <mergeCell ref="D56:D60"/>
    <mergeCell ref="Z56:Z60"/>
    <mergeCell ref="AA56:AA60"/>
    <mergeCell ref="AB56:AB60"/>
    <mergeCell ref="AC45:AC47"/>
    <mergeCell ref="AD45:AD47"/>
    <mergeCell ref="AE45:AE47"/>
    <mergeCell ref="AF45:AF47"/>
    <mergeCell ref="A48:A55"/>
    <mergeCell ref="B48:B55"/>
    <mergeCell ref="D48:D55"/>
    <mergeCell ref="Z48:Z55"/>
    <mergeCell ref="AA48:AA55"/>
    <mergeCell ref="AB48:AB55"/>
    <mergeCell ref="AD38:AD44"/>
    <mergeCell ref="AE38:AE44"/>
    <mergeCell ref="AF38:AF44"/>
    <mergeCell ref="A45:A47"/>
    <mergeCell ref="B45:B47"/>
    <mergeCell ref="D45:D47"/>
    <mergeCell ref="T45:T47"/>
    <mergeCell ref="Z45:Z47"/>
    <mergeCell ref="AA45:AA47"/>
    <mergeCell ref="AB45:AB47"/>
    <mergeCell ref="AD30:AD37"/>
    <mergeCell ref="AE30:AE37"/>
    <mergeCell ref="AF30:AF37"/>
    <mergeCell ref="A38:A44"/>
    <mergeCell ref="B38:B44"/>
    <mergeCell ref="D38:D44"/>
    <mergeCell ref="Z38:Z44"/>
    <mergeCell ref="AA38:AA44"/>
    <mergeCell ref="AB38:AB44"/>
    <mergeCell ref="AC38:AC44"/>
    <mergeCell ref="AD22:AD29"/>
    <mergeCell ref="AE22:AE29"/>
    <mergeCell ref="AF22:AF29"/>
    <mergeCell ref="A30:A37"/>
    <mergeCell ref="B30:B37"/>
    <mergeCell ref="D30:D37"/>
    <mergeCell ref="Z30:Z37"/>
    <mergeCell ref="AA30:AA37"/>
    <mergeCell ref="AB30:AB37"/>
    <mergeCell ref="AC30:AC37"/>
    <mergeCell ref="AD13:AD21"/>
    <mergeCell ref="AE13:AE21"/>
    <mergeCell ref="AF13:AF21"/>
    <mergeCell ref="A22:A29"/>
    <mergeCell ref="B22:B29"/>
    <mergeCell ref="D22:D29"/>
    <mergeCell ref="Z22:Z29"/>
    <mergeCell ref="AA22:AA29"/>
    <mergeCell ref="AB22:AB29"/>
    <mergeCell ref="AC22:AC29"/>
    <mergeCell ref="AD3:AD12"/>
    <mergeCell ref="AE3:AE12"/>
    <mergeCell ref="AF3:AF12"/>
    <mergeCell ref="A13:A21"/>
    <mergeCell ref="B13:B21"/>
    <mergeCell ref="D13:D21"/>
    <mergeCell ref="Z13:Z21"/>
    <mergeCell ref="AA13:AA21"/>
    <mergeCell ref="AB13:AB21"/>
    <mergeCell ref="AC13:AC21"/>
    <mergeCell ref="Q1:R1"/>
    <mergeCell ref="S1:W1"/>
    <mergeCell ref="Z1:AF1"/>
    <mergeCell ref="A3:A12"/>
    <mergeCell ref="B3:B12"/>
    <mergeCell ref="D3:D12"/>
    <mergeCell ref="Z3:Z12"/>
    <mergeCell ref="AA3:AA12"/>
    <mergeCell ref="AB3:AB12"/>
    <mergeCell ref="AC3:AC12"/>
    <mergeCell ref="E1:F1"/>
    <mergeCell ref="G1:H1"/>
    <mergeCell ref="I1:J1"/>
    <mergeCell ref="K1:L1"/>
    <mergeCell ref="M1:N1"/>
    <mergeCell ref="O1:P1"/>
  </mergeCells>
  <hyperlinks>
    <hyperlink ref="T6" r:id="rId1" location="2-select-audience-type" xr:uid="{60296591-CCBF-42AC-B34B-04D2DACB61F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A78701D9CB74A94E38252BAB16D34" ma:contentTypeVersion="15" ma:contentTypeDescription="Create a new document." ma:contentTypeScope="" ma:versionID="9cd3424a73fb776ce000b1b5bb13b20a">
  <xsd:schema xmlns:xsd="http://www.w3.org/2001/XMLSchema" xmlns:xs="http://www.w3.org/2001/XMLSchema" xmlns:p="http://schemas.microsoft.com/office/2006/metadata/properties" xmlns:ns3="bf2567e6-16f4-4c6b-b0e9-0ea0396e433b" xmlns:ns4="5add0bd2-c77a-462d-bf1b-4bc5b2b102e1" targetNamespace="http://schemas.microsoft.com/office/2006/metadata/properties" ma:root="true" ma:fieldsID="8df173fb0339a05726bf1a29330b6932" ns3:_="" ns4:_="">
    <xsd:import namespace="bf2567e6-16f4-4c6b-b0e9-0ea0396e433b"/>
    <xsd:import namespace="5add0bd2-c77a-462d-bf1b-4bc5b2b102e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SystemTags"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2567e6-16f4-4c6b-b0e9-0ea0396e43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dd0bd2-c77a-462d-bf1b-4bc5b2b102e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f2567e6-16f4-4c6b-b0e9-0ea0396e433b" xsi:nil="true"/>
  </documentManagement>
</p:properties>
</file>

<file path=customXml/itemProps1.xml><?xml version="1.0" encoding="utf-8"?>
<ds:datastoreItem xmlns:ds="http://schemas.openxmlformats.org/officeDocument/2006/customXml" ds:itemID="{943C2C83-E3AF-4056-85EF-09DB3D15A5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2567e6-16f4-4c6b-b0e9-0ea0396e433b"/>
    <ds:schemaRef ds:uri="5add0bd2-c77a-462d-bf1b-4bc5b2b102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9D0BE4E-3387-44D9-89CA-0A735F42BDED}">
  <ds:schemaRefs>
    <ds:schemaRef ds:uri="http://schemas.microsoft.com/sharepoint/v3/contenttype/forms"/>
  </ds:schemaRefs>
</ds:datastoreItem>
</file>

<file path=customXml/itemProps3.xml><?xml version="1.0" encoding="utf-8"?>
<ds:datastoreItem xmlns:ds="http://schemas.openxmlformats.org/officeDocument/2006/customXml" ds:itemID="{0A6C5993-368B-4D13-95BA-4153DAAADA89}">
  <ds:schemaRefs>
    <ds:schemaRef ds:uri="http://schemas.microsoft.com/office/2006/metadata/properties"/>
    <ds:schemaRef ds:uri="http://purl.org/dc/terms/"/>
    <ds:schemaRef ds:uri="http://schemas.openxmlformats.org/package/2006/metadata/core-properties"/>
    <ds:schemaRef ds:uri="http://www.w3.org/XML/1998/namespace"/>
    <ds:schemaRef ds:uri="http://schemas.microsoft.com/office/2006/documentManagement/types"/>
    <ds:schemaRef ds:uri="http://schemas.microsoft.com/office/infopath/2007/PartnerControls"/>
    <ds:schemaRef ds:uri="http://purl.org/dc/dcmitype/"/>
    <ds:schemaRef ds:uri="5add0bd2-c77a-462d-bf1b-4bc5b2b102e1"/>
    <ds:schemaRef ds:uri="bf2567e6-16f4-4c6b-b0e9-0ea0396e433b"/>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RFP-OCM and MarTech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Agnihotri (Digital,ISC)(X-IGT Solutions)</dc:creator>
  <cp:lastModifiedBy>Rohit Agnihotri (Digital,ISC)(X-IGT Solutions)</cp:lastModifiedBy>
  <dcterms:created xsi:type="dcterms:W3CDTF">2026-10-19T12:26:26Z</dcterms:created>
  <dcterms:modified xsi:type="dcterms:W3CDTF">2026-10-19T12:26:47Z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0x01010005EA78701D9CB74A94E38252BAB16D34</vt:lpwstr>
  </property>
</Properties>
</file>