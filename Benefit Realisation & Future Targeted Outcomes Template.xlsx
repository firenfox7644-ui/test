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C:\Users\Anshika.x.Gupta\OneDrive - InterGlobe Aviation Limited\Downloads\"/>
    </mc:Choice>
  </mc:AlternateContent>
  <xr:revisionPtr revIDLastSave="0" documentId="8_{215D1B68-CBB9-454E-A621-176B4C3E8679}" xr6:coauthVersionLast="47" xr6:coauthVersionMax="47" xr10:uidLastSave="{00000000-0000-0000-0000-000000000000}"/>
  <bookViews>
    <workbookView xWindow="0" yWindow="0" windowWidth="20490" windowHeight="6825" firstSheet="1" activeTab="1" xr2:uid="{00000000-000D-0000-FFFF-FFFF00000000}"/>
  </bookViews>
  <sheets>
    <sheet name="Guidelines" sheetId="1" r:id="rId1"/>
    <sheet name="Analytics" sheetId="2" r:id="rId2"/>
    <sheet name="Target" sheetId="3" r:id="rId3"/>
    <sheet name="Campaign" sheetId="4" r:id="rId4"/>
    <sheet name="Timerlines "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9" i="4" l="1"/>
  <c r="M9" i="4" s="1"/>
  <c r="I38" i="4"/>
  <c r="P37" i="4"/>
  <c r="M8" i="4" s="1"/>
  <c r="I37" i="4"/>
  <c r="I36" i="4"/>
  <c r="I35" i="4"/>
  <c r="I34" i="4"/>
  <c r="P21" i="4"/>
  <c r="M7" i="4" s="1"/>
  <c r="P11" i="4"/>
  <c r="M4" i="4" s="1"/>
  <c r="P8" i="4"/>
  <c r="M6" i="4" s="1"/>
  <c r="P7" i="4"/>
  <c r="M5" i="4"/>
  <c r="P49" i="3"/>
  <c r="M9" i="3" s="1"/>
  <c r="I38" i="3"/>
  <c r="P37" i="3"/>
  <c r="M8" i="3" s="1"/>
  <c r="I37" i="3"/>
  <c r="I36" i="3"/>
  <c r="I35" i="3"/>
  <c r="I34" i="3"/>
  <c r="P11" i="3"/>
  <c r="P8" i="3"/>
  <c r="M6" i="3" s="1"/>
  <c r="P7" i="3"/>
  <c r="M5" i="3"/>
  <c r="P49" i="2"/>
  <c r="M9" i="2" s="1"/>
  <c r="P37" i="2"/>
  <c r="M8" i="2" s="1"/>
  <c r="P11" i="2"/>
  <c r="M4" i="2" s="1"/>
  <c r="P8" i="2"/>
  <c r="M6" i="2" s="1"/>
  <c r="P7" i="2"/>
  <c r="M5" i="2" s="1"/>
  <c r="P21" i="2" l="1"/>
  <c r="M7" i="2" s="1"/>
  <c r="P21" i="3"/>
  <c r="M7" i="3" s="1"/>
  <c r="P50" i="3"/>
  <c r="M4" i="3"/>
  <c r="P50" i="4"/>
  <c r="P50" i="2"/>
  <c r="P51" i="4" l="1"/>
  <c r="M10" i="4"/>
  <c r="M10" i="2"/>
  <c r="P51" i="2"/>
  <c r="M10" i="3"/>
  <c r="P51" i="3"/>
</calcChain>
</file>

<file path=xl/sharedStrings.xml><?xml version="1.0" encoding="utf-8"?>
<sst xmlns="http://schemas.openxmlformats.org/spreadsheetml/2006/main" count="416" uniqueCount="235">
  <si>
    <t>Immediate Alignment Workbook | Guidance and Scoring Logic</t>
  </si>
  <si>
    <t>Purpose</t>
  </si>
  <si>
    <t>This workbook is intended for the immediate alignment exercise across Analytics, Target, and Campaign. Each vertical head should complete only their respective tab. The purpose is to baseline current use cases, gaps, target outcomes, must-have scope, KPIs, dependencies, and quantified benefit potential.</t>
  </si>
  <si>
    <t>Tabs to complete</t>
  </si>
  <si>
    <t>Please complete only the relevant tab: Analytics / Target / Campaign. The Guidelines tab is for reference only.</t>
  </si>
  <si>
    <t>How to fill</t>
  </si>
  <si>
    <t>Fill only the light input cells. Formula cells are already pre-populated and should not be edited. Use short, factual, decision-relevant inputs. Where possible, mention baseline and target values.</t>
  </si>
  <si>
    <t>Scoring scale</t>
  </si>
  <si>
    <t>Use a 1–5 scale wherever score fields are provided: 1 = Very low / minimal, 2 = Low, 3 = Moderate, 4 = High, 5 = Very high / critical.</t>
  </si>
  <si>
    <t>Pain Score</t>
  </si>
  <si>
    <t>Calculated from the Gap / Pain Point section as average of (Frequency × Severity) × 4. This normalizes the score to 100.</t>
  </si>
  <si>
    <t>Maturity Score</t>
  </si>
  <si>
    <t>Calculated as average Current Maturity score × 20.</t>
  </si>
  <si>
    <t>Criticality Score</t>
  </si>
  <si>
    <t>Calculated as average Business Criticality score × 20.</t>
  </si>
  <si>
    <t>Benefit Realization Score</t>
  </si>
  <si>
    <t>Calculated from weighted scores across Revenue / Conversion (25%), CX / NPS (20%), Speed-to-Market (15%), Efficiency (15%), Governance / Risk Reduction (10%), and Data / Integration Leverage (15%).</t>
  </si>
  <si>
    <t>Strategic Fit Score</t>
  </si>
  <si>
    <t>Calculated as average of five dimensions × 20: FY27 alignment, cross-functional relevance, scalability need, integration criticality, and D2C growth importance.</t>
  </si>
  <si>
    <t>Readiness Score</t>
  </si>
  <si>
    <t>Calculated as average of five dimensions × 20: clarity of use cases, clarity of scope, KPI measurability, dependency visibility, and decision readiness.</t>
  </si>
  <si>
    <t>Final Priority Score</t>
  </si>
  <si>
    <t>Calculated as: (Pain Score × 30%) + (Benefit Score × 35%) + (Strategic Fit Score × 20%) + (Readiness Score × 15%).</t>
  </si>
  <si>
    <t>Priority Band</t>
  </si>
  <si>
    <t>80–100 = Very High Priority | 65–79 = High Priority | 50–64 = Moderate Priority | Below 50 = Lower Priority.</t>
  </si>
  <si>
    <t>Benefits realization guidance</t>
  </si>
  <si>
    <t>For each target outcome, think across three layers: (a) Business benefit (revenue, conversion, retention, ancillary attach, response rates), (b) Operating benefit (speed, reduced manual effort, better optimization workflows &amp; AI integration, intuitive use cases), and (c) Governance / platform benefit (controls, integration, scalability, reporting trust).</t>
  </si>
  <si>
    <t>Recommended process</t>
  </si>
  <si>
    <t>Fill your vertical tab → review the auto-calculated score boxes at the top → share back for consolidation into the deck.</t>
  </si>
  <si>
    <t>Analytics | Immediate Alignment Input and Auto-Scoring</t>
  </si>
  <si>
    <t>Section 1 | Current-State Baseline and Gap Assessment</t>
  </si>
  <si>
    <t>Table 1 | Current Use Case Inventory</t>
  </si>
  <si>
    <t>Use Case / Journey</t>
  </si>
  <si>
    <t>Business Objective</t>
  </si>
  <si>
    <t>Teams / Users</t>
  </si>
  <si>
    <t>Current Tool Usage</t>
  </si>
  <si>
    <t>Current Coverage</t>
  </si>
  <si>
    <t>Business Criticality (1–5)</t>
  </si>
  <si>
    <t>Current Maturity (1–5)</t>
  </si>
  <si>
    <t>Notes</t>
  </si>
  <si>
    <t>Benefit Score</t>
  </si>
  <si>
    <t>Website Traffic &amp; Engagement Tracking</t>
  </si>
  <si>
    <t>Monitor visits, users, engagement trends</t>
  </si>
  <si>
    <t>Analytics, Marketing, Product</t>
  </si>
  <si>
    <t>Adobe Analytics</t>
  </si>
  <si>
    <t>Web (partial app)</t>
  </si>
  <si>
    <t>Booking Funnel Analysis</t>
  </si>
  <si>
    <t>Improve conversion across search → payment</t>
  </si>
  <si>
    <t>Product, Analytics, Revenue Mgmt</t>
  </si>
  <si>
    <t>Web &amp; App</t>
  </si>
  <si>
    <t>Abandon Cart Tracking &amp; Triggering</t>
  </si>
  <si>
    <t>Increase conversion via retargeting</t>
  </si>
  <si>
    <t>CRM, Marketing, Analytics</t>
  </si>
  <si>
    <t>Adobe Analytics + Adobe Campaign</t>
  </si>
  <si>
    <t>Logged-in users (improving)</t>
  </si>
  <si>
    <t>PII + trigger optimization ongoing</t>
  </si>
  <si>
    <t>Campaign Performance &amp; Attribution</t>
  </si>
  <si>
    <t>Measure ROI of campaigns</t>
  </si>
  <si>
    <t>Marketing, Analytics</t>
  </si>
  <si>
    <t>Paid + Organic channels</t>
  </si>
  <si>
    <t>Attribution limitations; GA4 expected to improve Ads integration</t>
  </si>
  <si>
    <t>High Priority</t>
  </si>
  <si>
    <t>Customer Segmentation</t>
  </si>
  <si>
    <t>Enable targeted campaigns</t>
  </si>
  <si>
    <t>CRM, Marketing</t>
  </si>
  <si>
    <t>Adobe Analytics (segments)</t>
  </si>
  <si>
    <t>Partial (rule-based)</t>
  </si>
  <si>
    <t>PII-based Personalization</t>
  </si>
  <si>
    <t>Improve targeting using customer identity</t>
  </si>
  <si>
    <t>Adobe Campaign + Analytics</t>
  </si>
  <si>
    <t>Logged-in users</t>
  </si>
  <si>
    <t>Table 2 | Current Gap / Pain Point Assessment</t>
  </si>
  <si>
    <t>Capability Area</t>
  </si>
  <si>
    <t>Current Gap / Issue</t>
  </si>
  <si>
    <t>Business Impact</t>
  </si>
  <si>
    <t>Frequency (1–5)</t>
  </si>
  <si>
    <t>Severity (1–5)</t>
  </si>
  <si>
    <t>Root Cause / Dependency</t>
  </si>
  <si>
    <t>Must Solve in Future Stack?</t>
  </si>
  <si>
    <t>Data Security (PII)</t>
  </si>
  <si>
    <t>Current AES-CTR encryption not compliant</t>
  </si>
  <si>
    <t>Risk of data breach, compliance issues, audit failures</t>
  </si>
  <si>
    <t>Outdated encryption standard, Infosec non-compliance</t>
  </si>
  <si>
    <t>Yes</t>
  </si>
  <si>
    <t>Abandon Cart Targeting</t>
  </si>
  <si>
    <t>Limited reliable PII usage &amp; inconsistent triggers</t>
  </si>
  <si>
    <t>Lower conversion and revenue loss</t>
  </si>
  <si>
    <t>Dependency on encryption + incomplete data capture</t>
  </si>
  <si>
    <t>Data Accessibility</t>
  </si>
  <si>
    <t>Limited access to raw clickstream data</t>
  </si>
  <si>
    <t>Slower insights, dependency on Adobe UI</t>
  </si>
  <si>
    <t>No data lake (PRISM not implemented)</t>
  </si>
  <si>
    <t>Historical Data Retention</t>
  </si>
  <si>
    <t>Limited ability to access long-term historical data</t>
  </si>
  <si>
    <t>Poor trend analysis and forecasting limitations</t>
  </si>
  <si>
    <t>Adobe data retention + no PRISM storage</t>
  </si>
  <si>
    <t>Reporting Flexibility</t>
  </si>
  <si>
    <t>Standard reports insufficient for deep analysis</t>
  </si>
  <si>
    <t>Delayed decision making, workaround dependency</t>
  </si>
  <si>
    <t>Tool limitations (Adobe UI constraints)</t>
  </si>
  <si>
    <t>Section 2 | Target Outcomes and Benefit Realization</t>
  </si>
  <si>
    <t>Table 3 | Future-State Target Outcomes</t>
  </si>
  <si>
    <t>Target Outcome</t>
  </si>
  <si>
    <t>Why it Matters</t>
  </si>
  <si>
    <t>Benefit Type</t>
  </si>
  <si>
    <t>Baseline Today</t>
  </si>
  <si>
    <t>Future Target</t>
  </si>
  <si>
    <t>Confidence (1–5)</t>
  </si>
  <si>
    <t>Strategic Importance (1–5)</t>
  </si>
  <si>
    <t>Secure PII Handling (AES-GCM)</t>
  </si>
  <si>
    <t>Ensures compliance &amp; protects customer data</t>
  </si>
  <si>
    <t>Risk / Compliance</t>
  </si>
  <si>
    <t>AES-CTR (non-compliant)</t>
  </si>
  <si>
    <t>AES-GCM implemented across systems</t>
  </si>
  <si>
    <t>Enhanced Abandon Cart Conversions</t>
  </si>
  <si>
    <t>Drives direct revenue uplift</t>
  </si>
  <si>
    <t>Revenue Growth</t>
  </si>
  <si>
    <t>Limited targeting base, inconsistent PII</t>
  </si>
  <si>
    <t>Increased base + personalized triggers</t>
  </si>
  <si>
    <t>Unified Clickstream Data in PRISM</t>
  </si>
  <si>
    <t>Enables scalable analytics &amp; historical access</t>
  </si>
  <si>
    <t>Efficiency / Insight</t>
  </si>
  <si>
    <t>Limited data access via Adobe UI</t>
  </si>
  <si>
    <t>Centralized data lake with full history</t>
  </si>
  <si>
    <t>Table 4 | Benefit Realization Assessment</t>
  </si>
  <si>
    <t>Outcome / Capability</t>
  </si>
  <si>
    <t>Revenue / Conversion Impact (1–5)</t>
  </si>
  <si>
    <t>CX / NPS Impact (1–5)</t>
  </si>
  <si>
    <t>Speed-to-Market Impact (1–5)</t>
  </si>
  <si>
    <t>Efficiency Impact (1–5)</t>
  </si>
  <si>
    <t>Governance / Risk Reduction (1–5)</t>
  </si>
  <si>
    <t>Data / Integration Leverage (1–5)</t>
  </si>
  <si>
    <t>Weighted Benefit Score</t>
  </si>
  <si>
    <t>Secure PII Encryption (AES-GCM)</t>
  </si>
  <si>
    <t>Enhanced Abandon Cart Targeting</t>
  </si>
  <si>
    <t>PRISM Data Lake (Clickstream Storage)</t>
  </si>
  <si>
    <t>Digilens (AI Self-Serve Analytics)</t>
  </si>
  <si>
    <t>Advanced Attribution Capability</t>
  </si>
  <si>
    <t>Table 5 | Strategic Fit Assessment</t>
  </si>
  <si>
    <t>Dimension</t>
  </si>
  <si>
    <t>Score (1–5)</t>
  </si>
  <si>
    <t>Comments</t>
  </si>
  <si>
    <t>Alignment to FY27 goals</t>
  </si>
  <si>
    <t>Strong alignment with analytics transformation roadmap and digital-first strategy</t>
  </si>
  <si>
    <t>Cross-functional relevance</t>
  </si>
  <si>
    <t>Impacts multiple teams: Marketing, Product, CRM, Revenue, IT, Infosec, Leadership</t>
  </si>
  <si>
    <t>Scalability need</t>
  </si>
  <si>
    <t>Required for future growth in traffic, data volume, and advanced analytics use cases</t>
  </si>
  <si>
    <t>Integration criticality</t>
  </si>
  <si>
    <t>High dependency on integrations (PRISM, GA4, Campaign tools, CRM systems)</t>
  </si>
  <si>
    <t>Importance to D2C growth</t>
  </si>
  <si>
    <t>Directly impacts customer acquisition, conversion, personalization, and revenue growth</t>
  </si>
  <si>
    <t>Section 3 | Scope, KPIs, Dependencies, and Readiness</t>
  </si>
  <si>
    <t>Table 6 | Future Scope Definition</t>
  </si>
  <si>
    <t>Capability / Requirement</t>
  </si>
  <si>
    <t>Classification</t>
  </si>
  <si>
    <t>Why Required</t>
  </si>
  <si>
    <t>Dependency</t>
  </si>
  <si>
    <t>Owner</t>
  </si>
  <si>
    <t>Remarks</t>
  </si>
  <si>
    <t>Session Replay</t>
  </si>
  <si>
    <t>Nice-to-have</t>
  </si>
  <si>
    <t xml:space="preserve">Helps in investigate what went wrong for a user who encountered error </t>
  </si>
  <si>
    <t>Heatmaps</t>
  </si>
  <si>
    <t>Helps in finding which element is getting more click on a page.</t>
  </si>
  <si>
    <t>Real Time Engagement Measurement</t>
  </si>
  <si>
    <t>Must-have</t>
  </si>
  <si>
    <t>This will help measure engagement real time sometime this become very important when you have to measure engagement real time.</t>
  </si>
  <si>
    <t>Error Monitoring &amp; Alerts</t>
  </si>
  <si>
    <t>This will help support team to identify error rate and help in take immediate action.</t>
  </si>
  <si>
    <t>AB Test</t>
  </si>
  <si>
    <t>REquire to have for AB testing purposes</t>
  </si>
  <si>
    <t>Table 7 | KPI Framework</t>
  </si>
  <si>
    <t>KPI</t>
  </si>
  <si>
    <t>Current Baseline</t>
  </si>
  <si>
    <t>Target</t>
  </si>
  <si>
    <t>Measurement Source</t>
  </si>
  <si>
    <t>Measurement Owner</t>
  </si>
  <si>
    <t>Review Frequency</t>
  </si>
  <si>
    <t>Conversion Rate (Booking Funnel)</t>
  </si>
  <si>
    <t>12-13%</t>
  </si>
  <si>
    <t>+10–15% uplift</t>
  </si>
  <si>
    <t>Analytics + Product</t>
  </si>
  <si>
    <t>Monthly</t>
  </si>
  <si>
    <t>Abandon Cart Success Rate</t>
  </si>
  <si>
    <t>~2-3%</t>
  </si>
  <si>
    <t>~4-5%</t>
  </si>
  <si>
    <t>Adobe Campaign / CRM tools</t>
  </si>
  <si>
    <t>CRM + Marketing</t>
  </si>
  <si>
    <t>Weekly</t>
  </si>
  <si>
    <t>Campaign ROI / ROAS</t>
  </si>
  <si>
    <t>Limited visibility</t>
  </si>
  <si>
    <t>+20% improvement</t>
  </si>
  <si>
    <t>AA &amp; Adobe Campaign</t>
  </si>
  <si>
    <t>Marketing + Analytics</t>
  </si>
  <si>
    <t>Data Availability (Historical)</t>
  </si>
  <si>
    <t>&lt;12–14 months</t>
  </si>
  <si>
    <t>3–5 years accessible</t>
  </si>
  <si>
    <t>PRISM Data Lake</t>
  </si>
  <si>
    <t>Data Engineering + Analytics</t>
  </si>
  <si>
    <t>Quarterly</t>
  </si>
  <si>
    <t>Report Turnaround Time</t>
  </si>
  <si>
    <t>1–3 days</t>
  </si>
  <si>
    <t>Near real-time / same day</t>
  </si>
  <si>
    <t>BI tools (Power BI / Looker)</t>
  </si>
  <si>
    <t>Analytics</t>
  </si>
  <si>
    <t>Table 8 | Readiness Assessment</t>
  </si>
  <si>
    <t>Clarity of use cases</t>
  </si>
  <si>
    <t>Core use cases (conversion, attribution, targeting, data lake, AI) are well-defined; some advanced use cases still evolving (Digilens, cross-channel)</t>
  </si>
  <si>
    <t>Clarity of scope</t>
  </si>
  <si>
    <t>Overall direction clear (GA4 migration, PRISM), but scope boundaries and timelines need formalization</t>
  </si>
  <si>
    <t>KPI measurability</t>
  </si>
  <si>
    <t>KPIs defined and mostly measurable; dependency on PRISM + GA4 for full coverage and automation</t>
  </si>
  <si>
    <t>Dependency visibility</t>
  </si>
  <si>
    <t>Key dependencies identified (Infosec, PRISM, vendors, IT); some execution dependencies still being finalized</t>
  </si>
  <si>
    <t>Decision readiness</t>
  </si>
  <si>
    <t>Early-stage discussions done (DWAO, migration options), but final decisions pending on platform, encryption, and data architecture</t>
  </si>
  <si>
    <t>Note: Fill only the input cells. All score boxes at the top are auto-calculated.</t>
  </si>
  <si>
    <t>Target | Immediate Alignment Input and Auto-Scoring</t>
  </si>
  <si>
    <t>Campaign | Immediate Alignment Input and Auto-Scoring</t>
  </si>
  <si>
    <t>#</t>
  </si>
  <si>
    <t>Immediate Action Plan</t>
  </si>
  <si>
    <t>Timelines</t>
  </si>
  <si>
    <t>Submission of Benefit Realization and Future Targeted Outcomes</t>
  </si>
  <si>
    <r>
      <t>17</t>
    </r>
    <r>
      <rPr>
        <vertAlign val="superscript"/>
        <sz val="12"/>
        <color theme="1"/>
        <rFont val="Aptos"/>
        <family val="1"/>
        <charset val="1"/>
      </rPr>
      <t>th</t>
    </r>
    <r>
      <rPr>
        <sz val="12"/>
        <color theme="1"/>
        <rFont val="Aptos"/>
        <family val="1"/>
        <charset val="1"/>
      </rPr>
      <t> June</t>
    </r>
  </si>
  <si>
    <t>Scope of work and success metrics template</t>
  </si>
  <si>
    <r>
      <t>22</t>
    </r>
    <r>
      <rPr>
        <vertAlign val="superscript"/>
        <sz val="12"/>
        <color theme="1"/>
        <rFont val="Aptos"/>
        <family val="1"/>
        <charset val="1"/>
      </rPr>
      <t>nd</t>
    </r>
    <r>
      <rPr>
        <sz val="12"/>
        <color theme="1"/>
        <rFont val="Aptos"/>
        <family val="1"/>
        <charset val="1"/>
      </rPr>
      <t> June</t>
    </r>
  </si>
  <si>
    <t>Assessment of platform solutioning</t>
  </si>
  <si>
    <r>
      <t>29</t>
    </r>
    <r>
      <rPr>
        <vertAlign val="superscript"/>
        <sz val="12"/>
        <color theme="1"/>
        <rFont val="Aptos"/>
        <family val="1"/>
        <charset val="1"/>
      </rPr>
      <t>th</t>
    </r>
    <r>
      <rPr>
        <sz val="12"/>
        <color theme="1"/>
        <rFont val="Aptos"/>
        <family val="1"/>
        <charset val="1"/>
      </rPr>
      <t> June</t>
    </r>
  </si>
  <si>
    <t>Finalize recommended model (single suite platforms or composable stack)</t>
  </si>
  <si>
    <r>
      <t>3</t>
    </r>
    <r>
      <rPr>
        <vertAlign val="superscript"/>
        <sz val="12"/>
        <color theme="1"/>
        <rFont val="Aptos"/>
        <family val="1"/>
        <charset val="1"/>
      </rPr>
      <t>rd</t>
    </r>
    <r>
      <rPr>
        <sz val="12"/>
        <color theme="1"/>
        <rFont val="Aptos"/>
        <family val="1"/>
        <charset val="1"/>
      </rPr>
      <t> July</t>
    </r>
  </si>
  <si>
    <t>Presentation to leadership</t>
  </si>
  <si>
    <r>
      <t>10</t>
    </r>
    <r>
      <rPr>
        <vertAlign val="superscript"/>
        <sz val="12"/>
        <color theme="1"/>
        <rFont val="Aptos"/>
        <family val="1"/>
        <charset val="1"/>
      </rPr>
      <t>th</t>
    </r>
    <r>
      <rPr>
        <sz val="12"/>
        <color theme="1"/>
        <rFont val="Aptos"/>
        <family val="1"/>
        <charset val="1"/>
      </rPr>
      <t> July</t>
    </r>
  </si>
  <si>
    <t>Initiate RFP process</t>
  </si>
  <si>
    <r>
      <t>13</t>
    </r>
    <r>
      <rPr>
        <vertAlign val="superscript"/>
        <sz val="12"/>
        <color theme="1"/>
        <rFont val="Aptos"/>
        <family val="1"/>
        <charset val="1"/>
      </rPr>
      <t>th</t>
    </r>
    <r>
      <rPr>
        <sz val="12"/>
        <color theme="1"/>
        <rFont val="Aptos"/>
        <family val="1"/>
        <charset val="1"/>
      </rPr>
      <t> July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</si>
</sst>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Calibri"/>
    </font>
    <font>
      <b/>
      <sz val="11"/>
      <color rgb="FF000000"/>
      <name val="Calibri"/>
    </font>
    <font>
      <sz val="10"/>
      <name val="Calibri"/>
    </font>
    <font>
      <b/>
      <sz val="12"/>
      <color rgb="FFFFFFFF"/>
      <name val="Calibri"/>
    </font>
    <font>
      <b/>
      <sz val="10"/>
      <name val="Calibri"/>
    </font>
    <font>
      <b/>
      <sz val="10"/>
      <color rgb="FFFFFFFF"/>
      <name val="Calibri"/>
    </font>
    <font>
      <b/>
      <sz val="11"/>
      <color theme="1"/>
      <name val="Calibri"/>
      <family val="2"/>
      <scheme val="minor"/>
    </font>
    <font>
      <b/>
      <sz val="10"/>
      <name val="Calibri"/>
      <family val="2"/>
    </font>
    <font>
      <b/>
      <sz val="12"/>
      <color rgb="FF000000"/>
      <name val="Aptos"/>
      <family val="1"/>
      <charset val="1"/>
    </font>
    <font>
      <sz val="12"/>
      <color theme="1"/>
      <name val="Aptos"/>
      <family val="1"/>
      <charset val="1"/>
    </font>
    <font>
      <vertAlign val="superscript"/>
      <sz val="12"/>
      <color theme="1"/>
      <name val="Aptos"/>
      <family val="1"/>
      <charset val="1"/>
    </font>
    <font>
      <sz val="11"/>
      <color theme="1"/>
      <name val="Segoe UI"/>
      <charset val="1"/>
    </font>
  </fonts>
  <fills count="12">
    <fill>
      <patternFill patternType="none"/>
    </fill>
    <fill>
      <patternFill patternType="gray125"/>
    </fill>
    <fill>
      <patternFill patternType="solid">
        <fgColor rgb="FF1F4E78"/>
      </patternFill>
    </fill>
    <fill>
      <patternFill patternType="solid">
        <fgColor rgb="FFD9EAF7"/>
      </patternFill>
    </fill>
    <fill>
      <patternFill patternType="solid">
        <fgColor rgb="FFF7F9FC"/>
      </patternFill>
    </fill>
    <fill>
      <patternFill patternType="solid">
        <fgColor rgb="FFFCE5CD"/>
      </patternFill>
    </fill>
    <fill>
      <patternFill patternType="solid">
        <fgColor rgb="FFB45F06"/>
      </patternFill>
    </fill>
    <fill>
      <patternFill patternType="solid">
        <fgColor rgb="FFD9EAD3"/>
      </patternFill>
    </fill>
    <fill>
      <patternFill patternType="solid">
        <fgColor rgb="FF38761D"/>
      </patternFill>
    </fill>
    <fill>
      <patternFill patternType="solid">
        <fgColor rgb="FFFFF2CC"/>
      </patternFill>
    </fill>
    <fill>
      <patternFill patternType="solid">
        <fgColor rgb="FF7F6000"/>
      </patternFill>
    </fill>
    <fill>
      <patternFill patternType="solid">
        <fgColor rgb="FFD9D9D9"/>
        <bgColor indexed="64"/>
      </patternFill>
    </fill>
  </fills>
  <borders count="10">
    <border>
      <left/>
      <right/>
      <top/>
      <bottom/>
      <diagonal/>
    </border>
    <border>
      <left style="thin">
        <color rgb="FFB7C3D0"/>
      </left>
      <right style="thin">
        <color rgb="FFB7C3D0"/>
      </right>
      <top style="thin">
        <color rgb="FFB7C3D0"/>
      </top>
      <bottom style="thin">
        <color rgb="FFB7C3D0"/>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right style="thin">
        <color rgb="FFB7C3D0"/>
      </right>
      <top style="thin">
        <color rgb="FFB7C3D0"/>
      </top>
      <bottom style="thin">
        <color rgb="FFB7C3D0"/>
      </bottom>
      <diagonal/>
    </border>
    <border>
      <left style="thin">
        <color rgb="FFB7C3D0"/>
      </left>
      <right style="thin">
        <color rgb="FFB7C3D0"/>
      </right>
      <top style="thin">
        <color rgb="FFB7C3D0"/>
      </top>
      <bottom/>
      <diagonal/>
    </border>
    <border>
      <left style="thin">
        <color rgb="FFB7C3D0"/>
      </left>
      <right style="thin">
        <color rgb="FFB7C3D0"/>
      </right>
      <top/>
      <bottom style="thin">
        <color rgb="FFB7C3D0"/>
      </bottom>
      <diagonal/>
    </border>
  </borders>
  <cellStyleXfs count="1">
    <xf numFmtId="0" fontId="0" fillId="0" borderId="0"/>
  </cellStyleXfs>
  <cellXfs count="39">
    <xf numFmtId="0" fontId="0" fillId="0" borderId="0" xfId="0"/>
    <xf numFmtId="0" fontId="2" fillId="3"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9"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6" fillId="10" borderId="1" xfId="0" applyFont="1" applyFill="1" applyBorder="1" applyAlignment="1">
      <alignment horizontal="center" vertical="center" wrapText="1"/>
    </xf>
    <xf numFmtId="0" fontId="9" fillId="11" borderId="2" xfId="0" applyFont="1" applyFill="1" applyBorder="1"/>
    <xf numFmtId="0" fontId="9" fillId="11" borderId="3" xfId="0" applyFont="1" applyFill="1" applyBorder="1"/>
    <xf numFmtId="0" fontId="10" fillId="0" borderId="4" xfId="0" applyFont="1" applyBorder="1"/>
    <xf numFmtId="0" fontId="10" fillId="0" borderId="5" xfId="0" applyFont="1" applyBorder="1"/>
    <xf numFmtId="0" fontId="0" fillId="0" borderId="6" xfId="0" applyBorder="1"/>
    <xf numFmtId="0" fontId="6" fillId="2"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3" fillId="4" borderId="9" xfId="0" applyFont="1" applyFill="1" applyBorder="1" applyAlignment="1">
      <alignment horizontal="left" vertical="top" wrapText="1"/>
    </xf>
    <xf numFmtId="0" fontId="7" fillId="0" borderId="6" xfId="0" applyFont="1" applyBorder="1"/>
    <xf numFmtId="0" fontId="6" fillId="8" borderId="8" xfId="0" applyFont="1" applyFill="1" applyBorder="1" applyAlignment="1">
      <alignment horizontal="center" vertical="center" wrapText="1"/>
    </xf>
    <xf numFmtId="0" fontId="0" fillId="0" borderId="6" xfId="0" applyBorder="1" applyAlignment="1">
      <alignment horizontal="center"/>
    </xf>
    <xf numFmtId="0" fontId="7" fillId="0" borderId="6" xfId="0" applyFont="1" applyBorder="1" applyAlignment="1">
      <alignment horizontal="center"/>
    </xf>
    <xf numFmtId="0" fontId="0" fillId="0" borderId="6" xfId="0" applyBorder="1" applyAlignment="1">
      <alignment horizontal="center" wrapText="1"/>
    </xf>
    <xf numFmtId="0" fontId="0" fillId="0" borderId="6" xfId="0" quotePrefix="1" applyBorder="1"/>
    <xf numFmtId="0" fontId="6" fillId="10" borderId="8" xfId="0" applyFont="1" applyFill="1" applyBorder="1" applyAlignment="1">
      <alignment horizontal="center" vertical="center" wrapText="1"/>
    </xf>
    <xf numFmtId="0" fontId="0" fillId="0" borderId="6" xfId="0" applyBorder="1" applyAlignment="1">
      <alignment wrapText="1"/>
    </xf>
    <xf numFmtId="0" fontId="12" fillId="0" borderId="6" xfId="0" applyFont="1" applyBorder="1" applyAlignment="1">
      <alignment wrapText="1"/>
    </xf>
    <xf numFmtId="0" fontId="8" fillId="4" borderId="1" xfId="0" applyFont="1" applyFill="1" applyBorder="1" applyAlignment="1">
      <alignment horizontal="center" vertical="top" wrapText="1"/>
    </xf>
    <xf numFmtId="0" fontId="2" fillId="9" borderId="1"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2" fillId="5" borderId="9" xfId="0" applyFont="1" applyFill="1" applyBorder="1" applyAlignment="1">
      <alignment horizontal="left" vertical="center" wrapText="1"/>
    </xf>
    <xf numFmtId="0" fontId="3" fillId="0" borderId="1" xfId="0" applyFont="1" applyBorder="1" applyAlignment="1">
      <alignment horizontal="left" vertical="top" wrapText="1"/>
    </xf>
    <xf numFmtId="0" fontId="2" fillId="5" borderId="1" xfId="0" applyFont="1" applyFill="1" applyBorder="1" applyAlignment="1">
      <alignment horizontal="left" vertical="center" wrapText="1"/>
    </xf>
    <xf numFmtId="0" fontId="0" fillId="0" borderId="0" xfId="0" applyAlignment="1"/>
    <xf numFmtId="0" fontId="7"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0"/>
  <sheetViews>
    <sheetView showGridLines="0" topLeftCell="C19" workbookViewId="0">
      <selection activeCell="I28" sqref="I28"/>
    </sheetView>
  </sheetViews>
  <sheetFormatPr defaultRowHeight="15"/>
  <cols>
    <col min="1" max="1" width="4" customWidth="1"/>
    <col min="2" max="2" width="30" customWidth="1"/>
    <col min="3" max="5" width="28" customWidth="1"/>
    <col min="6" max="6" width="24" customWidth="1"/>
  </cols>
  <sheetData>
    <row r="2" spans="2:6">
      <c r="B2" s="32" t="s">
        <v>0</v>
      </c>
      <c r="C2" s="37"/>
      <c r="D2" s="37"/>
      <c r="E2" s="37"/>
      <c r="F2" s="37"/>
    </row>
    <row r="4" spans="2:6" ht="42" customHeight="1">
      <c r="B4" s="1" t="s">
        <v>1</v>
      </c>
      <c r="C4" s="35" t="s">
        <v>2</v>
      </c>
      <c r="D4" s="35"/>
      <c r="E4" s="35"/>
      <c r="F4" s="35"/>
    </row>
    <row r="6" spans="2:6" ht="42" customHeight="1">
      <c r="B6" s="1" t="s">
        <v>3</v>
      </c>
      <c r="C6" s="35" t="s">
        <v>4</v>
      </c>
      <c r="D6" s="35"/>
      <c r="E6" s="35"/>
      <c r="F6" s="35"/>
    </row>
    <row r="8" spans="2:6" ht="42" customHeight="1">
      <c r="B8" s="1" t="s">
        <v>5</v>
      </c>
      <c r="C8" s="35" t="s">
        <v>6</v>
      </c>
      <c r="D8" s="35"/>
      <c r="E8" s="35"/>
      <c r="F8" s="35"/>
    </row>
    <row r="10" spans="2:6" ht="42" customHeight="1">
      <c r="B10" s="1" t="s">
        <v>7</v>
      </c>
      <c r="C10" s="35" t="s">
        <v>8</v>
      </c>
      <c r="D10" s="35"/>
      <c r="E10" s="35"/>
      <c r="F10" s="35"/>
    </row>
    <row r="12" spans="2:6" ht="42" customHeight="1">
      <c r="B12" s="1" t="s">
        <v>9</v>
      </c>
      <c r="C12" s="35" t="s">
        <v>10</v>
      </c>
      <c r="D12" s="35"/>
      <c r="E12" s="35"/>
      <c r="F12" s="35"/>
    </row>
    <row r="14" spans="2:6" ht="42" customHeight="1">
      <c r="B14" s="1" t="s">
        <v>11</v>
      </c>
      <c r="C14" s="35" t="s">
        <v>12</v>
      </c>
      <c r="D14" s="35"/>
      <c r="E14" s="35"/>
      <c r="F14" s="35"/>
    </row>
    <row r="16" spans="2:6" ht="42" customHeight="1">
      <c r="B16" s="1" t="s">
        <v>13</v>
      </c>
      <c r="C16" s="35" t="s">
        <v>14</v>
      </c>
      <c r="D16" s="35"/>
      <c r="E16" s="35"/>
      <c r="F16" s="35"/>
    </row>
    <row r="18" spans="2:6" ht="42" customHeight="1">
      <c r="B18" s="1" t="s">
        <v>15</v>
      </c>
      <c r="C18" s="35" t="s">
        <v>16</v>
      </c>
      <c r="D18" s="35"/>
      <c r="E18" s="35"/>
      <c r="F18" s="35"/>
    </row>
    <row r="20" spans="2:6" ht="42" customHeight="1">
      <c r="B20" s="1" t="s">
        <v>17</v>
      </c>
      <c r="C20" s="35" t="s">
        <v>18</v>
      </c>
      <c r="D20" s="35"/>
      <c r="E20" s="35"/>
      <c r="F20" s="35"/>
    </row>
    <row r="22" spans="2:6" ht="42" customHeight="1">
      <c r="B22" s="1" t="s">
        <v>19</v>
      </c>
      <c r="C22" s="35" t="s">
        <v>20</v>
      </c>
      <c r="D22" s="35"/>
      <c r="E22" s="35"/>
      <c r="F22" s="35"/>
    </row>
    <row r="24" spans="2:6" ht="42" customHeight="1">
      <c r="B24" s="1" t="s">
        <v>21</v>
      </c>
      <c r="C24" s="35" t="s">
        <v>22</v>
      </c>
      <c r="D24" s="35"/>
      <c r="E24" s="35"/>
      <c r="F24" s="35"/>
    </row>
    <row r="26" spans="2:6" ht="42" customHeight="1">
      <c r="B26" s="1" t="s">
        <v>23</v>
      </c>
      <c r="C26" s="35" t="s">
        <v>24</v>
      </c>
      <c r="D26" s="35"/>
      <c r="E26" s="35"/>
      <c r="F26" s="35"/>
    </row>
    <row r="28" spans="2:6" ht="42" customHeight="1">
      <c r="B28" s="1" t="s">
        <v>25</v>
      </c>
      <c r="C28" s="35" t="s">
        <v>26</v>
      </c>
      <c r="D28" s="35"/>
      <c r="E28" s="35"/>
      <c r="F28" s="35"/>
    </row>
    <row r="30" spans="2:6" ht="42" customHeight="1">
      <c r="B30" s="1" t="s">
        <v>27</v>
      </c>
      <c r="C30" s="35" t="s">
        <v>28</v>
      </c>
      <c r="D30" s="35"/>
      <c r="E30" s="35"/>
      <c r="F30" s="35"/>
    </row>
  </sheetData>
  <mergeCells count="15">
    <mergeCell ref="B2:F2"/>
    <mergeCell ref="C8:F8"/>
    <mergeCell ref="C4:F4"/>
    <mergeCell ref="C20:F20"/>
    <mergeCell ref="C12:F12"/>
    <mergeCell ref="C26:F26"/>
    <mergeCell ref="C6:F6"/>
    <mergeCell ref="C30:F30"/>
    <mergeCell ref="C16:F16"/>
    <mergeCell ref="C28:F28"/>
    <mergeCell ref="C10:F10"/>
    <mergeCell ref="C24:F24"/>
    <mergeCell ref="C14:F14"/>
    <mergeCell ref="C22:F22"/>
    <mergeCell ref="C18:F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74"/>
  <sheetViews>
    <sheetView showGridLines="0" tabSelected="1" workbookViewId="0">
      <pane xSplit="1" ySplit="6" topLeftCell="B7" activePane="bottomRight" state="frozen"/>
      <selection pane="bottomRight" activeCell="I13" sqref="I13"/>
      <selection pane="bottomLeft"/>
      <selection pane="topRight"/>
    </sheetView>
  </sheetViews>
  <sheetFormatPr defaultRowHeight="15"/>
  <cols>
    <col min="1" max="1" width="4" customWidth="1"/>
    <col min="2" max="2" width="36.42578125" bestFit="1" customWidth="1"/>
    <col min="3" max="3" width="22" customWidth="1"/>
    <col min="4" max="6" width="20" customWidth="1"/>
    <col min="7" max="9" width="18" customWidth="1"/>
    <col min="10" max="15" width="16" customWidth="1"/>
    <col min="16" max="16" width="14" customWidth="1"/>
  </cols>
  <sheetData>
    <row r="2" spans="2:16" ht="26.1" customHeight="1">
      <c r="B2" s="32" t="s">
        <v>29</v>
      </c>
      <c r="C2" s="37"/>
      <c r="D2" s="37"/>
      <c r="E2" s="37"/>
      <c r="F2" s="37"/>
      <c r="G2" s="37"/>
      <c r="H2" s="37"/>
      <c r="I2" s="37"/>
      <c r="J2" s="37"/>
      <c r="K2" s="37"/>
      <c r="L2" s="37"/>
      <c r="M2" s="37"/>
      <c r="N2" s="37"/>
      <c r="O2" s="37"/>
      <c r="P2" s="37"/>
    </row>
    <row r="4" spans="2:16">
      <c r="B4" s="31" t="s">
        <v>30</v>
      </c>
      <c r="C4" s="37"/>
      <c r="D4" s="37"/>
      <c r="E4" s="37"/>
      <c r="F4" s="37"/>
      <c r="G4" s="37"/>
      <c r="H4" s="37"/>
      <c r="J4" s="29" t="s">
        <v>9</v>
      </c>
      <c r="K4" s="37"/>
      <c r="L4" s="37"/>
      <c r="M4" s="33">
        <f>P11</f>
        <v>38.4</v>
      </c>
      <c r="N4" s="37"/>
    </row>
    <row r="5" spans="2:16">
      <c r="J5" s="29" t="s">
        <v>11</v>
      </c>
      <c r="K5" s="37"/>
      <c r="L5" s="37"/>
      <c r="M5" s="33">
        <f>P7</f>
        <v>68</v>
      </c>
      <c r="N5" s="37"/>
    </row>
    <row r="6" spans="2:16">
      <c r="B6" s="29" t="s">
        <v>31</v>
      </c>
      <c r="C6" s="37"/>
      <c r="D6" s="37"/>
      <c r="E6" s="37"/>
      <c r="F6" s="37"/>
      <c r="G6" s="37"/>
      <c r="H6" s="37"/>
      <c r="I6" s="37"/>
      <c r="J6" s="29" t="s">
        <v>13</v>
      </c>
      <c r="K6" s="37"/>
      <c r="L6" s="37"/>
      <c r="M6" s="33">
        <f>P8</f>
        <v>96</v>
      </c>
      <c r="N6" s="37"/>
    </row>
    <row r="7" spans="2:16" ht="25.5">
      <c r="B7" s="14" t="s">
        <v>32</v>
      </c>
      <c r="C7" s="14" t="s">
        <v>33</v>
      </c>
      <c r="D7" s="14" t="s">
        <v>34</v>
      </c>
      <c r="E7" s="14" t="s">
        <v>35</v>
      </c>
      <c r="F7" s="14" t="s">
        <v>36</v>
      </c>
      <c r="G7" s="14" t="s">
        <v>37</v>
      </c>
      <c r="H7" s="14" t="s">
        <v>38</v>
      </c>
      <c r="I7" s="14" t="s">
        <v>39</v>
      </c>
      <c r="J7" s="29" t="s">
        <v>40</v>
      </c>
      <c r="K7" s="37"/>
      <c r="L7" s="37"/>
      <c r="M7" s="33">
        <f>P21</f>
        <v>3.6399999999999997</v>
      </c>
      <c r="N7" s="37"/>
      <c r="P7">
        <f>IFERROR(AVERAGE(H8:H12)*20,0)</f>
        <v>68</v>
      </c>
    </row>
    <row r="8" spans="2:16">
      <c r="B8" s="13" t="s">
        <v>41</v>
      </c>
      <c r="C8" s="13" t="s">
        <v>42</v>
      </c>
      <c r="D8" s="13" t="s">
        <v>43</v>
      </c>
      <c r="E8" s="13" t="s">
        <v>44</v>
      </c>
      <c r="F8" s="13" t="s">
        <v>45</v>
      </c>
      <c r="G8" s="13">
        <v>5</v>
      </c>
      <c r="H8" s="13">
        <v>4</v>
      </c>
      <c r="I8" s="13"/>
      <c r="J8" s="28" t="s">
        <v>17</v>
      </c>
      <c r="K8" s="37"/>
      <c r="L8" s="37"/>
      <c r="M8" s="33">
        <f>P37</f>
        <v>100</v>
      </c>
      <c r="N8" s="37"/>
      <c r="P8">
        <f>IFERROR(AVERAGE(G8:G12)*20,0)</f>
        <v>96</v>
      </c>
    </row>
    <row r="9" spans="2:16">
      <c r="B9" s="13" t="s">
        <v>46</v>
      </c>
      <c r="C9" s="13" t="s">
        <v>47</v>
      </c>
      <c r="D9" s="13" t="s">
        <v>48</v>
      </c>
      <c r="E9" s="13" t="s">
        <v>44</v>
      </c>
      <c r="F9" s="13" t="s">
        <v>49</v>
      </c>
      <c r="G9" s="13">
        <v>5</v>
      </c>
      <c r="H9" s="13">
        <v>4</v>
      </c>
      <c r="I9" s="13"/>
      <c r="J9" s="28" t="s">
        <v>19</v>
      </c>
      <c r="K9" s="37"/>
      <c r="L9" s="37"/>
      <c r="M9" s="33">
        <f>P49</f>
        <v>72</v>
      </c>
      <c r="N9" s="37"/>
    </row>
    <row r="10" spans="2:16">
      <c r="B10" s="13" t="s">
        <v>50</v>
      </c>
      <c r="C10" s="13" t="s">
        <v>51</v>
      </c>
      <c r="D10" s="13" t="s">
        <v>52</v>
      </c>
      <c r="E10" s="13" t="s">
        <v>53</v>
      </c>
      <c r="F10" s="13" t="s">
        <v>54</v>
      </c>
      <c r="G10" s="13">
        <v>5</v>
      </c>
      <c r="H10" s="13">
        <v>3</v>
      </c>
      <c r="I10" s="13" t="s">
        <v>55</v>
      </c>
      <c r="J10" s="28" t="s">
        <v>21</v>
      </c>
      <c r="K10" s="37"/>
      <c r="L10" s="37"/>
      <c r="M10" s="33">
        <f>P50</f>
        <v>43.6</v>
      </c>
      <c r="N10" s="37"/>
    </row>
    <row r="11" spans="2:16">
      <c r="B11" s="13" t="s">
        <v>56</v>
      </c>
      <c r="C11" s="13" t="s">
        <v>57</v>
      </c>
      <c r="D11" s="13" t="s">
        <v>58</v>
      </c>
      <c r="E11" s="13" t="s">
        <v>44</v>
      </c>
      <c r="F11" s="13" t="s">
        <v>59</v>
      </c>
      <c r="G11" s="13">
        <v>5</v>
      </c>
      <c r="H11" s="13">
        <v>3</v>
      </c>
      <c r="I11" s="13" t="s">
        <v>60</v>
      </c>
      <c r="J11" s="28" t="s">
        <v>23</v>
      </c>
      <c r="K11" s="37"/>
      <c r="L11" s="37"/>
      <c r="M11" s="26" t="s">
        <v>61</v>
      </c>
      <c r="N11" s="38"/>
      <c r="P11">
        <f>IFERROR((SUMPRODUCT(E16:E20,F16:F20)/COUNT(E16:E20,F16:F20))*4,0)</f>
        <v>38.4</v>
      </c>
    </row>
    <row r="12" spans="2:16">
      <c r="B12" s="13" t="s">
        <v>62</v>
      </c>
      <c r="C12" s="13" t="s">
        <v>63</v>
      </c>
      <c r="D12" s="13" t="s">
        <v>64</v>
      </c>
      <c r="E12" s="13" t="s">
        <v>65</v>
      </c>
      <c r="F12" s="13" t="s">
        <v>66</v>
      </c>
      <c r="G12" s="13">
        <v>4</v>
      </c>
      <c r="H12" s="13">
        <v>3</v>
      </c>
      <c r="I12" s="24"/>
    </row>
    <row r="13" spans="2:16" ht="16.5">
      <c r="B13" s="13" t="s">
        <v>67</v>
      </c>
      <c r="C13" s="13" t="s">
        <v>68</v>
      </c>
      <c r="D13" s="13" t="s">
        <v>52</v>
      </c>
      <c r="E13" s="13" t="s">
        <v>69</v>
      </c>
      <c r="F13" s="13" t="s">
        <v>70</v>
      </c>
      <c r="G13" s="13">
        <v>5</v>
      </c>
      <c r="H13" s="13">
        <v>2</v>
      </c>
      <c r="I13" s="25"/>
    </row>
    <row r="14" spans="2:16">
      <c r="B14" s="34" t="s">
        <v>71</v>
      </c>
      <c r="C14" s="37"/>
      <c r="D14" s="37"/>
      <c r="E14" s="37"/>
      <c r="F14" s="37"/>
      <c r="G14" s="37"/>
      <c r="H14" s="37"/>
      <c r="I14" s="37"/>
    </row>
    <row r="15" spans="2:16" ht="25.5">
      <c r="B15" s="15" t="s">
        <v>72</v>
      </c>
      <c r="C15" s="15" t="s">
        <v>73</v>
      </c>
      <c r="D15" s="15" t="s">
        <v>74</v>
      </c>
      <c r="E15" s="15" t="s">
        <v>75</v>
      </c>
      <c r="F15" s="15" t="s">
        <v>76</v>
      </c>
      <c r="G15" s="15" t="s">
        <v>77</v>
      </c>
      <c r="H15" s="15" t="s">
        <v>78</v>
      </c>
    </row>
    <row r="16" spans="2:16">
      <c r="B16" s="13" t="s">
        <v>79</v>
      </c>
      <c r="C16" s="13" t="s">
        <v>80</v>
      </c>
      <c r="D16" s="13" t="s">
        <v>81</v>
      </c>
      <c r="E16" s="13">
        <v>5</v>
      </c>
      <c r="F16" s="13">
        <v>5</v>
      </c>
      <c r="G16" s="13" t="s">
        <v>82</v>
      </c>
      <c r="H16" s="13" t="s">
        <v>83</v>
      </c>
    </row>
    <row r="17" spans="2:16">
      <c r="B17" s="13" t="s">
        <v>84</v>
      </c>
      <c r="C17" s="13" t="s">
        <v>85</v>
      </c>
      <c r="D17" s="13" t="s">
        <v>86</v>
      </c>
      <c r="E17" s="13">
        <v>5</v>
      </c>
      <c r="F17" s="13">
        <v>4</v>
      </c>
      <c r="G17" s="13" t="s">
        <v>87</v>
      </c>
      <c r="H17" s="13" t="s">
        <v>83</v>
      </c>
    </row>
    <row r="18" spans="2:16">
      <c r="B18" s="13" t="s">
        <v>88</v>
      </c>
      <c r="C18" s="13" t="s">
        <v>89</v>
      </c>
      <c r="D18" s="13" t="s">
        <v>90</v>
      </c>
      <c r="E18" s="13">
        <v>5</v>
      </c>
      <c r="F18" s="13">
        <v>4</v>
      </c>
      <c r="G18" s="13" t="s">
        <v>91</v>
      </c>
      <c r="H18" s="13" t="s">
        <v>83</v>
      </c>
    </row>
    <row r="19" spans="2:16">
      <c r="B19" s="13" t="s">
        <v>92</v>
      </c>
      <c r="C19" s="13" t="s">
        <v>93</v>
      </c>
      <c r="D19" s="13" t="s">
        <v>94</v>
      </c>
      <c r="E19" s="13">
        <v>4</v>
      </c>
      <c r="F19" s="13">
        <v>4</v>
      </c>
      <c r="G19" s="13" t="s">
        <v>95</v>
      </c>
      <c r="H19" s="13" t="s">
        <v>83</v>
      </c>
    </row>
    <row r="20" spans="2:16">
      <c r="B20" s="13" t="s">
        <v>96</v>
      </c>
      <c r="C20" s="13" t="s">
        <v>97</v>
      </c>
      <c r="D20" s="13" t="s">
        <v>98</v>
      </c>
      <c r="E20" s="13">
        <v>5</v>
      </c>
      <c r="F20" s="13">
        <v>3</v>
      </c>
      <c r="G20" s="13" t="s">
        <v>99</v>
      </c>
      <c r="H20" s="13" t="s">
        <v>83</v>
      </c>
    </row>
    <row r="21" spans="2:16">
      <c r="P21">
        <f>IFERROR(AVERAGE(I34:I38),0)</f>
        <v>3.6399999999999997</v>
      </c>
    </row>
    <row r="22" spans="2:16">
      <c r="B22" s="31" t="s">
        <v>100</v>
      </c>
      <c r="C22" s="37"/>
      <c r="D22" s="37"/>
      <c r="E22" s="37"/>
      <c r="F22" s="37"/>
      <c r="G22" s="37"/>
      <c r="H22" s="37"/>
    </row>
    <row r="24" spans="2:16">
      <c r="B24" s="29" t="s">
        <v>101</v>
      </c>
      <c r="C24" s="37"/>
      <c r="D24" s="37"/>
      <c r="E24" s="37"/>
      <c r="F24" s="37"/>
      <c r="G24" s="37"/>
      <c r="H24" s="37"/>
      <c r="I24" s="37"/>
      <c r="J24" s="37"/>
    </row>
    <row r="25" spans="2:16" ht="25.5">
      <c r="B25" s="14" t="s">
        <v>102</v>
      </c>
      <c r="C25" s="14" t="s">
        <v>103</v>
      </c>
      <c r="D25" s="14" t="s">
        <v>104</v>
      </c>
      <c r="E25" s="14" t="s">
        <v>105</v>
      </c>
      <c r="F25" s="14" t="s">
        <v>106</v>
      </c>
      <c r="G25" s="14" t="s">
        <v>107</v>
      </c>
      <c r="H25" s="14" t="s">
        <v>108</v>
      </c>
    </row>
    <row r="26" spans="2:16">
      <c r="B26" s="13" t="s">
        <v>109</v>
      </c>
      <c r="C26" s="13" t="s">
        <v>110</v>
      </c>
      <c r="D26" s="13" t="s">
        <v>111</v>
      </c>
      <c r="E26" s="13" t="s">
        <v>112</v>
      </c>
      <c r="F26" s="13" t="s">
        <v>113</v>
      </c>
      <c r="G26" s="13">
        <v>5</v>
      </c>
      <c r="H26" s="13">
        <v>5</v>
      </c>
    </row>
    <row r="27" spans="2:16">
      <c r="B27" s="13" t="s">
        <v>114</v>
      </c>
      <c r="C27" s="13" t="s">
        <v>115</v>
      </c>
      <c r="D27" s="13" t="s">
        <v>116</v>
      </c>
      <c r="E27" s="13" t="s">
        <v>117</v>
      </c>
      <c r="F27" s="13" t="s">
        <v>118</v>
      </c>
      <c r="G27" s="13">
        <v>4</v>
      </c>
      <c r="H27" s="13">
        <v>5</v>
      </c>
    </row>
    <row r="28" spans="2:16">
      <c r="B28" s="13" t="s">
        <v>119</v>
      </c>
      <c r="C28" s="13" t="s">
        <v>120</v>
      </c>
      <c r="D28" s="13" t="s">
        <v>121</v>
      </c>
      <c r="E28" s="13" t="s">
        <v>122</v>
      </c>
      <c r="F28" s="13" t="s">
        <v>123</v>
      </c>
      <c r="G28" s="13">
        <v>4</v>
      </c>
      <c r="H28" s="13">
        <v>5</v>
      </c>
    </row>
    <row r="29" spans="2:16">
      <c r="B29" s="16"/>
      <c r="C29" s="16"/>
      <c r="D29" s="16"/>
      <c r="E29" s="16"/>
      <c r="F29" s="16"/>
      <c r="G29" s="16"/>
      <c r="H29" s="16"/>
    </row>
    <row r="30" spans="2:16">
      <c r="B30" s="3"/>
      <c r="C30" s="3"/>
      <c r="D30" s="3"/>
      <c r="E30" s="3"/>
      <c r="F30" s="3"/>
      <c r="G30" s="3"/>
      <c r="H30" s="3"/>
    </row>
    <row r="32" spans="2:16">
      <c r="B32" s="30" t="s">
        <v>124</v>
      </c>
      <c r="C32" s="37"/>
      <c r="D32" s="37"/>
      <c r="E32" s="37"/>
      <c r="F32" s="37"/>
      <c r="G32" s="37"/>
      <c r="H32" s="37"/>
      <c r="I32" s="37"/>
      <c r="J32" s="37"/>
      <c r="K32" s="37"/>
      <c r="L32" s="37"/>
    </row>
    <row r="33" spans="2:16" ht="25.5">
      <c r="B33" s="18" t="s">
        <v>125</v>
      </c>
      <c r="C33" s="18" t="s">
        <v>126</v>
      </c>
      <c r="D33" s="18" t="s">
        <v>127</v>
      </c>
      <c r="E33" s="18" t="s">
        <v>128</v>
      </c>
      <c r="F33" s="18" t="s">
        <v>129</v>
      </c>
      <c r="G33" s="18" t="s">
        <v>130</v>
      </c>
      <c r="H33" s="18" t="s">
        <v>131</v>
      </c>
      <c r="I33" s="18" t="s">
        <v>132</v>
      </c>
    </row>
    <row r="34" spans="2:16">
      <c r="B34" s="13" t="s">
        <v>133</v>
      </c>
      <c r="C34" s="13">
        <v>2</v>
      </c>
      <c r="D34" s="13">
        <v>3</v>
      </c>
      <c r="E34" s="13">
        <v>2</v>
      </c>
      <c r="F34" s="13">
        <v>3</v>
      </c>
      <c r="G34" s="13">
        <v>5</v>
      </c>
      <c r="H34" s="13">
        <v>3</v>
      </c>
      <c r="I34" s="17">
        <v>3</v>
      </c>
    </row>
    <row r="35" spans="2:16">
      <c r="B35" s="13" t="s">
        <v>134</v>
      </c>
      <c r="C35" s="13">
        <v>5</v>
      </c>
      <c r="D35" s="13">
        <v>4</v>
      </c>
      <c r="E35" s="13">
        <v>4</v>
      </c>
      <c r="F35" s="13">
        <v>3</v>
      </c>
      <c r="G35" s="13">
        <v>3</v>
      </c>
      <c r="H35" s="13">
        <v>4</v>
      </c>
      <c r="I35" s="17">
        <v>3.8</v>
      </c>
    </row>
    <row r="36" spans="2:16">
      <c r="B36" s="13" t="s">
        <v>135</v>
      </c>
      <c r="C36" s="13">
        <v>4</v>
      </c>
      <c r="D36" s="13">
        <v>3</v>
      </c>
      <c r="E36" s="13">
        <v>4</v>
      </c>
      <c r="F36" s="13">
        <v>5</v>
      </c>
      <c r="G36" s="13">
        <v>4</v>
      </c>
      <c r="H36" s="13">
        <v>5</v>
      </c>
      <c r="I36" s="17">
        <v>4.2</v>
      </c>
    </row>
    <row r="37" spans="2:16">
      <c r="B37" s="13" t="s">
        <v>136</v>
      </c>
      <c r="C37" s="13">
        <v>2</v>
      </c>
      <c r="D37" s="13">
        <v>3</v>
      </c>
      <c r="E37" s="13">
        <v>5</v>
      </c>
      <c r="F37" s="13">
        <v>5</v>
      </c>
      <c r="G37" s="13">
        <v>2</v>
      </c>
      <c r="H37" s="13">
        <v>4</v>
      </c>
      <c r="I37" s="17">
        <v>3.5</v>
      </c>
      <c r="P37">
        <f>IFERROR(AVERAGE(C42:C46)*20,0)</f>
        <v>100</v>
      </c>
    </row>
    <row r="38" spans="2:16">
      <c r="B38" s="13" t="s">
        <v>137</v>
      </c>
      <c r="C38" s="13">
        <v>5</v>
      </c>
      <c r="D38" s="13">
        <v>3</v>
      </c>
      <c r="E38" s="13">
        <v>3</v>
      </c>
      <c r="F38" s="13">
        <v>4</v>
      </c>
      <c r="G38" s="13">
        <v>3</v>
      </c>
      <c r="H38" s="13">
        <v>4</v>
      </c>
      <c r="I38" s="17">
        <v>3.7</v>
      </c>
    </row>
    <row r="40" spans="2:16">
      <c r="B40" s="29" t="s">
        <v>138</v>
      </c>
      <c r="C40" s="37"/>
      <c r="D40" s="37"/>
      <c r="E40" s="37"/>
      <c r="F40" s="37"/>
      <c r="G40" s="37"/>
      <c r="H40" s="37"/>
    </row>
    <row r="41" spans="2:16">
      <c r="B41" s="14" t="s">
        <v>139</v>
      </c>
      <c r="C41" s="14" t="s">
        <v>140</v>
      </c>
      <c r="D41" s="14" t="s">
        <v>141</v>
      </c>
    </row>
    <row r="42" spans="2:16" ht="76.5">
      <c r="B42" s="19" t="s">
        <v>142</v>
      </c>
      <c r="C42" s="20">
        <v>5</v>
      </c>
      <c r="D42" s="21" t="s">
        <v>143</v>
      </c>
    </row>
    <row r="43" spans="2:16" ht="76.5">
      <c r="B43" s="19" t="s">
        <v>144</v>
      </c>
      <c r="C43" s="20">
        <v>5</v>
      </c>
      <c r="D43" s="21" t="s">
        <v>145</v>
      </c>
    </row>
    <row r="44" spans="2:16" ht="76.5">
      <c r="B44" s="19" t="s">
        <v>146</v>
      </c>
      <c r="C44" s="20">
        <v>5</v>
      </c>
      <c r="D44" s="21" t="s">
        <v>147</v>
      </c>
    </row>
    <row r="45" spans="2:16" ht="60.75">
      <c r="B45" s="19" t="s">
        <v>148</v>
      </c>
      <c r="C45" s="20">
        <v>5</v>
      </c>
      <c r="D45" s="21" t="s">
        <v>149</v>
      </c>
    </row>
    <row r="46" spans="2:16" ht="76.5">
      <c r="B46" s="19" t="s">
        <v>150</v>
      </c>
      <c r="C46" s="20">
        <v>5</v>
      </c>
      <c r="D46" s="21" t="s">
        <v>151</v>
      </c>
    </row>
    <row r="48" spans="2:16">
      <c r="B48" s="31" t="s">
        <v>152</v>
      </c>
      <c r="C48" s="37"/>
      <c r="D48" s="37"/>
      <c r="E48" s="37"/>
      <c r="F48" s="37"/>
      <c r="G48" s="37"/>
      <c r="H48" s="37"/>
    </row>
    <row r="49" spans="2:16">
      <c r="P49">
        <f>IFERROR(AVERAGE(C68:C72)*20,0)</f>
        <v>72</v>
      </c>
    </row>
    <row r="50" spans="2:16">
      <c r="B50" s="29" t="s">
        <v>153</v>
      </c>
      <c r="C50" s="37"/>
      <c r="D50" s="37"/>
      <c r="E50" s="37"/>
      <c r="F50" s="37"/>
      <c r="G50" s="37"/>
      <c r="H50" s="37"/>
      <c r="I50" s="37"/>
      <c r="J50" s="37"/>
      <c r="P50">
        <f>ROUND((P11*30%)+(P21*35%)+(P37*20%)+(P49*15%),1)</f>
        <v>43.6</v>
      </c>
    </row>
    <row r="51" spans="2:16">
      <c r="B51" s="2" t="s">
        <v>154</v>
      </c>
      <c r="C51" s="2" t="s">
        <v>155</v>
      </c>
      <c r="D51" s="2" t="s">
        <v>156</v>
      </c>
      <c r="E51" s="2" t="s">
        <v>157</v>
      </c>
      <c r="F51" s="2" t="s">
        <v>158</v>
      </c>
      <c r="G51" s="2" t="s">
        <v>159</v>
      </c>
      <c r="P51" t="str">
        <f>IF(P50&gt;=80,"Very High Priority",IF(P50&gt;=65,"High Priority",IF(P50&gt;=50,"Moderate Priority","Lower Priority")))</f>
        <v>Lower Priority</v>
      </c>
    </row>
    <row r="52" spans="2:16" ht="40.5">
      <c r="B52" s="3" t="s">
        <v>160</v>
      </c>
      <c r="C52" s="3" t="s">
        <v>161</v>
      </c>
      <c r="D52" s="3" t="s">
        <v>162</v>
      </c>
      <c r="E52" s="3"/>
      <c r="F52" s="3"/>
      <c r="G52" s="3"/>
    </row>
    <row r="53" spans="2:16" ht="40.5">
      <c r="B53" s="3" t="s">
        <v>163</v>
      </c>
      <c r="C53" s="3" t="s">
        <v>161</v>
      </c>
      <c r="D53" s="3" t="s">
        <v>164</v>
      </c>
      <c r="E53" s="3"/>
      <c r="F53" s="3"/>
      <c r="G53" s="3"/>
    </row>
    <row r="54" spans="2:16" ht="81">
      <c r="B54" s="3" t="s">
        <v>165</v>
      </c>
      <c r="C54" s="3" t="s">
        <v>166</v>
      </c>
      <c r="D54" s="3" t="s">
        <v>167</v>
      </c>
      <c r="E54" s="3"/>
      <c r="F54" s="3"/>
      <c r="G54" s="3"/>
    </row>
    <row r="55" spans="2:16" ht="53.25">
      <c r="B55" s="3" t="s">
        <v>168</v>
      </c>
      <c r="C55" s="3" t="s">
        <v>166</v>
      </c>
      <c r="D55" s="3" t="s">
        <v>169</v>
      </c>
      <c r="E55" s="3"/>
      <c r="F55" s="3"/>
      <c r="G55" s="3"/>
    </row>
    <row r="56" spans="2:16" ht="27">
      <c r="B56" s="3" t="s">
        <v>170</v>
      </c>
      <c r="C56" s="3" t="s">
        <v>161</v>
      </c>
      <c r="D56" s="3" t="s">
        <v>171</v>
      </c>
      <c r="E56" s="3"/>
      <c r="F56" s="3"/>
      <c r="G56" s="3"/>
    </row>
    <row r="58" spans="2:16">
      <c r="B58" s="27" t="s">
        <v>172</v>
      </c>
      <c r="C58" s="37"/>
      <c r="D58" s="37"/>
      <c r="E58" s="37"/>
      <c r="F58" s="37"/>
      <c r="G58" s="37"/>
      <c r="H58" s="37"/>
      <c r="I58" s="37"/>
      <c r="J58" s="37"/>
    </row>
    <row r="59" spans="2:16">
      <c r="B59" s="23" t="s">
        <v>173</v>
      </c>
      <c r="C59" s="23" t="s">
        <v>174</v>
      </c>
      <c r="D59" s="23" t="s">
        <v>175</v>
      </c>
      <c r="E59" s="23" t="s">
        <v>176</v>
      </c>
      <c r="F59" s="23" t="s">
        <v>177</v>
      </c>
      <c r="G59" s="23" t="s">
        <v>178</v>
      </c>
    </row>
    <row r="60" spans="2:16">
      <c r="B60" s="13" t="s">
        <v>179</v>
      </c>
      <c r="C60" s="13" t="s">
        <v>180</v>
      </c>
      <c r="D60" s="22" t="s">
        <v>181</v>
      </c>
      <c r="E60" s="13" t="s">
        <v>44</v>
      </c>
      <c r="F60" s="13" t="s">
        <v>182</v>
      </c>
      <c r="G60" s="13" t="s">
        <v>183</v>
      </c>
    </row>
    <row r="61" spans="2:16">
      <c r="B61" s="13" t="s">
        <v>184</v>
      </c>
      <c r="C61" s="13" t="s">
        <v>185</v>
      </c>
      <c r="D61" s="13" t="s">
        <v>186</v>
      </c>
      <c r="E61" s="13" t="s">
        <v>187</v>
      </c>
      <c r="F61" s="13" t="s">
        <v>188</v>
      </c>
      <c r="G61" s="13" t="s">
        <v>189</v>
      </c>
    </row>
    <row r="62" spans="2:16">
      <c r="B62" s="13" t="s">
        <v>190</v>
      </c>
      <c r="C62" s="13" t="s">
        <v>191</v>
      </c>
      <c r="D62" s="22" t="s">
        <v>192</v>
      </c>
      <c r="E62" s="13" t="s">
        <v>193</v>
      </c>
      <c r="F62" s="13" t="s">
        <v>194</v>
      </c>
      <c r="G62" s="13" t="s">
        <v>183</v>
      </c>
    </row>
    <row r="63" spans="2:16">
      <c r="B63" s="13" t="s">
        <v>195</v>
      </c>
      <c r="C63" s="13" t="s">
        <v>196</v>
      </c>
      <c r="D63" s="13" t="s">
        <v>197</v>
      </c>
      <c r="E63" s="13" t="s">
        <v>198</v>
      </c>
      <c r="F63" s="13" t="s">
        <v>199</v>
      </c>
      <c r="G63" s="13" t="s">
        <v>200</v>
      </c>
    </row>
    <row r="64" spans="2:16">
      <c r="B64" s="13" t="s">
        <v>201</v>
      </c>
      <c r="C64" s="13" t="s">
        <v>202</v>
      </c>
      <c r="D64" s="13" t="s">
        <v>203</v>
      </c>
      <c r="E64" s="13" t="s">
        <v>204</v>
      </c>
      <c r="F64" s="13" t="s">
        <v>205</v>
      </c>
      <c r="G64" s="13" t="s">
        <v>189</v>
      </c>
    </row>
    <row r="66" spans="2:9">
      <c r="B66" s="30" t="s">
        <v>206</v>
      </c>
      <c r="C66" s="37"/>
      <c r="D66" s="37"/>
      <c r="E66" s="37"/>
      <c r="F66" s="37"/>
      <c r="G66" s="37"/>
      <c r="H66" s="37"/>
    </row>
    <row r="67" spans="2:9">
      <c r="B67" s="18" t="s">
        <v>139</v>
      </c>
      <c r="C67" s="18" t="s">
        <v>140</v>
      </c>
      <c r="D67" s="18" t="s">
        <v>141</v>
      </c>
    </row>
    <row r="68" spans="2:9" ht="121.5">
      <c r="B68" s="13" t="s">
        <v>207</v>
      </c>
      <c r="C68" s="17">
        <v>4</v>
      </c>
      <c r="D68" s="24" t="s">
        <v>208</v>
      </c>
    </row>
    <row r="69" spans="2:9" ht="91.5">
      <c r="B69" s="13" t="s">
        <v>209</v>
      </c>
      <c r="C69" s="17">
        <v>3</v>
      </c>
      <c r="D69" s="24" t="s">
        <v>210</v>
      </c>
    </row>
    <row r="70" spans="2:9" ht="91.5">
      <c r="B70" s="13" t="s">
        <v>211</v>
      </c>
      <c r="C70" s="17">
        <v>4</v>
      </c>
      <c r="D70" s="24" t="s">
        <v>212</v>
      </c>
    </row>
    <row r="71" spans="2:9" ht="91.5">
      <c r="B71" s="13" t="s">
        <v>213</v>
      </c>
      <c r="C71" s="17">
        <v>4</v>
      </c>
      <c r="D71" s="24" t="s">
        <v>214</v>
      </c>
    </row>
    <row r="72" spans="2:9" ht="106.5">
      <c r="B72" s="13" t="s">
        <v>215</v>
      </c>
      <c r="C72" s="17">
        <v>3</v>
      </c>
      <c r="D72" s="24" t="s">
        <v>216</v>
      </c>
    </row>
    <row r="74" spans="2:9">
      <c r="B74" s="27" t="s">
        <v>217</v>
      </c>
      <c r="C74" s="37"/>
      <c r="D74" s="37"/>
      <c r="E74" s="37"/>
      <c r="F74" s="37"/>
      <c r="G74" s="37"/>
      <c r="H74" s="37"/>
      <c r="I74" s="37"/>
    </row>
  </sheetData>
  <mergeCells count="29">
    <mergeCell ref="B2:P2"/>
    <mergeCell ref="B40:H40"/>
    <mergeCell ref="M9:N9"/>
    <mergeCell ref="J4:L4"/>
    <mergeCell ref="M5:N5"/>
    <mergeCell ref="B4:H4"/>
    <mergeCell ref="M10:N10"/>
    <mergeCell ref="B14:I14"/>
    <mergeCell ref="B24:J24"/>
    <mergeCell ref="B22:H22"/>
    <mergeCell ref="M7:N7"/>
    <mergeCell ref="J5:L5"/>
    <mergeCell ref="M4:N4"/>
    <mergeCell ref="M6:N6"/>
    <mergeCell ref="J7:L7"/>
    <mergeCell ref="M8:N8"/>
    <mergeCell ref="M11:N11"/>
    <mergeCell ref="B74:I74"/>
    <mergeCell ref="J10:L10"/>
    <mergeCell ref="B6:I6"/>
    <mergeCell ref="J9:L9"/>
    <mergeCell ref="B32:L32"/>
    <mergeCell ref="B66:H66"/>
    <mergeCell ref="B58:J58"/>
    <mergeCell ref="B50:J50"/>
    <mergeCell ref="J8:L8"/>
    <mergeCell ref="B48:H48"/>
    <mergeCell ref="J6:L6"/>
    <mergeCell ref="J11:L11"/>
  </mergeCells>
  <dataValidations disablePrompts="1" count="3">
    <dataValidation type="whole" allowBlank="1" sqref="H29:H30 G29:G30" xr:uid="{00000000-0002-0000-0100-000000000000}">
      <formula1>1</formula1>
      <formula2>5</formula2>
    </dataValidation>
    <dataValidation type="list" allowBlank="1" sqref="C52:C56" xr:uid="{00000000-0002-0000-0100-000002000000}">
      <formula1>"Must-have,Phase 2,Nice-to-have"</formula1>
    </dataValidation>
    <dataValidation type="list" allowBlank="1" sqref="D29:D30" xr:uid="{00000000-0002-0000-0100-000003000000}">
      <formula1>"Revenue,CX,Efficiency,Governance,Speed,Data &amp; Integration"</formula1>
    </dataValidation>
  </dataValidations>
  <pageMargins left="0.75" right="0.75" top="1" bottom="1" header="0.5" footer="0.5"/>
  <pageSetup paperSize="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74"/>
  <sheetViews>
    <sheetView showGridLines="0" workbookViewId="0">
      <pane xSplit="1" ySplit="6" topLeftCell="F7" activePane="bottomRight" state="frozen"/>
      <selection pane="bottomRight" activeCell="M11" sqref="M11:N11"/>
      <selection pane="bottomLeft"/>
      <selection pane="topRight"/>
    </sheetView>
  </sheetViews>
  <sheetFormatPr defaultRowHeight="15"/>
  <cols>
    <col min="1" max="1" width="4" customWidth="1"/>
    <col min="2" max="2" width="24" customWidth="1"/>
    <col min="3" max="3" width="22" customWidth="1"/>
    <col min="4" max="6" width="20" customWidth="1"/>
    <col min="7" max="9" width="18" customWidth="1"/>
    <col min="10" max="15" width="16" customWidth="1"/>
    <col min="16" max="16" width="14" hidden="1" customWidth="1"/>
  </cols>
  <sheetData>
    <row r="2" spans="2:16" ht="26.1" customHeight="1">
      <c r="B2" s="32" t="s">
        <v>218</v>
      </c>
      <c r="C2" s="37"/>
      <c r="D2" s="37"/>
      <c r="E2" s="37"/>
      <c r="F2" s="37"/>
      <c r="G2" s="37"/>
      <c r="H2" s="37"/>
      <c r="I2" s="37"/>
      <c r="J2" s="37"/>
      <c r="K2" s="37"/>
      <c r="L2" s="37"/>
      <c r="M2" s="37"/>
      <c r="N2" s="37"/>
      <c r="O2" s="37"/>
      <c r="P2" s="37"/>
    </row>
    <row r="4" spans="2:16">
      <c r="B4" s="31" t="s">
        <v>30</v>
      </c>
      <c r="C4" s="37"/>
      <c r="D4" s="37"/>
      <c r="E4" s="37"/>
      <c r="F4" s="37"/>
      <c r="G4" s="37"/>
      <c r="H4" s="37"/>
      <c r="J4" s="29" t="s">
        <v>9</v>
      </c>
      <c r="K4" s="37"/>
      <c r="L4" s="37"/>
      <c r="M4" s="33">
        <f>P11</f>
        <v>0</v>
      </c>
      <c r="N4" s="37"/>
    </row>
    <row r="5" spans="2:16">
      <c r="J5" s="29" t="s">
        <v>11</v>
      </c>
      <c r="K5" s="37"/>
      <c r="L5" s="37"/>
      <c r="M5" s="33">
        <f>P7</f>
        <v>0</v>
      </c>
      <c r="N5" s="37"/>
    </row>
    <row r="6" spans="2:16">
      <c r="B6" s="29" t="s">
        <v>31</v>
      </c>
      <c r="C6" s="37"/>
      <c r="D6" s="37"/>
      <c r="E6" s="37"/>
      <c r="F6" s="37"/>
      <c r="G6" s="37"/>
      <c r="H6" s="37"/>
      <c r="I6" s="37"/>
      <c r="J6" s="29" t="s">
        <v>13</v>
      </c>
      <c r="K6" s="37"/>
      <c r="L6" s="37"/>
      <c r="M6" s="33">
        <f>P8</f>
        <v>0</v>
      </c>
      <c r="N6" s="37"/>
    </row>
    <row r="7" spans="2:16" ht="25.5">
      <c r="B7" s="2" t="s">
        <v>32</v>
      </c>
      <c r="C7" s="2" t="s">
        <v>33</v>
      </c>
      <c r="D7" s="2" t="s">
        <v>34</v>
      </c>
      <c r="E7" s="2" t="s">
        <v>35</v>
      </c>
      <c r="F7" s="2" t="s">
        <v>36</v>
      </c>
      <c r="G7" s="2" t="s">
        <v>37</v>
      </c>
      <c r="H7" s="2" t="s">
        <v>38</v>
      </c>
      <c r="I7" s="2" t="s">
        <v>39</v>
      </c>
      <c r="J7" s="29" t="s">
        <v>40</v>
      </c>
      <c r="K7" s="37"/>
      <c r="L7" s="37"/>
      <c r="M7" s="33">
        <f>P21</f>
        <v>0</v>
      </c>
      <c r="N7" s="37"/>
      <c r="P7">
        <f>IFERROR(AVERAGE(H8:H12)*20,0)</f>
        <v>0</v>
      </c>
    </row>
    <row r="8" spans="2:16">
      <c r="B8" s="3"/>
      <c r="C8" s="3"/>
      <c r="D8" s="3"/>
      <c r="E8" s="3"/>
      <c r="F8" s="3"/>
      <c r="G8" s="3"/>
      <c r="H8" s="3"/>
      <c r="I8" s="3"/>
      <c r="J8" s="29" t="s">
        <v>17</v>
      </c>
      <c r="K8" s="37"/>
      <c r="L8" s="37"/>
      <c r="M8" s="33">
        <f>P37</f>
        <v>0</v>
      </c>
      <c r="N8" s="37"/>
      <c r="P8">
        <f>IFERROR(AVERAGE(G8:G12)*20,0)</f>
        <v>0</v>
      </c>
    </row>
    <row r="9" spans="2:16">
      <c r="B9" s="3"/>
      <c r="C9" s="3"/>
      <c r="D9" s="3"/>
      <c r="E9" s="3"/>
      <c r="F9" s="3"/>
      <c r="G9" s="3"/>
      <c r="H9" s="3"/>
      <c r="I9" s="3"/>
      <c r="J9" s="29" t="s">
        <v>19</v>
      </c>
      <c r="K9" s="37"/>
      <c r="L9" s="37"/>
      <c r="M9" s="33">
        <f>P49</f>
        <v>0</v>
      </c>
      <c r="N9" s="37"/>
    </row>
    <row r="10" spans="2:16">
      <c r="B10" s="3"/>
      <c r="C10" s="3"/>
      <c r="D10" s="3"/>
      <c r="E10" s="3"/>
      <c r="F10" s="3"/>
      <c r="G10" s="3"/>
      <c r="H10" s="3"/>
      <c r="I10" s="3"/>
      <c r="J10" s="29" t="s">
        <v>21</v>
      </c>
      <c r="K10" s="37"/>
      <c r="L10" s="37"/>
      <c r="M10" s="33">
        <f>P50</f>
        <v>0</v>
      </c>
      <c r="N10" s="37"/>
    </row>
    <row r="11" spans="2:16">
      <c r="B11" s="3"/>
      <c r="C11" s="3"/>
      <c r="D11" s="3"/>
      <c r="E11" s="3"/>
      <c r="F11" s="3"/>
      <c r="G11" s="3"/>
      <c r="H11" s="3"/>
      <c r="I11" s="3"/>
      <c r="J11" s="29" t="s">
        <v>23</v>
      </c>
      <c r="K11" s="37"/>
      <c r="L11" s="37"/>
      <c r="M11" s="26" t="s">
        <v>61</v>
      </c>
      <c r="N11" s="38"/>
      <c r="P11">
        <f>IFERROR((SUMPRODUCT(E16:E20,F16:F20)/COUNT(E16:E20,F16:F20))*4,0)</f>
        <v>0</v>
      </c>
    </row>
    <row r="12" spans="2:16">
      <c r="B12" s="3"/>
      <c r="C12" s="3"/>
      <c r="D12" s="3"/>
      <c r="E12" s="3"/>
      <c r="F12" s="3"/>
      <c r="G12" s="3"/>
      <c r="H12" s="3"/>
      <c r="I12" s="3"/>
    </row>
    <row r="14" spans="2:16">
      <c r="B14" s="36" t="s">
        <v>71</v>
      </c>
      <c r="C14" s="37"/>
      <c r="D14" s="37"/>
      <c r="E14" s="37"/>
      <c r="F14" s="37"/>
      <c r="G14" s="37"/>
      <c r="H14" s="37"/>
      <c r="I14" s="37"/>
    </row>
    <row r="15" spans="2:16" ht="25.5">
      <c r="B15" s="4" t="s">
        <v>72</v>
      </c>
      <c r="C15" s="4" t="s">
        <v>73</v>
      </c>
      <c r="D15" s="4" t="s">
        <v>74</v>
      </c>
      <c r="E15" s="4" t="s">
        <v>75</v>
      </c>
      <c r="F15" s="4" t="s">
        <v>76</v>
      </c>
      <c r="G15" s="4" t="s">
        <v>77</v>
      </c>
      <c r="H15" s="4" t="s">
        <v>78</v>
      </c>
    </row>
    <row r="16" spans="2:16">
      <c r="B16" s="3"/>
      <c r="C16" s="3"/>
      <c r="D16" s="3"/>
      <c r="E16" s="3"/>
      <c r="F16" s="3"/>
      <c r="G16" s="3"/>
      <c r="H16" s="3"/>
    </row>
    <row r="17" spans="2:16">
      <c r="B17" s="3"/>
      <c r="C17" s="3"/>
      <c r="D17" s="3"/>
      <c r="E17" s="3"/>
      <c r="F17" s="3"/>
      <c r="G17" s="3"/>
      <c r="H17" s="3"/>
    </row>
    <row r="18" spans="2:16">
      <c r="B18" s="3"/>
      <c r="C18" s="3"/>
      <c r="D18" s="3"/>
      <c r="E18" s="3"/>
      <c r="F18" s="3"/>
      <c r="G18" s="3"/>
      <c r="H18" s="3"/>
    </row>
    <row r="19" spans="2:16">
      <c r="B19" s="3"/>
      <c r="C19" s="3"/>
      <c r="D19" s="3"/>
      <c r="E19" s="3"/>
      <c r="F19" s="3"/>
      <c r="G19" s="3"/>
      <c r="H19" s="3"/>
    </row>
    <row r="20" spans="2:16">
      <c r="B20" s="3"/>
      <c r="C20" s="3"/>
      <c r="D20" s="3"/>
      <c r="E20" s="3"/>
      <c r="F20" s="3"/>
      <c r="G20" s="3"/>
      <c r="H20" s="3"/>
    </row>
    <row r="21" spans="2:16">
      <c r="P21">
        <f>IFERROR(AVERAGE(I34:I38),0)</f>
        <v>0</v>
      </c>
    </row>
    <row r="22" spans="2:16">
      <c r="B22" s="31" t="s">
        <v>100</v>
      </c>
      <c r="C22" s="37"/>
      <c r="D22" s="37"/>
      <c r="E22" s="37"/>
      <c r="F22" s="37"/>
      <c r="G22" s="37"/>
      <c r="H22" s="37"/>
    </row>
    <row r="24" spans="2:16">
      <c r="B24" s="29" t="s">
        <v>101</v>
      </c>
      <c r="C24" s="37"/>
      <c r="D24" s="37"/>
      <c r="E24" s="37"/>
      <c r="F24" s="37"/>
      <c r="G24" s="37"/>
      <c r="H24" s="37"/>
      <c r="I24" s="37"/>
      <c r="J24" s="37"/>
    </row>
    <row r="25" spans="2:16" ht="25.5">
      <c r="B25" s="2" t="s">
        <v>102</v>
      </c>
      <c r="C25" s="2" t="s">
        <v>103</v>
      </c>
      <c r="D25" s="2" t="s">
        <v>104</v>
      </c>
      <c r="E25" s="2" t="s">
        <v>105</v>
      </c>
      <c r="F25" s="2" t="s">
        <v>106</v>
      </c>
      <c r="G25" s="2" t="s">
        <v>107</v>
      </c>
      <c r="H25" s="2" t="s">
        <v>108</v>
      </c>
    </row>
    <row r="26" spans="2:16">
      <c r="B26" s="3"/>
      <c r="C26" s="3"/>
      <c r="D26" s="3"/>
      <c r="E26" s="3"/>
      <c r="F26" s="3"/>
      <c r="G26" s="3"/>
      <c r="H26" s="3"/>
    </row>
    <row r="27" spans="2:16">
      <c r="B27" s="3"/>
      <c r="C27" s="3"/>
      <c r="D27" s="3"/>
      <c r="E27" s="3"/>
      <c r="F27" s="3"/>
      <c r="G27" s="3"/>
      <c r="H27" s="3"/>
    </row>
    <row r="28" spans="2:16">
      <c r="B28" s="3"/>
      <c r="C28" s="3"/>
      <c r="D28" s="3"/>
      <c r="E28" s="3"/>
      <c r="F28" s="3"/>
      <c r="G28" s="3"/>
      <c r="H28" s="3"/>
    </row>
    <row r="29" spans="2:16">
      <c r="B29" s="3"/>
      <c r="C29" s="3"/>
      <c r="D29" s="3"/>
      <c r="E29" s="3"/>
      <c r="F29" s="3"/>
      <c r="G29" s="3"/>
      <c r="H29" s="3"/>
    </row>
    <row r="30" spans="2:16">
      <c r="B30" s="3"/>
      <c r="C30" s="3"/>
      <c r="D30" s="3"/>
      <c r="E30" s="3"/>
      <c r="F30" s="3"/>
      <c r="G30" s="3"/>
      <c r="H30" s="3"/>
    </row>
    <row r="32" spans="2:16">
      <c r="B32" s="30" t="s">
        <v>124</v>
      </c>
      <c r="C32" s="37"/>
      <c r="D32" s="37"/>
      <c r="E32" s="37"/>
      <c r="F32" s="37"/>
      <c r="G32" s="37"/>
      <c r="H32" s="37"/>
      <c r="I32" s="37"/>
      <c r="J32" s="37"/>
      <c r="K32" s="37"/>
      <c r="L32" s="37"/>
    </row>
    <row r="33" spans="2:16" ht="25.5">
      <c r="B33" s="5" t="s">
        <v>125</v>
      </c>
      <c r="C33" s="5" t="s">
        <v>126</v>
      </c>
      <c r="D33" s="5" t="s">
        <v>127</v>
      </c>
      <c r="E33" s="5" t="s">
        <v>128</v>
      </c>
      <c r="F33" s="5" t="s">
        <v>129</v>
      </c>
      <c r="G33" s="5" t="s">
        <v>130</v>
      </c>
      <c r="H33" s="5" t="s">
        <v>131</v>
      </c>
      <c r="I33" s="5" t="s">
        <v>132</v>
      </c>
    </row>
    <row r="34" spans="2:16">
      <c r="B34" s="3"/>
      <c r="C34" s="3"/>
      <c r="D34" s="3"/>
      <c r="E34" s="3"/>
      <c r="F34" s="3"/>
      <c r="G34" s="3"/>
      <c r="H34" s="3"/>
      <c r="I34" s="6" t="str">
        <f>IF(COUNTA(C34:H34)=0,"",ROUND(((C34*25)+(D34*20)+(E34*15)+(F34*15)+(G34*10)+(H34*15))/5,1))</f>
        <v/>
      </c>
    </row>
    <row r="35" spans="2:16">
      <c r="B35" s="3"/>
      <c r="C35" s="3"/>
      <c r="D35" s="3"/>
      <c r="E35" s="3"/>
      <c r="F35" s="3"/>
      <c r="G35" s="3"/>
      <c r="H35" s="3"/>
      <c r="I35" s="6" t="str">
        <f>IF(COUNTA(C35:H35)=0,"",ROUND(((C35*25)+(D35*20)+(E35*15)+(F35*15)+(G35*10)+(H35*15))/5,1))</f>
        <v/>
      </c>
    </row>
    <row r="36" spans="2:16">
      <c r="B36" s="3"/>
      <c r="C36" s="3"/>
      <c r="D36" s="3"/>
      <c r="E36" s="3"/>
      <c r="F36" s="3"/>
      <c r="G36" s="3"/>
      <c r="H36" s="3"/>
      <c r="I36" s="6" t="str">
        <f>IF(COUNTA(C36:H36)=0,"",ROUND(((C36*25)+(D36*20)+(E36*15)+(F36*15)+(G36*10)+(H36*15))/5,1))</f>
        <v/>
      </c>
    </row>
    <row r="37" spans="2:16">
      <c r="B37" s="3"/>
      <c r="C37" s="3"/>
      <c r="D37" s="3"/>
      <c r="E37" s="3"/>
      <c r="F37" s="3"/>
      <c r="G37" s="3"/>
      <c r="H37" s="3"/>
      <c r="I37" s="6" t="str">
        <f>IF(COUNTA(C37:H37)=0,"",ROUND(((C37*25)+(D37*20)+(E37*15)+(F37*15)+(G37*10)+(H37*15))/5,1))</f>
        <v/>
      </c>
      <c r="P37">
        <f>IFERROR(AVERAGE(C42:C46)*20,0)</f>
        <v>0</v>
      </c>
    </row>
    <row r="38" spans="2:16">
      <c r="B38" s="3"/>
      <c r="C38" s="3"/>
      <c r="D38" s="3"/>
      <c r="E38" s="3"/>
      <c r="F38" s="3"/>
      <c r="G38" s="3"/>
      <c r="H38" s="3"/>
      <c r="I38" s="6" t="str">
        <f>IF(COUNTA(C38:H38)=0,"",ROUND(((C38*25)+(D38*20)+(E38*15)+(F38*15)+(G38*10)+(H38*15))/5,1))</f>
        <v/>
      </c>
    </row>
    <row r="40" spans="2:16">
      <c r="B40" s="29" t="s">
        <v>138</v>
      </c>
      <c r="C40" s="37"/>
      <c r="D40" s="37"/>
      <c r="E40" s="37"/>
      <c r="F40" s="37"/>
      <c r="G40" s="37"/>
      <c r="H40" s="37"/>
    </row>
    <row r="41" spans="2:16">
      <c r="B41" s="2" t="s">
        <v>139</v>
      </c>
      <c r="C41" s="2" t="s">
        <v>140</v>
      </c>
      <c r="D41" s="2" t="s">
        <v>141</v>
      </c>
    </row>
    <row r="42" spans="2:16">
      <c r="B42" s="3" t="s">
        <v>142</v>
      </c>
      <c r="C42" s="7"/>
      <c r="D42" s="3"/>
    </row>
    <row r="43" spans="2:16">
      <c r="B43" s="3" t="s">
        <v>144</v>
      </c>
      <c r="C43" s="7"/>
      <c r="D43" s="3"/>
    </row>
    <row r="44" spans="2:16">
      <c r="B44" s="3" t="s">
        <v>146</v>
      </c>
      <c r="C44" s="7"/>
      <c r="D44" s="3"/>
    </row>
    <row r="45" spans="2:16">
      <c r="B45" s="3" t="s">
        <v>148</v>
      </c>
      <c r="C45" s="7"/>
      <c r="D45" s="3"/>
    </row>
    <row r="46" spans="2:16">
      <c r="B46" s="3" t="s">
        <v>150</v>
      </c>
      <c r="C46" s="7"/>
      <c r="D46" s="3"/>
    </row>
    <row r="48" spans="2:16">
      <c r="B48" s="31" t="s">
        <v>152</v>
      </c>
      <c r="C48" s="37"/>
      <c r="D48" s="37"/>
      <c r="E48" s="37"/>
      <c r="F48" s="37"/>
      <c r="G48" s="37"/>
      <c r="H48" s="37"/>
    </row>
    <row r="49" spans="2:16">
      <c r="P49">
        <f>IFERROR(AVERAGE(C68:C72)*20,0)</f>
        <v>0</v>
      </c>
    </row>
    <row r="50" spans="2:16">
      <c r="B50" s="29" t="s">
        <v>153</v>
      </c>
      <c r="C50" s="37"/>
      <c r="D50" s="37"/>
      <c r="E50" s="37"/>
      <c r="F50" s="37"/>
      <c r="G50" s="37"/>
      <c r="H50" s="37"/>
      <c r="I50" s="37"/>
      <c r="J50" s="37"/>
      <c r="P50">
        <f>ROUND((P11*30%)+(P21*35%)+(P37*20%)+(P49*15%),1)</f>
        <v>0</v>
      </c>
    </row>
    <row r="51" spans="2:16">
      <c r="B51" s="2" t="s">
        <v>154</v>
      </c>
      <c r="C51" s="2" t="s">
        <v>155</v>
      </c>
      <c r="D51" s="2" t="s">
        <v>156</v>
      </c>
      <c r="E51" s="2" t="s">
        <v>157</v>
      </c>
      <c r="F51" s="2" t="s">
        <v>158</v>
      </c>
      <c r="G51" s="2" t="s">
        <v>159</v>
      </c>
      <c r="P51" t="str">
        <f>IF(P50&gt;=80,"Very High Priority",IF(P50&gt;=65,"High Priority",IF(P50&gt;=50,"Moderate Priority","Lower Priority")))</f>
        <v>Lower Priority</v>
      </c>
    </row>
    <row r="52" spans="2:16">
      <c r="B52" s="3"/>
      <c r="C52" s="3"/>
      <c r="D52" s="3"/>
      <c r="E52" s="3"/>
      <c r="F52" s="3"/>
      <c r="G52" s="3"/>
    </row>
    <row r="53" spans="2:16">
      <c r="B53" s="3"/>
      <c r="C53" s="3"/>
      <c r="D53" s="3"/>
      <c r="E53" s="3"/>
      <c r="F53" s="3"/>
      <c r="G53" s="3"/>
    </row>
    <row r="54" spans="2:16">
      <c r="B54" s="3"/>
      <c r="C54" s="3"/>
      <c r="D54" s="3"/>
      <c r="E54" s="3"/>
      <c r="F54" s="3"/>
      <c r="G54" s="3"/>
    </row>
    <row r="55" spans="2:16">
      <c r="B55" s="3"/>
      <c r="C55" s="3"/>
      <c r="D55" s="3"/>
      <c r="E55" s="3"/>
      <c r="F55" s="3"/>
      <c r="G55" s="3"/>
    </row>
    <row r="56" spans="2:16">
      <c r="B56" s="3"/>
      <c r="C56" s="3"/>
      <c r="D56" s="3"/>
      <c r="E56" s="3"/>
      <c r="F56" s="3"/>
      <c r="G56" s="3"/>
    </row>
    <row r="58" spans="2:16">
      <c r="B58" s="27" t="s">
        <v>172</v>
      </c>
      <c r="C58" s="37"/>
      <c r="D58" s="37"/>
      <c r="E58" s="37"/>
      <c r="F58" s="37"/>
      <c r="G58" s="37"/>
      <c r="H58" s="37"/>
      <c r="I58" s="37"/>
      <c r="J58" s="37"/>
    </row>
    <row r="59" spans="2:16">
      <c r="B59" s="8" t="s">
        <v>173</v>
      </c>
      <c r="C59" s="8" t="s">
        <v>174</v>
      </c>
      <c r="D59" s="8" t="s">
        <v>175</v>
      </c>
      <c r="E59" s="8" t="s">
        <v>176</v>
      </c>
      <c r="F59" s="8" t="s">
        <v>177</v>
      </c>
      <c r="G59" s="8" t="s">
        <v>178</v>
      </c>
    </row>
    <row r="60" spans="2:16">
      <c r="B60" s="3"/>
      <c r="C60" s="3"/>
      <c r="D60" s="3"/>
      <c r="E60" s="3"/>
      <c r="F60" s="3"/>
      <c r="G60" s="3"/>
    </row>
    <row r="61" spans="2:16">
      <c r="B61" s="3"/>
      <c r="C61" s="3"/>
      <c r="D61" s="3"/>
      <c r="E61" s="3"/>
      <c r="F61" s="3"/>
      <c r="G61" s="3"/>
    </row>
    <row r="62" spans="2:16">
      <c r="B62" s="3"/>
      <c r="C62" s="3"/>
      <c r="D62" s="3"/>
      <c r="E62" s="3"/>
      <c r="F62" s="3"/>
      <c r="G62" s="3"/>
    </row>
    <row r="63" spans="2:16">
      <c r="B63" s="3"/>
      <c r="C63" s="3"/>
      <c r="D63" s="3"/>
      <c r="E63" s="3"/>
      <c r="F63" s="3"/>
      <c r="G63" s="3"/>
    </row>
    <row r="64" spans="2:16">
      <c r="B64" s="3"/>
      <c r="C64" s="3"/>
      <c r="D64" s="3"/>
      <c r="E64" s="3"/>
      <c r="F64" s="3"/>
      <c r="G64" s="3"/>
    </row>
    <row r="66" spans="2:9">
      <c r="B66" s="30" t="s">
        <v>206</v>
      </c>
      <c r="C66" s="37"/>
      <c r="D66" s="37"/>
      <c r="E66" s="37"/>
      <c r="F66" s="37"/>
      <c r="G66" s="37"/>
      <c r="H66" s="37"/>
    </row>
    <row r="67" spans="2:9">
      <c r="B67" s="5" t="s">
        <v>139</v>
      </c>
      <c r="C67" s="5" t="s">
        <v>140</v>
      </c>
      <c r="D67" s="5" t="s">
        <v>141</v>
      </c>
    </row>
    <row r="68" spans="2:9">
      <c r="B68" s="3" t="s">
        <v>207</v>
      </c>
      <c r="C68" s="7"/>
      <c r="D68" s="3"/>
    </row>
    <row r="69" spans="2:9">
      <c r="B69" s="3" t="s">
        <v>209</v>
      </c>
      <c r="C69" s="7"/>
      <c r="D69" s="3"/>
    </row>
    <row r="70" spans="2:9">
      <c r="B70" s="3" t="s">
        <v>211</v>
      </c>
      <c r="C70" s="7"/>
      <c r="D70" s="3"/>
    </row>
    <row r="71" spans="2:9">
      <c r="B71" s="3" t="s">
        <v>213</v>
      </c>
      <c r="C71" s="7"/>
      <c r="D71" s="3"/>
    </row>
    <row r="72" spans="2:9">
      <c r="B72" s="3" t="s">
        <v>215</v>
      </c>
      <c r="C72" s="7"/>
      <c r="D72" s="3"/>
    </row>
    <row r="74" spans="2:9">
      <c r="B74" s="27" t="s">
        <v>217</v>
      </c>
      <c r="C74" s="37"/>
      <c r="D74" s="37"/>
      <c r="E74" s="37"/>
      <c r="F74" s="37"/>
      <c r="G74" s="37"/>
      <c r="H74" s="37"/>
      <c r="I74" s="37"/>
    </row>
  </sheetData>
  <mergeCells count="29">
    <mergeCell ref="B2:P2"/>
    <mergeCell ref="B40:H40"/>
    <mergeCell ref="M9:N9"/>
    <mergeCell ref="J4:L4"/>
    <mergeCell ref="M5:N5"/>
    <mergeCell ref="B4:H4"/>
    <mergeCell ref="M10:N10"/>
    <mergeCell ref="B14:I14"/>
    <mergeCell ref="B24:J24"/>
    <mergeCell ref="B22:H22"/>
    <mergeCell ref="M7:N7"/>
    <mergeCell ref="J5:L5"/>
    <mergeCell ref="M4:N4"/>
    <mergeCell ref="M6:N6"/>
    <mergeCell ref="J7:L7"/>
    <mergeCell ref="M8:N8"/>
    <mergeCell ref="M11:N11"/>
    <mergeCell ref="B74:I74"/>
    <mergeCell ref="J10:L10"/>
    <mergeCell ref="B6:I6"/>
    <mergeCell ref="J9:L9"/>
    <mergeCell ref="B32:L32"/>
    <mergeCell ref="B66:H66"/>
    <mergeCell ref="B58:J58"/>
    <mergeCell ref="B50:J50"/>
    <mergeCell ref="J8:L8"/>
    <mergeCell ref="B48:H48"/>
    <mergeCell ref="J6:L6"/>
    <mergeCell ref="J11:L11"/>
  </mergeCells>
  <dataValidations count="5">
    <dataValidation type="whole" allowBlank="1" sqref="C34:H38 C42:C46 C68:C72 E16:F20 G8:H12 G26:H30" xr:uid="{00000000-0002-0000-0200-000000000000}">
      <formula1>1</formula1>
      <formula2>5</formula2>
    </dataValidation>
    <dataValidation type="list" allowBlank="1" sqref="H16:H20" xr:uid="{00000000-0002-0000-0200-000001000000}">
      <formula1>"Yes,No"</formula1>
    </dataValidation>
    <dataValidation type="list" allowBlank="1" sqref="C52:C56" xr:uid="{00000000-0002-0000-0200-000002000000}">
      <formula1>"Must-have,Phase 2,Nice-to-have"</formula1>
    </dataValidation>
    <dataValidation type="list" allowBlank="1" sqref="D26:D30" xr:uid="{00000000-0002-0000-0200-000003000000}">
      <formula1>"Revenue,CX,Efficiency,Governance,Speed,Data &amp; Integration"</formula1>
    </dataValidation>
    <dataValidation type="list" allowBlank="1" sqref="G60:G64" xr:uid="{00000000-0002-0000-0200-000004000000}">
      <formula1>"Daily,Weekly,Monthly,Quarterly"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74"/>
  <sheetViews>
    <sheetView showGridLines="0" workbookViewId="0">
      <pane xSplit="1" ySplit="6" topLeftCell="B7" activePane="bottomRight" state="frozen"/>
      <selection pane="bottomRight" activeCell="I15" sqref="I15"/>
      <selection pane="bottomLeft"/>
      <selection pane="topRight"/>
    </sheetView>
  </sheetViews>
  <sheetFormatPr defaultRowHeight="15"/>
  <cols>
    <col min="1" max="1" width="4" customWidth="1"/>
    <col min="2" max="2" width="24" customWidth="1"/>
    <col min="3" max="3" width="22" customWidth="1"/>
    <col min="4" max="6" width="20" customWidth="1"/>
    <col min="7" max="9" width="18" customWidth="1"/>
    <col min="10" max="15" width="16" customWidth="1"/>
    <col min="16" max="16" width="14" hidden="1" customWidth="1"/>
  </cols>
  <sheetData>
    <row r="2" spans="2:16" ht="26.1" customHeight="1">
      <c r="B2" s="32" t="s">
        <v>219</v>
      </c>
      <c r="C2" s="37"/>
      <c r="D2" s="37"/>
      <c r="E2" s="37"/>
      <c r="F2" s="37"/>
      <c r="G2" s="37"/>
      <c r="H2" s="37"/>
      <c r="I2" s="37"/>
      <c r="J2" s="37"/>
      <c r="K2" s="37"/>
      <c r="L2" s="37"/>
      <c r="M2" s="37"/>
      <c r="N2" s="37"/>
      <c r="O2" s="37"/>
      <c r="P2" s="37"/>
    </row>
    <row r="4" spans="2:16">
      <c r="B4" s="31" t="s">
        <v>30</v>
      </c>
      <c r="C4" s="37"/>
      <c r="D4" s="37"/>
      <c r="E4" s="37"/>
      <c r="F4" s="37"/>
      <c r="G4" s="37"/>
      <c r="H4" s="37"/>
      <c r="J4" s="29" t="s">
        <v>9</v>
      </c>
      <c r="K4" s="37"/>
      <c r="L4" s="37"/>
      <c r="M4" s="33">
        <f>P11</f>
        <v>0</v>
      </c>
      <c r="N4" s="37"/>
    </row>
    <row r="5" spans="2:16">
      <c r="J5" s="29" t="s">
        <v>11</v>
      </c>
      <c r="K5" s="37"/>
      <c r="L5" s="37"/>
      <c r="M5" s="33">
        <f>P7</f>
        <v>0</v>
      </c>
      <c r="N5" s="37"/>
    </row>
    <row r="6" spans="2:16">
      <c r="B6" s="29" t="s">
        <v>31</v>
      </c>
      <c r="C6" s="37"/>
      <c r="D6" s="37"/>
      <c r="E6" s="37"/>
      <c r="F6" s="37"/>
      <c r="G6" s="37"/>
      <c r="H6" s="37"/>
      <c r="I6" s="37"/>
      <c r="J6" s="29" t="s">
        <v>13</v>
      </c>
      <c r="K6" s="37"/>
      <c r="L6" s="37"/>
      <c r="M6" s="33">
        <f>P8</f>
        <v>0</v>
      </c>
      <c r="N6" s="37"/>
    </row>
    <row r="7" spans="2:16" ht="25.5">
      <c r="B7" s="2" t="s">
        <v>32</v>
      </c>
      <c r="C7" s="2" t="s">
        <v>33</v>
      </c>
      <c r="D7" s="2" t="s">
        <v>34</v>
      </c>
      <c r="E7" s="2" t="s">
        <v>35</v>
      </c>
      <c r="F7" s="2" t="s">
        <v>36</v>
      </c>
      <c r="G7" s="2" t="s">
        <v>37</v>
      </c>
      <c r="H7" s="2" t="s">
        <v>38</v>
      </c>
      <c r="I7" s="2" t="s">
        <v>39</v>
      </c>
      <c r="J7" s="29" t="s">
        <v>40</v>
      </c>
      <c r="K7" s="37"/>
      <c r="L7" s="37"/>
      <c r="M7" s="33">
        <f>P21</f>
        <v>0</v>
      </c>
      <c r="N7" s="37"/>
      <c r="P7">
        <f>IFERROR(AVERAGE(H8:H12)*20,0)</f>
        <v>0</v>
      </c>
    </row>
    <row r="8" spans="2:16">
      <c r="B8" s="3"/>
      <c r="C8" s="3"/>
      <c r="D8" s="3"/>
      <c r="E8" s="3"/>
      <c r="F8" s="3"/>
      <c r="G8" s="3"/>
      <c r="H8" s="3"/>
      <c r="I8" s="3"/>
      <c r="J8" s="29" t="s">
        <v>17</v>
      </c>
      <c r="K8" s="37"/>
      <c r="L8" s="37"/>
      <c r="M8" s="33">
        <f>P37</f>
        <v>0</v>
      </c>
      <c r="N8" s="37"/>
      <c r="P8">
        <f>IFERROR(AVERAGE(G8:G12)*20,0)</f>
        <v>0</v>
      </c>
    </row>
    <row r="9" spans="2:16">
      <c r="B9" s="3"/>
      <c r="C9" s="3"/>
      <c r="D9" s="3"/>
      <c r="E9" s="3"/>
      <c r="F9" s="3"/>
      <c r="G9" s="3"/>
      <c r="H9" s="3"/>
      <c r="I9" s="3"/>
      <c r="J9" s="29" t="s">
        <v>19</v>
      </c>
      <c r="K9" s="37"/>
      <c r="L9" s="37"/>
      <c r="M9" s="33">
        <f>P49</f>
        <v>0</v>
      </c>
      <c r="N9" s="37"/>
    </row>
    <row r="10" spans="2:16">
      <c r="B10" s="3"/>
      <c r="C10" s="3"/>
      <c r="D10" s="3"/>
      <c r="E10" s="3"/>
      <c r="F10" s="3"/>
      <c r="G10" s="3"/>
      <c r="H10" s="3"/>
      <c r="I10" s="3"/>
      <c r="J10" s="29" t="s">
        <v>21</v>
      </c>
      <c r="K10" s="37"/>
      <c r="L10" s="37"/>
      <c r="M10" s="33">
        <f>P50</f>
        <v>0</v>
      </c>
      <c r="N10" s="37"/>
    </row>
    <row r="11" spans="2:16">
      <c r="B11" s="3"/>
      <c r="C11" s="3"/>
      <c r="D11" s="3"/>
      <c r="E11" s="3"/>
      <c r="F11" s="3"/>
      <c r="G11" s="3"/>
      <c r="H11" s="3"/>
      <c r="I11" s="3"/>
      <c r="J11" s="29" t="s">
        <v>23</v>
      </c>
      <c r="K11" s="37"/>
      <c r="L11" s="37"/>
      <c r="M11" s="26" t="s">
        <v>61</v>
      </c>
      <c r="N11" s="38"/>
      <c r="P11">
        <f>IFERROR((SUMPRODUCT(E16:E20,F16:F20)/COUNT(E16:E20,F16:F20))*4,0)</f>
        <v>0</v>
      </c>
    </row>
    <row r="12" spans="2:16">
      <c r="B12" s="3"/>
      <c r="C12" s="3"/>
      <c r="D12" s="3"/>
      <c r="E12" s="3"/>
      <c r="F12" s="3"/>
      <c r="G12" s="3"/>
      <c r="H12" s="3"/>
      <c r="I12" s="3"/>
    </row>
    <row r="14" spans="2:16">
      <c r="B14" s="36" t="s">
        <v>71</v>
      </c>
      <c r="C14" s="37"/>
      <c r="D14" s="37"/>
      <c r="E14" s="37"/>
      <c r="F14" s="37"/>
      <c r="G14" s="37"/>
      <c r="H14" s="37"/>
      <c r="I14" s="37"/>
    </row>
    <row r="15" spans="2:16" ht="25.5">
      <c r="B15" s="4" t="s">
        <v>72</v>
      </c>
      <c r="C15" s="4" t="s">
        <v>73</v>
      </c>
      <c r="D15" s="4" t="s">
        <v>74</v>
      </c>
      <c r="E15" s="4" t="s">
        <v>75</v>
      </c>
      <c r="F15" s="4" t="s">
        <v>76</v>
      </c>
      <c r="G15" s="4" t="s">
        <v>77</v>
      </c>
      <c r="H15" s="4" t="s">
        <v>78</v>
      </c>
    </row>
    <row r="16" spans="2:16">
      <c r="B16" s="3"/>
      <c r="C16" s="3"/>
      <c r="D16" s="3"/>
      <c r="E16" s="3"/>
      <c r="F16" s="3"/>
      <c r="G16" s="3"/>
      <c r="H16" s="3"/>
    </row>
    <row r="17" spans="2:16">
      <c r="B17" s="3"/>
      <c r="C17" s="3"/>
      <c r="D17" s="3"/>
      <c r="E17" s="3"/>
      <c r="F17" s="3"/>
      <c r="G17" s="3"/>
      <c r="H17" s="3"/>
    </row>
    <row r="18" spans="2:16">
      <c r="B18" s="3"/>
      <c r="C18" s="3"/>
      <c r="D18" s="3"/>
      <c r="E18" s="3"/>
      <c r="F18" s="3"/>
      <c r="G18" s="3"/>
      <c r="H18" s="3"/>
    </row>
    <row r="19" spans="2:16">
      <c r="B19" s="3"/>
      <c r="C19" s="3"/>
      <c r="D19" s="3"/>
      <c r="E19" s="3"/>
      <c r="F19" s="3"/>
      <c r="G19" s="3"/>
      <c r="H19" s="3"/>
    </row>
    <row r="20" spans="2:16">
      <c r="B20" s="3"/>
      <c r="C20" s="3"/>
      <c r="D20" s="3"/>
      <c r="E20" s="3"/>
      <c r="F20" s="3"/>
      <c r="G20" s="3"/>
      <c r="H20" s="3"/>
    </row>
    <row r="21" spans="2:16">
      <c r="P21">
        <f>IFERROR(AVERAGE(I34:I38),0)</f>
        <v>0</v>
      </c>
    </row>
    <row r="22" spans="2:16">
      <c r="B22" s="31" t="s">
        <v>100</v>
      </c>
      <c r="C22" s="37"/>
      <c r="D22" s="37"/>
      <c r="E22" s="37"/>
      <c r="F22" s="37"/>
      <c r="G22" s="37"/>
      <c r="H22" s="37"/>
    </row>
    <row r="24" spans="2:16">
      <c r="B24" s="29" t="s">
        <v>101</v>
      </c>
      <c r="C24" s="37"/>
      <c r="D24" s="37"/>
      <c r="E24" s="37"/>
      <c r="F24" s="37"/>
      <c r="G24" s="37"/>
      <c r="H24" s="37"/>
      <c r="I24" s="37"/>
      <c r="J24" s="37"/>
    </row>
    <row r="25" spans="2:16" ht="25.5">
      <c r="B25" s="2" t="s">
        <v>102</v>
      </c>
      <c r="C25" s="2" t="s">
        <v>103</v>
      </c>
      <c r="D25" s="2" t="s">
        <v>104</v>
      </c>
      <c r="E25" s="2" t="s">
        <v>105</v>
      </c>
      <c r="F25" s="2" t="s">
        <v>106</v>
      </c>
      <c r="G25" s="2" t="s">
        <v>107</v>
      </c>
      <c r="H25" s="2" t="s">
        <v>108</v>
      </c>
    </row>
    <row r="26" spans="2:16">
      <c r="B26" s="3"/>
      <c r="C26" s="3"/>
      <c r="D26" s="3"/>
      <c r="E26" s="3"/>
      <c r="F26" s="3"/>
      <c r="G26" s="3"/>
      <c r="H26" s="3"/>
    </row>
    <row r="27" spans="2:16">
      <c r="B27" s="3"/>
      <c r="C27" s="3"/>
      <c r="D27" s="3"/>
      <c r="E27" s="3"/>
      <c r="F27" s="3"/>
      <c r="G27" s="3"/>
      <c r="H27" s="3"/>
    </row>
    <row r="28" spans="2:16">
      <c r="B28" s="3"/>
      <c r="C28" s="3"/>
      <c r="D28" s="3"/>
      <c r="E28" s="3"/>
      <c r="F28" s="3"/>
      <c r="G28" s="3"/>
      <c r="H28" s="3"/>
    </row>
    <row r="29" spans="2:16">
      <c r="B29" s="3"/>
      <c r="C29" s="3"/>
      <c r="D29" s="3"/>
      <c r="E29" s="3"/>
      <c r="F29" s="3"/>
      <c r="G29" s="3"/>
      <c r="H29" s="3"/>
    </row>
    <row r="30" spans="2:16">
      <c r="B30" s="3"/>
      <c r="C30" s="3"/>
      <c r="D30" s="3"/>
      <c r="E30" s="3"/>
      <c r="F30" s="3"/>
      <c r="G30" s="3"/>
      <c r="H30" s="3"/>
    </row>
    <row r="32" spans="2:16">
      <c r="B32" s="30" t="s">
        <v>124</v>
      </c>
      <c r="C32" s="37"/>
      <c r="D32" s="37"/>
      <c r="E32" s="37"/>
      <c r="F32" s="37"/>
      <c r="G32" s="37"/>
      <c r="H32" s="37"/>
      <c r="I32" s="37"/>
      <c r="J32" s="37"/>
      <c r="K32" s="37"/>
      <c r="L32" s="37"/>
    </row>
    <row r="33" spans="2:16" ht="25.5">
      <c r="B33" s="5" t="s">
        <v>125</v>
      </c>
      <c r="C33" s="5" t="s">
        <v>126</v>
      </c>
      <c r="D33" s="5" t="s">
        <v>127</v>
      </c>
      <c r="E33" s="5" t="s">
        <v>128</v>
      </c>
      <c r="F33" s="5" t="s">
        <v>129</v>
      </c>
      <c r="G33" s="5" t="s">
        <v>130</v>
      </c>
      <c r="H33" s="5" t="s">
        <v>131</v>
      </c>
      <c r="I33" s="5" t="s">
        <v>132</v>
      </c>
    </row>
    <row r="34" spans="2:16">
      <c r="B34" s="3"/>
      <c r="C34" s="3"/>
      <c r="D34" s="3"/>
      <c r="E34" s="3"/>
      <c r="F34" s="3"/>
      <c r="G34" s="3"/>
      <c r="H34" s="3"/>
      <c r="I34" s="6" t="str">
        <f>IF(COUNTA(C34:H34)=0,"",ROUND(((C34*25)+(D34*20)+(E34*15)+(F34*15)+(G34*10)+(H34*15))/5,1))</f>
        <v/>
      </c>
    </row>
    <row r="35" spans="2:16">
      <c r="B35" s="3"/>
      <c r="C35" s="3"/>
      <c r="D35" s="3"/>
      <c r="E35" s="3"/>
      <c r="F35" s="3"/>
      <c r="G35" s="3"/>
      <c r="H35" s="3"/>
      <c r="I35" s="6" t="str">
        <f>IF(COUNTA(C35:H35)=0,"",ROUND(((C35*25)+(D35*20)+(E35*15)+(F35*15)+(G35*10)+(H35*15))/5,1))</f>
        <v/>
      </c>
    </row>
    <row r="36" spans="2:16">
      <c r="B36" s="3"/>
      <c r="C36" s="3"/>
      <c r="D36" s="3"/>
      <c r="E36" s="3"/>
      <c r="F36" s="3"/>
      <c r="G36" s="3"/>
      <c r="H36" s="3"/>
      <c r="I36" s="6" t="str">
        <f>IF(COUNTA(C36:H36)=0,"",ROUND(((C36*25)+(D36*20)+(E36*15)+(F36*15)+(G36*10)+(H36*15))/5,1))</f>
        <v/>
      </c>
    </row>
    <row r="37" spans="2:16">
      <c r="B37" s="3"/>
      <c r="C37" s="3"/>
      <c r="D37" s="3"/>
      <c r="E37" s="3"/>
      <c r="F37" s="3"/>
      <c r="G37" s="3"/>
      <c r="H37" s="3"/>
      <c r="I37" s="6" t="str">
        <f>IF(COUNTA(C37:H37)=0,"",ROUND(((C37*25)+(D37*20)+(E37*15)+(F37*15)+(G37*10)+(H37*15))/5,1))</f>
        <v/>
      </c>
      <c r="P37">
        <f>IFERROR(AVERAGE(C42:C46)*20,0)</f>
        <v>0</v>
      </c>
    </row>
    <row r="38" spans="2:16">
      <c r="B38" s="3"/>
      <c r="C38" s="3"/>
      <c r="D38" s="3"/>
      <c r="E38" s="3"/>
      <c r="F38" s="3"/>
      <c r="G38" s="3"/>
      <c r="H38" s="3"/>
      <c r="I38" s="6" t="str">
        <f>IF(COUNTA(C38:H38)=0,"",ROUND(((C38*25)+(D38*20)+(E38*15)+(F38*15)+(G38*10)+(H38*15))/5,1))</f>
        <v/>
      </c>
    </row>
    <row r="40" spans="2:16">
      <c r="B40" s="29" t="s">
        <v>138</v>
      </c>
      <c r="C40" s="37"/>
      <c r="D40" s="37"/>
      <c r="E40" s="37"/>
      <c r="F40" s="37"/>
      <c r="G40" s="37"/>
      <c r="H40" s="37"/>
    </row>
    <row r="41" spans="2:16">
      <c r="B41" s="2" t="s">
        <v>139</v>
      </c>
      <c r="C41" s="2" t="s">
        <v>140</v>
      </c>
      <c r="D41" s="2" t="s">
        <v>141</v>
      </c>
    </row>
    <row r="42" spans="2:16">
      <c r="B42" s="3" t="s">
        <v>142</v>
      </c>
      <c r="C42" s="7"/>
      <c r="D42" s="3"/>
    </row>
    <row r="43" spans="2:16">
      <c r="B43" s="3" t="s">
        <v>144</v>
      </c>
      <c r="C43" s="7"/>
      <c r="D43" s="3"/>
    </row>
    <row r="44" spans="2:16">
      <c r="B44" s="3" t="s">
        <v>146</v>
      </c>
      <c r="C44" s="7"/>
      <c r="D44" s="3"/>
    </row>
    <row r="45" spans="2:16">
      <c r="B45" s="3" t="s">
        <v>148</v>
      </c>
      <c r="C45" s="7"/>
      <c r="D45" s="3"/>
    </row>
    <row r="46" spans="2:16">
      <c r="B46" s="3" t="s">
        <v>150</v>
      </c>
      <c r="C46" s="7"/>
      <c r="D46" s="3"/>
    </row>
    <row r="48" spans="2:16">
      <c r="B48" s="31" t="s">
        <v>152</v>
      </c>
      <c r="C48" s="37"/>
      <c r="D48" s="37"/>
      <c r="E48" s="37"/>
      <c r="F48" s="37"/>
      <c r="G48" s="37"/>
      <c r="H48" s="37"/>
    </row>
    <row r="49" spans="2:16">
      <c r="P49">
        <f>IFERROR(AVERAGE(C68:C72)*20,0)</f>
        <v>0</v>
      </c>
    </row>
    <row r="50" spans="2:16">
      <c r="B50" s="29" t="s">
        <v>153</v>
      </c>
      <c r="C50" s="37"/>
      <c r="D50" s="37"/>
      <c r="E50" s="37"/>
      <c r="F50" s="37"/>
      <c r="G50" s="37"/>
      <c r="H50" s="37"/>
      <c r="I50" s="37"/>
      <c r="J50" s="37"/>
      <c r="P50">
        <f>ROUND((P11*30%)+(P21*35%)+(P37*20%)+(P49*15%),1)</f>
        <v>0</v>
      </c>
    </row>
    <row r="51" spans="2:16">
      <c r="B51" s="2" t="s">
        <v>154</v>
      </c>
      <c r="C51" s="2" t="s">
        <v>155</v>
      </c>
      <c r="D51" s="2" t="s">
        <v>156</v>
      </c>
      <c r="E51" s="2" t="s">
        <v>157</v>
      </c>
      <c r="F51" s="2" t="s">
        <v>158</v>
      </c>
      <c r="G51" s="2" t="s">
        <v>159</v>
      </c>
      <c r="P51" t="str">
        <f>IF(P50&gt;=80,"Very High Priority",IF(P50&gt;=65,"High Priority",IF(P50&gt;=50,"Moderate Priority","Lower Priority")))</f>
        <v>Lower Priority</v>
      </c>
    </row>
    <row r="52" spans="2:16">
      <c r="B52" s="3"/>
      <c r="C52" s="3"/>
      <c r="D52" s="3"/>
      <c r="E52" s="3"/>
      <c r="F52" s="3"/>
      <c r="G52" s="3"/>
    </row>
    <row r="53" spans="2:16">
      <c r="B53" s="3"/>
      <c r="C53" s="3"/>
      <c r="D53" s="3"/>
      <c r="E53" s="3"/>
      <c r="F53" s="3"/>
      <c r="G53" s="3"/>
    </row>
    <row r="54" spans="2:16">
      <c r="B54" s="3"/>
      <c r="C54" s="3"/>
      <c r="D54" s="3"/>
      <c r="E54" s="3"/>
      <c r="F54" s="3"/>
      <c r="G54" s="3"/>
    </row>
    <row r="55" spans="2:16">
      <c r="B55" s="3"/>
      <c r="C55" s="3"/>
      <c r="D55" s="3"/>
      <c r="E55" s="3"/>
      <c r="F55" s="3"/>
      <c r="G55" s="3"/>
    </row>
    <row r="56" spans="2:16">
      <c r="B56" s="3"/>
      <c r="C56" s="3"/>
      <c r="D56" s="3"/>
      <c r="E56" s="3"/>
      <c r="F56" s="3"/>
      <c r="G56" s="3"/>
    </row>
    <row r="58" spans="2:16">
      <c r="B58" s="27" t="s">
        <v>172</v>
      </c>
      <c r="C58" s="37"/>
      <c r="D58" s="37"/>
      <c r="E58" s="37"/>
      <c r="F58" s="37"/>
      <c r="G58" s="37"/>
      <c r="H58" s="37"/>
      <c r="I58" s="37"/>
      <c r="J58" s="37"/>
    </row>
    <row r="59" spans="2:16">
      <c r="B59" s="8" t="s">
        <v>173</v>
      </c>
      <c r="C59" s="8" t="s">
        <v>174</v>
      </c>
      <c r="D59" s="8" t="s">
        <v>175</v>
      </c>
      <c r="E59" s="8" t="s">
        <v>176</v>
      </c>
      <c r="F59" s="8" t="s">
        <v>177</v>
      </c>
      <c r="G59" s="8" t="s">
        <v>178</v>
      </c>
    </row>
    <row r="60" spans="2:16">
      <c r="B60" s="3"/>
      <c r="C60" s="3"/>
      <c r="D60" s="3"/>
      <c r="E60" s="3"/>
      <c r="F60" s="3"/>
      <c r="G60" s="3"/>
    </row>
    <row r="61" spans="2:16">
      <c r="B61" s="3"/>
      <c r="C61" s="3"/>
      <c r="D61" s="3"/>
      <c r="E61" s="3"/>
      <c r="F61" s="3"/>
      <c r="G61" s="3"/>
    </row>
    <row r="62" spans="2:16">
      <c r="B62" s="3"/>
      <c r="C62" s="3"/>
      <c r="D62" s="3"/>
      <c r="E62" s="3"/>
      <c r="F62" s="3"/>
      <c r="G62" s="3"/>
    </row>
    <row r="63" spans="2:16">
      <c r="B63" s="3"/>
      <c r="C63" s="3"/>
      <c r="D63" s="3"/>
      <c r="E63" s="3"/>
      <c r="F63" s="3"/>
      <c r="G63" s="3"/>
    </row>
    <row r="64" spans="2:16">
      <c r="B64" s="3"/>
      <c r="C64" s="3"/>
      <c r="D64" s="3"/>
      <c r="E64" s="3"/>
      <c r="F64" s="3"/>
      <c r="G64" s="3"/>
    </row>
    <row r="66" spans="2:9">
      <c r="B66" s="30" t="s">
        <v>206</v>
      </c>
      <c r="C66" s="37"/>
      <c r="D66" s="37"/>
      <c r="E66" s="37"/>
      <c r="F66" s="37"/>
      <c r="G66" s="37"/>
      <c r="H66" s="37"/>
    </row>
    <row r="67" spans="2:9">
      <c r="B67" s="5" t="s">
        <v>139</v>
      </c>
      <c r="C67" s="5" t="s">
        <v>140</v>
      </c>
      <c r="D67" s="5" t="s">
        <v>141</v>
      </c>
    </row>
    <row r="68" spans="2:9">
      <c r="B68" s="3" t="s">
        <v>207</v>
      </c>
      <c r="C68" s="7"/>
      <c r="D68" s="3"/>
    </row>
    <row r="69" spans="2:9">
      <c r="B69" s="3" t="s">
        <v>209</v>
      </c>
      <c r="C69" s="7"/>
      <c r="D69" s="3"/>
    </row>
    <row r="70" spans="2:9">
      <c r="B70" s="3" t="s">
        <v>211</v>
      </c>
      <c r="C70" s="7"/>
      <c r="D70" s="3"/>
    </row>
    <row r="71" spans="2:9">
      <c r="B71" s="3" t="s">
        <v>213</v>
      </c>
      <c r="C71" s="7"/>
      <c r="D71" s="3"/>
    </row>
    <row r="72" spans="2:9">
      <c r="B72" s="3" t="s">
        <v>215</v>
      </c>
      <c r="C72" s="7"/>
      <c r="D72" s="3"/>
    </row>
    <row r="74" spans="2:9">
      <c r="B74" s="27" t="s">
        <v>217</v>
      </c>
      <c r="C74" s="37"/>
      <c r="D74" s="37"/>
      <c r="E74" s="37"/>
      <c r="F74" s="37"/>
      <c r="G74" s="37"/>
      <c r="H74" s="37"/>
      <c r="I74" s="37"/>
    </row>
  </sheetData>
  <mergeCells count="29">
    <mergeCell ref="B2:P2"/>
    <mergeCell ref="B40:H40"/>
    <mergeCell ref="M9:N9"/>
    <mergeCell ref="J4:L4"/>
    <mergeCell ref="M5:N5"/>
    <mergeCell ref="B4:H4"/>
    <mergeCell ref="M10:N10"/>
    <mergeCell ref="B14:I14"/>
    <mergeCell ref="B24:J24"/>
    <mergeCell ref="B22:H22"/>
    <mergeCell ref="M7:N7"/>
    <mergeCell ref="J5:L5"/>
    <mergeCell ref="M4:N4"/>
    <mergeCell ref="M6:N6"/>
    <mergeCell ref="J7:L7"/>
    <mergeCell ref="M8:N8"/>
    <mergeCell ref="M11:N11"/>
    <mergeCell ref="B74:I74"/>
    <mergeCell ref="J10:L10"/>
    <mergeCell ref="B6:I6"/>
    <mergeCell ref="J9:L9"/>
    <mergeCell ref="B32:L32"/>
    <mergeCell ref="B66:H66"/>
    <mergeCell ref="B58:J58"/>
    <mergeCell ref="B50:J50"/>
    <mergeCell ref="J8:L8"/>
    <mergeCell ref="B48:H48"/>
    <mergeCell ref="J6:L6"/>
    <mergeCell ref="J11:L11"/>
  </mergeCells>
  <dataValidations count="5">
    <dataValidation type="whole" allowBlank="1" sqref="C34:H38 C42:C46 C68:C72 E16:F20 G8:H12 G26:H30" xr:uid="{00000000-0002-0000-0300-000000000000}">
      <formula1>1</formula1>
      <formula2>5</formula2>
    </dataValidation>
    <dataValidation type="list" allowBlank="1" sqref="H16:H20" xr:uid="{00000000-0002-0000-0300-000001000000}">
      <formula1>"Yes,No"</formula1>
    </dataValidation>
    <dataValidation type="list" allowBlank="1" sqref="C52:C56" xr:uid="{00000000-0002-0000-0300-000002000000}">
      <formula1>"Must-have,Phase 2,Nice-to-have"</formula1>
    </dataValidation>
    <dataValidation type="list" allowBlank="1" sqref="D26:D30" xr:uid="{00000000-0002-0000-0300-000003000000}">
      <formula1>"Revenue,CX,Efficiency,Governance,Speed,Data &amp; Integration"</formula1>
    </dataValidation>
    <dataValidation type="list" allowBlank="1" sqref="G60:G64" xr:uid="{00000000-0002-0000-0300-000004000000}">
      <formula1>"Daily,Weekly,Monthly,Quarterly"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6EB5-F7E7-44D6-B0EE-E42F3EC7BB1E}">
  <dimension ref="A1:C7"/>
  <sheetViews>
    <sheetView workbookViewId="0">
      <selection activeCell="B9" sqref="B9"/>
    </sheetView>
  </sheetViews>
  <sheetFormatPr defaultRowHeight="15"/>
  <cols>
    <col min="2" max="2" width="76.7109375" bestFit="1" customWidth="1"/>
    <col min="3" max="3" width="11.5703125" bestFit="1" customWidth="1"/>
  </cols>
  <sheetData>
    <row r="1" spans="1:3" ht="15.75">
      <c r="A1" s="9" t="s">
        <v>220</v>
      </c>
      <c r="B1" s="10" t="s">
        <v>221</v>
      </c>
      <c r="C1" s="10" t="s">
        <v>222</v>
      </c>
    </row>
    <row r="2" spans="1:3" ht="15.75">
      <c r="A2" s="11">
        <v>1</v>
      </c>
      <c r="B2" s="12" t="s">
        <v>223</v>
      </c>
      <c r="C2" s="12" t="s">
        <v>224</v>
      </c>
    </row>
    <row r="3" spans="1:3" ht="15.75">
      <c r="A3" s="11">
        <v>2</v>
      </c>
      <c r="B3" s="12" t="s">
        <v>225</v>
      </c>
      <c r="C3" s="12" t="s">
        <v>226</v>
      </c>
    </row>
    <row r="4" spans="1:3" ht="15.75">
      <c r="A4" s="11">
        <v>3</v>
      </c>
      <c r="B4" s="12" t="s">
        <v>227</v>
      </c>
      <c r="C4" s="12" t="s">
        <v>228</v>
      </c>
    </row>
    <row r="5" spans="1:3" ht="15.75">
      <c r="A5" s="11">
        <v>4</v>
      </c>
      <c r="B5" s="12" t="s">
        <v>229</v>
      </c>
      <c r="C5" s="12" t="s">
        <v>230</v>
      </c>
    </row>
    <row r="6" spans="1:3" ht="15.75">
      <c r="A6" s="11">
        <v>5</v>
      </c>
      <c r="B6" s="12" t="s">
        <v>231</v>
      </c>
      <c r="C6" s="12" t="s">
        <v>232</v>
      </c>
    </row>
    <row r="7" spans="1:3" ht="15.75">
      <c r="A7" s="11">
        <v>6</v>
      </c>
      <c r="B7" s="12" t="s">
        <v>233</v>
      </c>
      <c r="C7" s="12"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Anshika Gupta (Digital,ISC) (X-KPMG)</dc:creator>
  <cp:keywords/>
  <dc:description/>
  <cp:lastModifiedBy/>
  <cp:revision/>
  <dcterms:created xsi:type="dcterms:W3CDTF">2026-06-09T10:04:24Z</dcterms:created>
  <dcterms:modified xsi:type="dcterms:W3CDTF">2026-06-15T09:06:30Z</dcterms:modified>
  <cp:category/>
  <cp:contentStatus/>
</cp:coreProperties>
</file>